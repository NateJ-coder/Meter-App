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\Desktop\UUS\Back Dated Reports\Current Buildings\QG\Utilities Back Date\"/>
    </mc:Choice>
  </mc:AlternateContent>
  <xr:revisionPtr revIDLastSave="398" documentId="13_ncr:1_{C1BAC8C1-95B9-411C-B3AC-046ECE87C9A1}" xr6:coauthVersionLast="47" xr6:coauthVersionMax="47" xr10:uidLastSave="{066D833C-A6ED-4048-AFBB-D05FFA7BFE68}"/>
  <bookViews>
    <workbookView xWindow="-28920" yWindow="-3765" windowWidth="29040" windowHeight="15840" firstSheet="1" xr2:uid="{FC1DA12A-1BD6-41BA-82BA-25D305C66DE6}"/>
  </bookViews>
  <sheets>
    <sheet name="Data" sheetId="1" r:id="rId1"/>
    <sheet name="Graph" sheetId="2" r:id="rId2"/>
    <sheet name="Consumption Graph" sheetId="5" r:id="rId3"/>
    <sheet name="Rates Graph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6" i="1" l="1"/>
  <c r="E476" i="1"/>
  <c r="F477" i="1"/>
  <c r="G477" i="1"/>
  <c r="D477" i="1"/>
  <c r="L477" i="1" s="1"/>
  <c r="G476" i="1"/>
  <c r="B476" i="1"/>
  <c r="D476" i="1" s="1"/>
  <c r="L476" i="1" s="1"/>
  <c r="G469" i="1"/>
  <c r="F469" i="1"/>
  <c r="F468" i="1"/>
  <c r="D469" i="1"/>
  <c r="L469" i="1" s="1"/>
  <c r="G468" i="1"/>
  <c r="B468" i="1"/>
  <c r="D468" i="1" s="1"/>
  <c r="L468" i="1" s="1"/>
  <c r="G461" i="1"/>
  <c r="F461" i="1"/>
  <c r="F460" i="1"/>
  <c r="E460" i="1"/>
  <c r="B461" i="1"/>
  <c r="D461" i="1" s="1"/>
  <c r="L461" i="1" s="1"/>
  <c r="G460" i="1"/>
  <c r="B460" i="1"/>
  <c r="D460" i="1" s="1"/>
  <c r="L460" i="1" s="1"/>
  <c r="F452" i="1"/>
  <c r="E452" i="1"/>
  <c r="J453" i="1"/>
  <c r="F453" i="1"/>
  <c r="G453" i="1"/>
  <c r="B453" i="1"/>
  <c r="D453" i="1" s="1"/>
  <c r="L453" i="1" s="1"/>
  <c r="G452" i="1"/>
  <c r="B452" i="1"/>
  <c r="D452" i="1" s="1"/>
  <c r="L452" i="1" s="1"/>
  <c r="F445" i="1"/>
  <c r="F444" i="1"/>
  <c r="E444" i="1"/>
  <c r="G445" i="1"/>
  <c r="B445" i="1"/>
  <c r="D445" i="1" s="1"/>
  <c r="L445" i="1" s="1"/>
  <c r="G444" i="1"/>
  <c r="B444" i="1"/>
  <c r="D444" i="1" s="1"/>
  <c r="L444" i="1" s="1"/>
  <c r="F437" i="1"/>
  <c r="F436" i="1"/>
  <c r="E436" i="1"/>
  <c r="G437" i="1"/>
  <c r="B437" i="1"/>
  <c r="D437" i="1" s="1"/>
  <c r="L437" i="1" s="1"/>
  <c r="G436" i="1"/>
  <c r="B436" i="1"/>
  <c r="D436" i="1" s="1"/>
  <c r="L436" i="1" s="1"/>
  <c r="P410" i="1"/>
  <c r="P409" i="1"/>
  <c r="P427" i="1"/>
  <c r="P402" i="1"/>
  <c r="P401" i="1"/>
  <c r="P400" i="1"/>
  <c r="J429" i="1"/>
  <c r="G429" i="1"/>
  <c r="F429" i="1"/>
  <c r="G428" i="1"/>
  <c r="F428" i="1"/>
  <c r="E428" i="1"/>
  <c r="B429" i="1"/>
  <c r="D429" i="1" s="1"/>
  <c r="L429" i="1" s="1"/>
  <c r="B428" i="1"/>
  <c r="D428" i="1" s="1"/>
  <c r="L428" i="1" s="1"/>
  <c r="F421" i="1"/>
  <c r="F420" i="1"/>
  <c r="G421" i="1"/>
  <c r="B421" i="1"/>
  <c r="D421" i="1" s="1"/>
  <c r="L421" i="1" s="1"/>
  <c r="G420" i="1"/>
  <c r="B420" i="1"/>
  <c r="D420" i="1" s="1"/>
  <c r="L420" i="1" s="1"/>
  <c r="AE15" i="2"/>
  <c r="AD15" i="2"/>
  <c r="AF15" i="2" s="1"/>
  <c r="F413" i="1"/>
  <c r="F412" i="1"/>
  <c r="E412" i="1"/>
  <c r="G413" i="1"/>
  <c r="B413" i="1"/>
  <c r="D413" i="1" s="1"/>
  <c r="L413" i="1" s="1"/>
  <c r="G412" i="1"/>
  <c r="F414" i="1" s="1"/>
  <c r="B412" i="1"/>
  <c r="D412" i="1" s="1"/>
  <c r="F405" i="1"/>
  <c r="G405" i="1"/>
  <c r="B405" i="1"/>
  <c r="D405" i="1" s="1"/>
  <c r="L405" i="1" s="1"/>
  <c r="G404" i="1"/>
  <c r="B404" i="1"/>
  <c r="D404" i="1" s="1"/>
  <c r="L404" i="1" s="1"/>
  <c r="F397" i="1"/>
  <c r="AA15" i="2"/>
  <c r="Z15" i="2"/>
  <c r="W15" i="2"/>
  <c r="V15" i="2"/>
  <c r="S15" i="2"/>
  <c r="E396" i="1"/>
  <c r="G397" i="1"/>
  <c r="B397" i="1"/>
  <c r="D397" i="1" s="1"/>
  <c r="L397" i="1" s="1"/>
  <c r="G396" i="1"/>
  <c r="B396" i="1"/>
  <c r="D396" i="1" s="1"/>
  <c r="L396" i="1" s="1"/>
  <c r="F389" i="1"/>
  <c r="E388" i="1"/>
  <c r="G389" i="1"/>
  <c r="B389" i="1"/>
  <c r="D389" i="1" s="1"/>
  <c r="G388" i="1"/>
  <c r="F390" i="1"/>
  <c r="B388" i="1"/>
  <c r="D388" i="1" s="1"/>
  <c r="L388" i="1" s="1"/>
  <c r="F381" i="1"/>
  <c r="E380" i="1"/>
  <c r="F382" i="1"/>
  <c r="G381" i="1"/>
  <c r="B381" i="1"/>
  <c r="D381" i="1" s="1"/>
  <c r="L381" i="1" s="1"/>
  <c r="G380" i="1"/>
  <c r="B380" i="1"/>
  <c r="D380" i="1" s="1"/>
  <c r="F373" i="1"/>
  <c r="E372" i="1"/>
  <c r="F478" i="1" l="1"/>
  <c r="J476" i="1"/>
  <c r="F479" i="1"/>
  <c r="J477" i="1"/>
  <c r="F470" i="1"/>
  <c r="J468" i="1"/>
  <c r="F471" i="1"/>
  <c r="J469" i="1"/>
  <c r="F462" i="1"/>
  <c r="J460" i="1"/>
  <c r="F463" i="1"/>
  <c r="J461" i="1"/>
  <c r="F454" i="1"/>
  <c r="J452" i="1"/>
  <c r="F455" i="1"/>
  <c r="F446" i="1"/>
  <c r="J444" i="1"/>
  <c r="F447" i="1"/>
  <c r="J445" i="1"/>
  <c r="F438" i="1"/>
  <c r="J436" i="1"/>
  <c r="F439" i="1"/>
  <c r="J437" i="1"/>
  <c r="F430" i="1"/>
  <c r="J428" i="1"/>
  <c r="F431" i="1"/>
  <c r="F422" i="1"/>
  <c r="J420" i="1"/>
  <c r="F423" i="1"/>
  <c r="J421" i="1"/>
  <c r="L412" i="1"/>
  <c r="J412" i="1"/>
  <c r="F415" i="1"/>
  <c r="F416" i="1" s="1"/>
  <c r="J413" i="1"/>
  <c r="F406" i="1"/>
  <c r="J404" i="1"/>
  <c r="F407" i="1"/>
  <c r="J405" i="1"/>
  <c r="F398" i="1"/>
  <c r="J396" i="1"/>
  <c r="F399" i="1"/>
  <c r="J397" i="1"/>
  <c r="F391" i="1"/>
  <c r="F392" i="1" s="1"/>
  <c r="L389" i="1"/>
  <c r="J389" i="1"/>
  <c r="J388" i="1"/>
  <c r="J381" i="1"/>
  <c r="L380" i="1"/>
  <c r="J380" i="1"/>
  <c r="F383" i="1"/>
  <c r="F384" i="1" s="1"/>
  <c r="G373" i="1"/>
  <c r="B373" i="1"/>
  <c r="D373" i="1" s="1"/>
  <c r="L373" i="1" s="1"/>
  <c r="G372" i="1"/>
  <c r="F374" i="1"/>
  <c r="B372" i="1"/>
  <c r="D372" i="1" s="1"/>
  <c r="F365" i="1"/>
  <c r="F364" i="1"/>
  <c r="E364" i="1"/>
  <c r="G365" i="1"/>
  <c r="B365" i="1"/>
  <c r="D365" i="1" s="1"/>
  <c r="G364" i="1"/>
  <c r="B364" i="1"/>
  <c r="D364" i="1" s="1"/>
  <c r="J364" i="1" s="1"/>
  <c r="F357" i="1"/>
  <c r="F356" i="1"/>
  <c r="E356" i="1"/>
  <c r="G357" i="1"/>
  <c r="B357" i="1"/>
  <c r="D357" i="1" s="1"/>
  <c r="L357" i="1" s="1"/>
  <c r="G356" i="1"/>
  <c r="B356" i="1"/>
  <c r="D356" i="1" s="1"/>
  <c r="F350" i="1"/>
  <c r="F349" i="1"/>
  <c r="J349" i="1" s="1"/>
  <c r="L348" i="1"/>
  <c r="J348" i="1"/>
  <c r="G348" i="1"/>
  <c r="F348" i="1"/>
  <c r="E348" i="1"/>
  <c r="G349" i="1"/>
  <c r="B349" i="1"/>
  <c r="D349" i="1" s="1"/>
  <c r="L349" i="1" s="1"/>
  <c r="B348" i="1"/>
  <c r="D348" i="1" s="1"/>
  <c r="F341" i="1"/>
  <c r="F340" i="1"/>
  <c r="F342" i="1" s="1"/>
  <c r="G341" i="1"/>
  <c r="F343" i="1" s="1"/>
  <c r="B341" i="1"/>
  <c r="D341" i="1" s="1"/>
  <c r="B340" i="1"/>
  <c r="D340" i="1" s="1"/>
  <c r="L340" i="1" s="1"/>
  <c r="F332" i="1"/>
  <c r="E332" i="1"/>
  <c r="G333" i="1"/>
  <c r="F333" i="1"/>
  <c r="B333" i="1"/>
  <c r="D333" i="1" s="1"/>
  <c r="L333" i="1" s="1"/>
  <c r="B332" i="1"/>
  <c r="D332" i="1" s="1"/>
  <c r="L332" i="1" s="1"/>
  <c r="G325" i="1"/>
  <c r="F325" i="1"/>
  <c r="F324" i="1"/>
  <c r="F480" i="1" l="1"/>
  <c r="F472" i="1"/>
  <c r="F464" i="1"/>
  <c r="F456" i="1"/>
  <c r="F448" i="1"/>
  <c r="F440" i="1"/>
  <c r="F432" i="1"/>
  <c r="F424" i="1"/>
  <c r="F408" i="1"/>
  <c r="F400" i="1"/>
  <c r="L341" i="1"/>
  <c r="J341" i="1"/>
  <c r="L365" i="1"/>
  <c r="J365" i="1"/>
  <c r="J333" i="1"/>
  <c r="J373" i="1"/>
  <c r="L372" i="1"/>
  <c r="J372" i="1"/>
  <c r="F375" i="1"/>
  <c r="F376" i="1" s="1"/>
  <c r="F366" i="1"/>
  <c r="L364" i="1"/>
  <c r="F367" i="1"/>
  <c r="F368" i="1" s="1"/>
  <c r="J357" i="1"/>
  <c r="F358" i="1"/>
  <c r="J356" i="1"/>
  <c r="L356" i="1"/>
  <c r="F359" i="1"/>
  <c r="F351" i="1"/>
  <c r="F352" i="1" s="1"/>
  <c r="F344" i="1"/>
  <c r="J340" i="1"/>
  <c r="F334" i="1"/>
  <c r="J332" i="1" s="1"/>
  <c r="F335" i="1"/>
  <c r="D325" i="1"/>
  <c r="F326" i="1"/>
  <c r="J324" i="1" s="1"/>
  <c r="B324" i="1"/>
  <c r="D324" i="1" s="1"/>
  <c r="L324" i="1" s="1"/>
  <c r="F319" i="1"/>
  <c r="F311" i="1"/>
  <c r="F317" i="1"/>
  <c r="G317" i="1"/>
  <c r="B317" i="1"/>
  <c r="L325" i="1" l="1"/>
  <c r="J325" i="1"/>
  <c r="F360" i="1"/>
  <c r="F336" i="1"/>
  <c r="AB15" i="2"/>
  <c r="F327" i="1"/>
  <c r="F328" i="1" s="1"/>
  <c r="E316" i="1"/>
  <c r="F318" i="1" s="1"/>
  <c r="L317" i="1"/>
  <c r="D317" i="1"/>
  <c r="J317" i="1" s="1"/>
  <c r="B316" i="1"/>
  <c r="D316" i="1" s="1"/>
  <c r="L316" i="1" s="1"/>
  <c r="K309" i="1"/>
  <c r="D309" i="1"/>
  <c r="I309" i="1" s="1"/>
  <c r="J316" i="1" l="1"/>
  <c r="F320" i="1"/>
  <c r="F310" i="1"/>
  <c r="F312" i="1" s="1"/>
  <c r="D308" i="1"/>
  <c r="K308" i="1" s="1"/>
  <c r="B308" i="1"/>
  <c r="I308" i="1" l="1"/>
  <c r="F302" i="1"/>
  <c r="B300" i="1"/>
  <c r="D300" i="1" s="1"/>
  <c r="K300" i="1" s="1"/>
  <c r="I300" i="1" l="1"/>
  <c r="E292" i="1" l="1"/>
  <c r="F294" i="1" s="1"/>
  <c r="B292" i="1"/>
  <c r="D292" i="1" s="1"/>
  <c r="K292" i="1" s="1"/>
  <c r="F284" i="1"/>
  <c r="E284" i="1"/>
  <c r="K284" i="1"/>
  <c r="F286" i="1"/>
  <c r="I284" i="1" s="1"/>
  <c r="F276" i="1"/>
  <c r="I292" i="1" l="1"/>
  <c r="F278" i="1"/>
  <c r="I276" i="1" s="1"/>
  <c r="K276" i="1"/>
  <c r="B276" i="1"/>
  <c r="C276" i="1" s="1"/>
  <c r="B284" i="1" s="1"/>
  <c r="F268" i="1" l="1"/>
  <c r="F270" i="1" s="1"/>
  <c r="E268" i="1"/>
  <c r="F260" i="1" l="1"/>
  <c r="F262" i="1" s="1"/>
  <c r="B260" i="1"/>
  <c r="K260" i="1" s="1"/>
  <c r="C260" i="1" l="1"/>
  <c r="B268" i="1" s="1"/>
  <c r="D268" i="1" s="1"/>
  <c r="I260" i="1"/>
  <c r="K268" i="1" l="1"/>
  <c r="I268" i="1"/>
  <c r="F252" i="1"/>
  <c r="F254" i="1" s="1"/>
  <c r="D252" i="1"/>
  <c r="K252" i="1" s="1"/>
  <c r="B252" i="1"/>
  <c r="I252" i="1" l="1"/>
  <c r="F244" i="1"/>
  <c r="E244" i="1"/>
  <c r="B244" i="1"/>
  <c r="D244" i="1" s="1"/>
  <c r="K244" i="1" s="1"/>
  <c r="F246" i="1" l="1"/>
  <c r="I244" i="1" s="1"/>
  <c r="E236" i="1"/>
  <c r="B236" i="1"/>
  <c r="D236" i="1" s="1"/>
  <c r="K236" i="1" s="1"/>
  <c r="F238" i="1" l="1"/>
  <c r="I236" i="1" s="1"/>
  <c r="F228" i="1"/>
  <c r="F230" i="1"/>
  <c r="D228" i="1"/>
  <c r="K228" i="1" s="1"/>
  <c r="B228" i="1"/>
  <c r="I228" i="1" l="1"/>
  <c r="F220" i="1"/>
  <c r="E220" i="1"/>
  <c r="F222" i="1" s="1"/>
  <c r="B220" i="1"/>
  <c r="D220" i="1" s="1"/>
  <c r="K220" i="1" s="1"/>
  <c r="I220" i="1" l="1"/>
  <c r="F212" i="1"/>
  <c r="E212" i="1"/>
  <c r="E204" i="1"/>
  <c r="B212" i="1"/>
  <c r="D212" i="1" s="1"/>
  <c r="K212" i="1" s="1"/>
  <c r="F206" i="1"/>
  <c r="B204" i="1"/>
  <c r="D204" i="1" s="1"/>
  <c r="K204" i="1" s="1"/>
  <c r="F214" i="1" l="1"/>
  <c r="I212" i="1" s="1"/>
  <c r="I204" i="1"/>
  <c r="F196" i="1"/>
  <c r="F198" i="1"/>
  <c r="B196" i="1"/>
  <c r="D196" i="1" s="1"/>
  <c r="K196" i="1" s="1"/>
  <c r="R11" i="2"/>
  <c r="R15" i="2" l="1"/>
  <c r="T15" i="2" s="1"/>
  <c r="X15" i="2"/>
  <c r="I196" i="1"/>
  <c r="F190" i="1"/>
  <c r="B188" i="1"/>
  <c r="D188" i="1" s="1"/>
  <c r="K188" i="1" s="1"/>
  <c r="I188" i="1" l="1"/>
  <c r="E180" i="1"/>
  <c r="F182" i="1" s="1"/>
  <c r="B180" i="1"/>
  <c r="D180" i="1" s="1"/>
  <c r="K180" i="1" s="1"/>
  <c r="I180" i="1" l="1"/>
  <c r="F172" i="1"/>
  <c r="E172" i="1"/>
  <c r="F174" i="1" s="1"/>
  <c r="B164" i="1" l="1"/>
  <c r="N15" i="2"/>
  <c r="O15" i="2"/>
  <c r="P15" i="2" l="1"/>
  <c r="C164" i="1"/>
  <c r="B172" i="1" s="1"/>
  <c r="D172" i="1" s="1"/>
  <c r="K124" i="1"/>
  <c r="K116" i="1"/>
  <c r="K108" i="1"/>
  <c r="K100" i="1"/>
  <c r="F156" i="1"/>
  <c r="F158" i="1" s="1"/>
  <c r="K172" i="1" l="1"/>
  <c r="I172" i="1"/>
  <c r="D164" i="1"/>
  <c r="D156" i="1"/>
  <c r="K156" i="1" s="1"/>
  <c r="D148" i="1"/>
  <c r="D140" i="1"/>
  <c r="K140" i="1" s="1"/>
  <c r="D132" i="1"/>
  <c r="K132" i="1" s="1"/>
  <c r="K164" i="1" l="1"/>
  <c r="I164" i="1"/>
  <c r="F148" i="1"/>
  <c r="F140" i="1"/>
  <c r="F132" i="1"/>
  <c r="F16" i="1" l="1"/>
  <c r="F24" i="1"/>
  <c r="F32" i="1"/>
  <c r="F40" i="1"/>
  <c r="F48" i="1"/>
  <c r="F56" i="1"/>
  <c r="F64" i="1"/>
  <c r="F72" i="1"/>
  <c r="F80" i="1"/>
  <c r="F88" i="1"/>
  <c r="F96" i="1"/>
  <c r="F104" i="1"/>
  <c r="F112" i="1"/>
  <c r="F120" i="1"/>
  <c r="F128" i="1"/>
</calcChain>
</file>

<file path=xl/sharedStrings.xml><?xml version="1.0" encoding="utf-8"?>
<sst xmlns="http://schemas.openxmlformats.org/spreadsheetml/2006/main" count="1160" uniqueCount="106">
  <si>
    <t>Queens Gate Elec Back Date Summary 2018 - Apr2019</t>
  </si>
  <si>
    <t>Unit No</t>
  </si>
  <si>
    <t>Opening Reading</t>
  </si>
  <si>
    <t>Closing Reading</t>
  </si>
  <si>
    <t>Cons</t>
  </si>
  <si>
    <t>ComP</t>
  </si>
  <si>
    <t>Elec Amount</t>
  </si>
  <si>
    <t>Council Bulk</t>
  </si>
  <si>
    <t>BC Total</t>
  </si>
  <si>
    <t>Council Total</t>
  </si>
  <si>
    <t>Difference</t>
  </si>
  <si>
    <t>BC Bulk</t>
  </si>
  <si>
    <t>Reading Dates</t>
  </si>
  <si>
    <t>Days</t>
  </si>
  <si>
    <t>Rate</t>
  </si>
  <si>
    <t>Estimated?</t>
  </si>
  <si>
    <t>Kwh p/day</t>
  </si>
  <si>
    <t>7Jan - 31Jan 2019</t>
  </si>
  <si>
    <t>Actual</t>
  </si>
  <si>
    <t>31Jan - 27Feb 2019</t>
  </si>
  <si>
    <t>27Feb - 30Mar 2019</t>
  </si>
  <si>
    <t>30Mar - 30Apr 2019</t>
  </si>
  <si>
    <t>30Apr - 30May</t>
  </si>
  <si>
    <t>30May - 27Jun 2019</t>
  </si>
  <si>
    <t>27Jun - 31Jul 2019</t>
  </si>
  <si>
    <t>31Jul - 3Sept 2019</t>
  </si>
  <si>
    <t>3Sep - 26Sep 2019</t>
  </si>
  <si>
    <t>26Sep - 30Oct 2019</t>
  </si>
  <si>
    <t>31Oct - 29Nov2019</t>
  </si>
  <si>
    <t>29Nov - 7Jan 2020</t>
  </si>
  <si>
    <t>7Jan - 30Jan 2020</t>
  </si>
  <si>
    <t>30Jan - 29Feb 2020</t>
  </si>
  <si>
    <t>29Feb - 25Mar 2020</t>
  </si>
  <si>
    <t>25Mar - 30Apr 2020</t>
  </si>
  <si>
    <t>Estimated</t>
  </si>
  <si>
    <t>30Apr - 29May 2020</t>
  </si>
  <si>
    <t>29May - 30Jun 2020</t>
  </si>
  <si>
    <t>30Jun - 31Jul 2020</t>
  </si>
  <si>
    <t>31Jul - 31Aug 2020</t>
  </si>
  <si>
    <t>31Aug - 30Sept 2020</t>
  </si>
  <si>
    <t>30Sept - 31Oct 2020</t>
  </si>
  <si>
    <t>31Oct - 25Nov 2020</t>
  </si>
  <si>
    <t>25Nov 2020 - 7Jan 2021</t>
  </si>
  <si>
    <t>7Jan - 28Jan 2021</t>
  </si>
  <si>
    <t>28Jan - 1Mar 2021</t>
  </si>
  <si>
    <t>1Mar - 6Apr 2021</t>
  </si>
  <si>
    <t>26Jun 2017 - 9Apr 2021</t>
  </si>
  <si>
    <t>Service &amp; Network Charge</t>
  </si>
  <si>
    <t>6Apr - 29Apr 2021</t>
  </si>
  <si>
    <t>10Apr - 7May 2021</t>
  </si>
  <si>
    <t>29Apr - 27May 2021</t>
  </si>
  <si>
    <t>23May - 1Jun 2021</t>
  </si>
  <si>
    <t>27May - 1Jul 2021</t>
  </si>
  <si>
    <t>2Jun - 12Jul 2021</t>
  </si>
  <si>
    <t>1Jul - 29Jul 2021</t>
  </si>
  <si>
    <t>13Jul - 6Aug 2021</t>
  </si>
  <si>
    <t>29Jul - 2Sept 2021</t>
  </si>
  <si>
    <t>7Aug - 7Sept 2021</t>
  </si>
  <si>
    <t>2Sept - 30Sept 2021</t>
  </si>
  <si>
    <t>8Sept - 7Oct 2021</t>
  </si>
  <si>
    <t>30Sept - 28Oct 2021</t>
  </si>
  <si>
    <t>8Oct - 5Nov 2021</t>
  </si>
  <si>
    <t>28Oct - 2Dec 2021</t>
  </si>
  <si>
    <t>6Nov - 7Dec 2021</t>
  </si>
  <si>
    <t>2Dec 2021 - 3Jan 2022</t>
  </si>
  <si>
    <t>8Dec 2021 - 7Jan 2022</t>
  </si>
  <si>
    <t>3Jan - 27Jan 2022</t>
  </si>
  <si>
    <t>8Jan - 7Feb 2022</t>
  </si>
  <si>
    <t>27Jan - 25Feb 2022</t>
  </si>
  <si>
    <t>8Feb - 18Feb 2022</t>
  </si>
  <si>
    <t>25Feb - 31Mar 2022</t>
  </si>
  <si>
    <t>19Feb - 7Apr 2022</t>
  </si>
  <si>
    <t>31Mar - 28Apr 2022</t>
  </si>
  <si>
    <t>8Apr - 9May 2022</t>
  </si>
  <si>
    <t>28Apr - 2Jun 2022</t>
  </si>
  <si>
    <t>10May - 8Jun 2022</t>
  </si>
  <si>
    <t>2Jun - 30Jun 2022</t>
  </si>
  <si>
    <t>9Jun - 8Jul 2022</t>
  </si>
  <si>
    <t>30Jun - 28Jul 2022</t>
  </si>
  <si>
    <t>9Jul - 3Aug 2022</t>
  </si>
  <si>
    <t>28Jul - 1Sept 2022</t>
  </si>
  <si>
    <t>4Aug - 7Sept 2022</t>
  </si>
  <si>
    <t>1Sept - 29Sept 2022</t>
  </si>
  <si>
    <t>8Sept to 7Oct 2022</t>
  </si>
  <si>
    <t>29Sept - 27Oct 2022</t>
  </si>
  <si>
    <t>8Oct - 7Nov 2022</t>
  </si>
  <si>
    <t>27Oct - 1Dec 2022</t>
  </si>
  <si>
    <t>2Jun 2021 - 7Dec 2022</t>
  </si>
  <si>
    <t>1Dec 2022 - 5Jan 2023</t>
  </si>
  <si>
    <t>8Dec 2022 - 10Jan 2023</t>
  </si>
  <si>
    <t>Queens Gate Elec Back Date</t>
  </si>
  <si>
    <t>BC</t>
  </si>
  <si>
    <t>Council</t>
  </si>
  <si>
    <t>Actual / Estimated</t>
  </si>
  <si>
    <t>A</t>
  </si>
  <si>
    <t>E</t>
  </si>
  <si>
    <t>E - COJ estimated and billed what should have been back dated over 3 year in 1 month</t>
  </si>
  <si>
    <t>A- COJ back dated 554 days</t>
  </si>
  <si>
    <t>COJ linked elec to bill and back dated</t>
  </si>
  <si>
    <t xml:space="preserve">QG Counil Billing </t>
  </si>
  <si>
    <t>QG Consumption STS vs Council</t>
  </si>
  <si>
    <t>KWH PER DAY</t>
  </si>
  <si>
    <t>QG Rate STS vs Council</t>
  </si>
  <si>
    <t>COJ read until July and applied new rates for those days</t>
  </si>
  <si>
    <t>COJ estimated and billed what should have been back dated over 3 year in 1 month</t>
  </si>
  <si>
    <t>COJ back 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</si>
</sst>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&quot;* #,##0.00_-;\-&quot;R&quot;* #,##0.00_-;_-&quot;R&quot;* &quot;-&quot;??_-;_-@_-"/>
    <numFmt numFmtId="165" formatCode="&quot;R&quot;#,##0.00"/>
    <numFmt numFmtId="166" formatCode="_-[$R-436]* #,##0.00_-;\-[$R-436]* #,##0.00_-;_-[$R-436]* &quot;-&quot;??_-;_-@_-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165" fontId="0" fillId="0" borderId="0" xfId="0" applyNumberFormat="1"/>
    <xf numFmtId="17" fontId="1" fillId="0" borderId="0" xfId="0" applyNumberFormat="1" applyFont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165" fontId="0" fillId="0" borderId="1" xfId="0" applyNumberFormat="1" applyBorder="1"/>
    <xf numFmtId="165" fontId="0" fillId="0" borderId="2" xfId="0" applyNumberFormat="1" applyBorder="1"/>
    <xf numFmtId="0" fontId="3" fillId="0" borderId="0" xfId="0" applyFont="1"/>
    <xf numFmtId="164" fontId="0" fillId="0" borderId="0" xfId="0" applyNumberFormat="1"/>
    <xf numFmtId="164" fontId="1" fillId="0" borderId="3" xfId="0" applyNumberFormat="1" applyFont="1" applyBorder="1"/>
    <xf numFmtId="1" fontId="0" fillId="0" borderId="0" xfId="0" applyNumberFormat="1"/>
    <xf numFmtId="164" fontId="0" fillId="0" borderId="0" xfId="0" applyNumberFormat="1" applyAlignment="1">
      <alignment horizontal="center"/>
    </xf>
    <xf numFmtId="17" fontId="1" fillId="2" borderId="0" xfId="0" applyNumberFormat="1" applyFont="1" applyFill="1"/>
    <xf numFmtId="0" fontId="4" fillId="0" borderId="0" xfId="0" applyFont="1"/>
    <xf numFmtId="166" fontId="0" fillId="0" borderId="0" xfId="0" applyNumberFormat="1"/>
    <xf numFmtId="166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7" fontId="1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Graph!$AD$2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Graph!$AC$3:$AC$14</c:f>
              <c:numCache>
                <c:formatCode>mmm\-yy</c:formatCode>
                <c:ptCount val="12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</c:numCache>
            </c:numRef>
          </c:cat>
          <c:val>
            <c:numRef>
              <c:f>Graph!$AD$3:$AD$14</c:f>
              <c:numCache>
                <c:formatCode>_-[$R-436]* #,##0.00_-;\-[$R-436]* #,##0.00_-;_-[$R-436]* "-"??_-;_-@_-</c:formatCode>
                <c:ptCount val="12"/>
                <c:pt idx="0">
                  <c:v>37578.998499999994</c:v>
                </c:pt>
                <c:pt idx="1">
                  <c:v>40848.6325</c:v>
                </c:pt>
                <c:pt idx="2">
                  <c:v>41927.413</c:v>
                </c:pt>
                <c:pt idx="3">
                  <c:v>44392.023999999998</c:v>
                </c:pt>
                <c:pt idx="4">
                  <c:v>33010.830499999996</c:v>
                </c:pt>
                <c:pt idx="5">
                  <c:v>28964.9925</c:v>
                </c:pt>
                <c:pt idx="6">
                  <c:v>35099.241999999998</c:v>
                </c:pt>
                <c:pt idx="7">
                  <c:v>27196.200499999999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19-4119-8CE0-375B0D1DBC0F}"/>
            </c:ext>
          </c:extLst>
        </c:ser>
        <c:ser>
          <c:idx val="1"/>
          <c:order val="1"/>
          <c:tx>
            <c:strRef>
              <c:f>Graph!$AE$2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Graph!$AC$3:$AC$14</c:f>
              <c:numCache>
                <c:formatCode>mmm\-yy</c:formatCode>
                <c:ptCount val="12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</c:numCache>
            </c:numRef>
          </c:cat>
          <c:val>
            <c:numRef>
              <c:f>Graph!$AE$3:$AE$14</c:f>
              <c:numCache>
                <c:formatCode>_-[$R-436]* #,##0.00_-;\-[$R-436]* #,##0.00_-;_-[$R-436]* "-"??_-;_-@_-</c:formatCode>
                <c:ptCount val="12"/>
                <c:pt idx="0">
                  <c:v>38522.906999999992</c:v>
                </c:pt>
                <c:pt idx="1">
                  <c:v>1665.1884999999997</c:v>
                </c:pt>
                <c:pt idx="2">
                  <c:v>1586.2409999999995</c:v>
                </c:pt>
                <c:pt idx="3">
                  <c:v>1680.1384999999996</c:v>
                </c:pt>
                <c:pt idx="4">
                  <c:v>1489.1694999999997</c:v>
                </c:pt>
                <c:pt idx="5">
                  <c:v>424199.82150000002</c:v>
                </c:pt>
                <c:pt idx="6">
                  <c:v>13315.160000000033</c:v>
                </c:pt>
                <c:pt idx="7">
                  <c:v>32254.049999999996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19-4119-8CE0-375B0D1D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044903"/>
        <c:axId val="1469485608"/>
      </c:barChart>
      <c:dateAx>
        <c:axId val="59604490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485608"/>
        <c:crosses val="autoZero"/>
        <c:auto val="1"/>
        <c:lblOffset val="100"/>
        <c:baseTimeUnit val="months"/>
      </c:dateAx>
      <c:valAx>
        <c:axId val="146948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44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'Consumption Graph'!$X$2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'Consumption Graph'!$W$3:$W$14</c:f>
              <c:numCache>
                <c:formatCode>mmm\-yy</c:formatCode>
                <c:ptCount val="12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</c:numCache>
            </c:numRef>
          </c:cat>
          <c:val>
            <c:numRef>
              <c:f>'Consumption Graph'!$X$3:$X$14</c:f>
              <c:numCache>
                <c:formatCode>General</c:formatCode>
                <c:ptCount val="12"/>
                <c:pt idx="0">
                  <c:v>18254</c:v>
                </c:pt>
                <c:pt idx="1">
                  <c:v>21205</c:v>
                </c:pt>
                <c:pt idx="2">
                  <c:v>20266</c:v>
                </c:pt>
                <c:pt idx="3">
                  <c:v>21488</c:v>
                </c:pt>
                <c:pt idx="4">
                  <c:v>15845</c:v>
                </c:pt>
                <c:pt idx="5">
                  <c:v>13839</c:v>
                </c:pt>
                <c:pt idx="6">
                  <c:v>16256</c:v>
                </c:pt>
                <c:pt idx="7">
                  <c:v>12962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41-4062-AB70-1F92BA03757A}"/>
            </c:ext>
          </c:extLst>
        </c:ser>
        <c:ser>
          <c:idx val="1"/>
          <c:order val="1"/>
          <c:tx>
            <c:strRef>
              <c:f>'Consumption Graph'!$Y$2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'Consumption Graph'!$W$3:$W$14</c:f>
              <c:numCache>
                <c:formatCode>mmm\-yy</c:formatCode>
                <c:ptCount val="12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</c:numCache>
            </c:numRef>
          </c:cat>
          <c:val>
            <c:numRef>
              <c:f>'Consumption Graph'!$Y$3:$Y$14</c:f>
              <c:numCache>
                <c:formatCode>General</c:formatCode>
                <c:ptCount val="12"/>
                <c:pt idx="0">
                  <c:v>20004</c:v>
                </c:pt>
                <c:pt idx="1">
                  <c:v>320</c:v>
                </c:pt>
                <c:pt idx="2">
                  <c:v>264</c:v>
                </c:pt>
                <c:pt idx="3">
                  <c:v>311</c:v>
                </c:pt>
                <c:pt idx="4">
                  <c:v>216</c:v>
                </c:pt>
                <c:pt idx="5">
                  <c:v>169465</c:v>
                </c:pt>
                <c:pt idx="6">
                  <c:v>300079</c:v>
                </c:pt>
                <c:pt idx="7">
                  <c:v>15469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41-4062-AB70-1F92BA037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6757095"/>
        <c:axId val="1056158103"/>
      </c:barChart>
      <c:dateAx>
        <c:axId val="112675709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58103"/>
        <c:crosses val="autoZero"/>
        <c:auto val="1"/>
        <c:lblOffset val="100"/>
        <c:baseTimeUnit val="months"/>
      </c:dateAx>
      <c:valAx>
        <c:axId val="1056158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757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'Consumption Graph'!$X$25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'Consumption Graph'!$W$26:$W$37</c:f>
              <c:numCache>
                <c:formatCode>mmm\-yy</c:formatCode>
                <c:ptCount val="12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</c:numCache>
            </c:numRef>
          </c:cat>
          <c:val>
            <c:numRef>
              <c:f>'Consumption Graph'!$X$26:$X$37</c:f>
              <c:numCache>
                <c:formatCode>0</c:formatCode>
                <c:ptCount val="12"/>
                <c:pt idx="0">
                  <c:v>521.54285714285709</c:v>
                </c:pt>
                <c:pt idx="1">
                  <c:v>757.32142857142856</c:v>
                </c:pt>
                <c:pt idx="2">
                  <c:v>723.78571428571433</c:v>
                </c:pt>
                <c:pt idx="3">
                  <c:v>632</c:v>
                </c:pt>
                <c:pt idx="4">
                  <c:v>546.37931034482756</c:v>
                </c:pt>
                <c:pt idx="5">
                  <c:v>494.25</c:v>
                </c:pt>
                <c:pt idx="6">
                  <c:v>478.11764705882354</c:v>
                </c:pt>
                <c:pt idx="7">
                  <c:v>360.05555555555554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EA-40C1-9BBD-AC8B348827C0}"/>
            </c:ext>
          </c:extLst>
        </c:ser>
        <c:ser>
          <c:idx val="1"/>
          <c:order val="1"/>
          <c:tx>
            <c:strRef>
              <c:f>'Consumption Graph'!$Y$25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'Consumption Graph'!$W$26:$W$37</c:f>
              <c:numCache>
                <c:formatCode>mmm\-yy</c:formatCode>
                <c:ptCount val="12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</c:numCache>
            </c:numRef>
          </c:cat>
          <c:val>
            <c:numRef>
              <c:f>'Consumption Graph'!$Y$26:$Y$37</c:f>
              <c:numCache>
                <c:formatCode>0</c:formatCode>
                <c:ptCount val="12"/>
                <c:pt idx="0">
                  <c:v>666.8</c:v>
                </c:pt>
                <c:pt idx="1">
                  <c:v>10.666666666666666</c:v>
                </c:pt>
                <c:pt idx="2">
                  <c:v>10</c:v>
                </c:pt>
                <c:pt idx="3">
                  <c:v>8.8857142857142861</c:v>
                </c:pt>
                <c:pt idx="4">
                  <c:v>7.2</c:v>
                </c:pt>
                <c:pt idx="5">
                  <c:v>5456</c:v>
                </c:pt>
                <c:pt idx="6">
                  <c:v>541.65884476534291</c:v>
                </c:pt>
                <c:pt idx="7">
                  <c:v>454.97058823529414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EA-40C1-9BBD-AC8B34882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849799"/>
        <c:axId val="380254040"/>
      </c:barChart>
      <c:dateAx>
        <c:axId val="6688497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254040"/>
        <c:crosses val="autoZero"/>
        <c:auto val="1"/>
        <c:lblOffset val="100"/>
        <c:baseTimeUnit val="months"/>
      </c:dateAx>
      <c:valAx>
        <c:axId val="38025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849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'Rates Graph'!$Y$4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'Rates Graph'!$X$5:$X$16</c:f>
              <c:numCache>
                <c:formatCode>mmm\-yy</c:formatCode>
                <c:ptCount val="12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</c:numCache>
            </c:numRef>
          </c:cat>
          <c:val>
            <c:numRef>
              <c:f>'Rates Graph'!$Y$5:$Y$16</c:f>
              <c:numCache>
                <c:formatCode>_-[$R-436]* #,##0.00_-;\-[$R-436]* #,##0.00_-;_-[$R-436]* "-"??_-;_-@_-</c:formatCode>
                <c:ptCount val="12"/>
                <c:pt idx="0">
                  <c:v>2</c:v>
                </c:pt>
                <c:pt idx="1">
                  <c:v>1.8766850271162461</c:v>
                </c:pt>
                <c:pt idx="2">
                  <c:v>2.0168699546037701</c:v>
                </c:pt>
                <c:pt idx="3">
                  <c:v>2.0168697645197318</c:v>
                </c:pt>
                <c:pt idx="4">
                  <c:v>2.02</c:v>
                </c:pt>
                <c:pt idx="5">
                  <c:v>2.0168701495772816</c:v>
                </c:pt>
                <c:pt idx="6">
                  <c:v>2.0943476562500001</c:v>
                </c:pt>
                <c:pt idx="7">
                  <c:v>2.0168703903718561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76-4BC9-801F-032C118E7074}"/>
            </c:ext>
          </c:extLst>
        </c:ser>
        <c:ser>
          <c:idx val="1"/>
          <c:order val="1"/>
          <c:tx>
            <c:strRef>
              <c:f>'Rates Graph'!$Z$4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'Rates Graph'!$X$5:$X$16</c:f>
              <c:numCache>
                <c:formatCode>mmm\-yy</c:formatCode>
                <c:ptCount val="12"/>
                <c:pt idx="0">
                  <c:v>44682</c:v>
                </c:pt>
                <c:pt idx="1">
                  <c:v>44713</c:v>
                </c:pt>
                <c:pt idx="2">
                  <c:v>44743</c:v>
                </c:pt>
                <c:pt idx="3">
                  <c:v>44774</c:v>
                </c:pt>
                <c:pt idx="4">
                  <c:v>44805</c:v>
                </c:pt>
                <c:pt idx="5">
                  <c:v>44835</c:v>
                </c:pt>
                <c:pt idx="6">
                  <c:v>44866</c:v>
                </c:pt>
                <c:pt idx="7">
                  <c:v>44896</c:v>
                </c:pt>
                <c:pt idx="8">
                  <c:v>44927</c:v>
                </c:pt>
                <c:pt idx="9">
                  <c:v>44958</c:v>
                </c:pt>
                <c:pt idx="10">
                  <c:v>44986</c:v>
                </c:pt>
                <c:pt idx="11">
                  <c:v>45017</c:v>
                </c:pt>
              </c:numCache>
            </c:numRef>
          </c:cat>
          <c:val>
            <c:numRef>
              <c:f>'Rates Graph'!$Z$5:$Z$16</c:f>
              <c:numCache>
                <c:formatCode>_-[$R-436]* #,##0.00_-;\-[$R-436]* #,##0.00_-;_-[$R-436]* "-"??_-;_-@_-</c:formatCode>
                <c:ptCount val="12"/>
                <c:pt idx="0">
                  <c:v>1.88</c:v>
                </c:pt>
                <c:pt idx="1">
                  <c:v>1.9114437499999997</c:v>
                </c:pt>
                <c:pt idx="2">
                  <c:v>2.0168699546037701</c:v>
                </c:pt>
                <c:pt idx="3">
                  <c:v>2.0148295819935691</c:v>
                </c:pt>
                <c:pt idx="4">
                  <c:v>2.02</c:v>
                </c:pt>
                <c:pt idx="5">
                  <c:v>2.44</c:v>
                </c:pt>
                <c:pt idx="6">
                  <c:v>4.0861351510768938E-2</c:v>
                </c:pt>
                <c:pt idx="7">
                  <c:v>2.0169709418837671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76-4BC9-801F-032C118E7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6756263"/>
        <c:axId val="1056371943"/>
      </c:barChart>
      <c:dateAx>
        <c:axId val="11267562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371943"/>
        <c:crosses val="autoZero"/>
        <c:auto val="1"/>
        <c:lblOffset val="100"/>
        <c:baseTimeUnit val="months"/>
      </c:dateAx>
      <c:valAx>
        <c:axId val="1056371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756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</xdr:row>
      <xdr:rowOff>85725</xdr:rowOff>
    </xdr:from>
    <xdr:to>
      <xdr:col>10</xdr:col>
      <xdr:colOff>447675</xdr:colOff>
      <xdr:row>18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CEDDDE-9CE2-083A-FFAE-BF957C648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1</xdr:row>
      <xdr:rowOff>76200</xdr:rowOff>
    </xdr:from>
    <xdr:to>
      <xdr:col>9</xdr:col>
      <xdr:colOff>314325</xdr:colOff>
      <xdr:row>19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BE79DB-47E9-69E4-2064-3E97B6685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371475</xdr:colOff>
      <xdr:row>22</xdr:row>
      <xdr:rowOff>19050</xdr:rowOff>
    </xdr:from>
    <xdr:to>
      <xdr:col>9</xdr:col>
      <xdr:colOff>66675</xdr:colOff>
      <xdr:row>36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ADF15B-2608-CC19-D77A-60B3EF07CFF8}"/>
            </a:ext>
            <a:ext uri="{147F2762-F138-4A5C-976F-8EAC2B608ADB}">
              <a16:predDERef xmlns:a16="http://schemas.microsoft.com/office/drawing/2014/main" pred="{2EBE79DB-47E9-69E4-2064-3E97B6685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1</xdr:row>
      <xdr:rowOff>85725</xdr:rowOff>
    </xdr:from>
    <xdr:to>
      <xdr:col>9</xdr:col>
      <xdr:colOff>295275</xdr:colOff>
      <xdr:row>18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54C86A-CFE2-8A97-1203-9E080D892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A5209-43E4-4047-B2BE-CD170A1C0DBF}">
  <sheetPr>
    <pageSetUpPr fitToPage="1"/>
  </sheetPr>
  <dimension ref="A1:P480"/>
  <sheetViews>
    <sheetView tabSelected="1" topLeftCell="A447" workbookViewId="0">
      <selection activeCell="J476" sqref="J476:J477"/>
    </sheetView>
  </sheetViews>
  <sheetFormatPr defaultRowHeight="15"/>
  <cols>
    <col min="1" max="1" width="12.42578125" customWidth="1"/>
    <col min="2" max="2" width="16.28515625" bestFit="1" customWidth="1"/>
    <col min="3" max="3" width="15.140625" bestFit="1" customWidth="1"/>
    <col min="5" max="5" width="10.28515625" bestFit="1" customWidth="1"/>
    <col min="6" max="6" width="12.140625" bestFit="1" customWidth="1"/>
    <col min="7" max="7" width="24.5703125" bestFit="1" customWidth="1"/>
    <col min="8" max="8" width="20.85546875" bestFit="1" customWidth="1"/>
    <col min="10" max="10" width="10.85546875" bestFit="1" customWidth="1"/>
    <col min="11" max="12" width="12" bestFit="1" customWidth="1"/>
  </cols>
  <sheetData>
    <row r="1" spans="1:6" ht="18.75">
      <c r="A1" s="5" t="s">
        <v>0</v>
      </c>
    </row>
    <row r="3" spans="1:6">
      <c r="A3" s="14">
        <v>43101</v>
      </c>
      <c r="B3" s="4"/>
      <c r="C3" s="4"/>
      <c r="D3" s="4"/>
      <c r="E3" s="4"/>
      <c r="F3" s="4"/>
    </row>
    <row r="4" spans="1:6" hidden="1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</row>
    <row r="5" spans="1:6" hidden="1">
      <c r="A5" s="1" t="s">
        <v>7</v>
      </c>
      <c r="B5" s="1"/>
      <c r="C5" s="1"/>
      <c r="D5" s="1"/>
      <c r="E5" s="7"/>
      <c r="F5" s="7"/>
    </row>
    <row r="6" spans="1:6" hidden="1">
      <c r="A6" s="1" t="s">
        <v>8</v>
      </c>
      <c r="B6" s="1"/>
      <c r="C6" s="1"/>
      <c r="D6" s="1"/>
      <c r="E6" s="7"/>
      <c r="F6" s="7">
        <v>12354.350000000002</v>
      </c>
    </row>
    <row r="7" spans="1:6" hidden="1">
      <c r="A7" s="1" t="s">
        <v>9</v>
      </c>
      <c r="B7" s="1"/>
      <c r="C7" s="1"/>
      <c r="D7" s="1"/>
      <c r="E7" s="7"/>
      <c r="F7" s="7"/>
    </row>
    <row r="8" spans="1:6" hidden="1">
      <c r="A8" s="1" t="s">
        <v>10</v>
      </c>
      <c r="B8" s="1"/>
      <c r="C8" s="1"/>
      <c r="D8" s="1"/>
      <c r="E8" s="7"/>
      <c r="F8" s="7">
        <v>12354.350000000002</v>
      </c>
    </row>
    <row r="9" spans="1:6" hidden="1">
      <c r="E9" s="2"/>
      <c r="F9" s="2"/>
    </row>
    <row r="10" spans="1:6" hidden="1">
      <c r="A10" s="3">
        <v>43132</v>
      </c>
      <c r="E10" s="2"/>
      <c r="F10" s="2"/>
    </row>
    <row r="11" spans="1:6" hidden="1">
      <c r="A11" s="4" t="s">
        <v>1</v>
      </c>
      <c r="B11" s="4" t="s">
        <v>2</v>
      </c>
      <c r="C11" s="4" t="s">
        <v>3</v>
      </c>
      <c r="D11" s="4" t="s">
        <v>4</v>
      </c>
      <c r="E11" s="4" t="s">
        <v>5</v>
      </c>
      <c r="F11" s="4" t="s">
        <v>6</v>
      </c>
    </row>
    <row r="12" spans="1:6" hidden="1">
      <c r="A12" s="1" t="s">
        <v>11</v>
      </c>
      <c r="B12" s="1">
        <v>485033</v>
      </c>
      <c r="C12" s="1">
        <v>496751</v>
      </c>
      <c r="D12" s="1">
        <v>11718</v>
      </c>
      <c r="E12" s="7">
        <v>801.36000000000013</v>
      </c>
      <c r="F12" s="7">
        <v>5252.26</v>
      </c>
    </row>
    <row r="13" spans="1:6" hidden="1">
      <c r="A13" s="1" t="s">
        <v>7</v>
      </c>
      <c r="B13" s="1"/>
      <c r="C13" s="1"/>
      <c r="D13" s="1"/>
      <c r="E13" s="7"/>
      <c r="F13" s="7"/>
    </row>
    <row r="14" spans="1:6" hidden="1">
      <c r="A14" s="1" t="s">
        <v>8</v>
      </c>
      <c r="B14" s="1"/>
      <c r="C14" s="1"/>
      <c r="D14" s="1"/>
      <c r="E14" s="7"/>
      <c r="F14" s="7">
        <v>6053.6200000000008</v>
      </c>
    </row>
    <row r="15" spans="1:6" hidden="1">
      <c r="A15" s="1" t="s">
        <v>9</v>
      </c>
      <c r="B15" s="1"/>
      <c r="C15" s="1"/>
      <c r="D15" s="1"/>
      <c r="E15" s="7"/>
      <c r="F15" s="7"/>
    </row>
    <row r="16" spans="1:6" hidden="1">
      <c r="A16" s="1" t="s">
        <v>10</v>
      </c>
      <c r="B16" s="1"/>
      <c r="C16" s="1"/>
      <c r="D16" s="1"/>
      <c r="E16" s="7"/>
      <c r="F16" s="7">
        <f>F14</f>
        <v>6053.6200000000008</v>
      </c>
    </row>
    <row r="17" spans="1:6" hidden="1">
      <c r="E17" s="2"/>
      <c r="F17" s="2"/>
    </row>
    <row r="18" spans="1:6" hidden="1">
      <c r="A18" s="3">
        <v>43160</v>
      </c>
      <c r="E18" s="2"/>
      <c r="F18" s="2"/>
    </row>
    <row r="19" spans="1:6" hidden="1">
      <c r="A19" s="4" t="s">
        <v>1</v>
      </c>
      <c r="B19" s="4" t="s">
        <v>2</v>
      </c>
      <c r="C19" s="4" t="s">
        <v>3</v>
      </c>
      <c r="D19" s="4" t="s">
        <v>4</v>
      </c>
      <c r="E19" s="4" t="s">
        <v>5</v>
      </c>
      <c r="F19" s="4" t="s">
        <v>6</v>
      </c>
    </row>
    <row r="20" spans="1:6" hidden="1">
      <c r="A20" s="1" t="s">
        <v>11</v>
      </c>
      <c r="B20" s="1">
        <v>496751</v>
      </c>
      <c r="C20" s="1">
        <v>496977</v>
      </c>
      <c r="D20" s="1">
        <v>226</v>
      </c>
      <c r="E20" s="7">
        <v>0</v>
      </c>
      <c r="F20" s="7">
        <v>4538.38</v>
      </c>
    </row>
    <row r="21" spans="1:6" hidden="1">
      <c r="A21" s="1" t="s">
        <v>7</v>
      </c>
      <c r="B21" s="1"/>
      <c r="C21" s="1"/>
      <c r="D21" s="1"/>
      <c r="E21" s="7"/>
      <c r="F21" s="7"/>
    </row>
    <row r="22" spans="1:6" hidden="1">
      <c r="A22" s="1" t="s">
        <v>8</v>
      </c>
      <c r="B22" s="1"/>
      <c r="C22" s="1"/>
      <c r="D22" s="1"/>
      <c r="E22" s="7"/>
      <c r="F22" s="7">
        <v>4538.38</v>
      </c>
    </row>
    <row r="23" spans="1:6" hidden="1">
      <c r="A23" s="1" t="s">
        <v>9</v>
      </c>
      <c r="B23" s="1"/>
      <c r="C23" s="1"/>
      <c r="D23" s="1"/>
      <c r="E23" s="7"/>
      <c r="F23" s="7"/>
    </row>
    <row r="24" spans="1:6" hidden="1">
      <c r="A24" s="1" t="s">
        <v>10</v>
      </c>
      <c r="B24" s="1"/>
      <c r="C24" s="1"/>
      <c r="D24" s="1"/>
      <c r="E24" s="7"/>
      <c r="F24" s="7">
        <f>F22</f>
        <v>4538.38</v>
      </c>
    </row>
    <row r="25" spans="1:6" hidden="1">
      <c r="E25" s="2"/>
      <c r="F25" s="2"/>
    </row>
    <row r="26" spans="1:6" hidden="1">
      <c r="A26" s="3">
        <v>43191</v>
      </c>
      <c r="E26" s="2"/>
      <c r="F26" s="2"/>
    </row>
    <row r="27" spans="1:6" hidden="1">
      <c r="A27" s="4" t="s">
        <v>1</v>
      </c>
      <c r="B27" s="4" t="s">
        <v>2</v>
      </c>
      <c r="C27" s="4" t="s">
        <v>3</v>
      </c>
      <c r="D27" s="4" t="s">
        <v>4</v>
      </c>
      <c r="E27" s="4" t="s">
        <v>5</v>
      </c>
      <c r="F27" s="4" t="s">
        <v>6</v>
      </c>
    </row>
    <row r="28" spans="1:6" hidden="1">
      <c r="A28" s="1" t="s">
        <v>11</v>
      </c>
      <c r="B28" s="1">
        <v>496977</v>
      </c>
      <c r="C28" s="1">
        <v>524092</v>
      </c>
      <c r="D28" s="1">
        <v>27115</v>
      </c>
      <c r="E28" s="7">
        <v>2772.429999999998</v>
      </c>
      <c r="F28" s="7">
        <v>5171.47</v>
      </c>
    </row>
    <row r="29" spans="1:6" hidden="1">
      <c r="A29" s="1" t="s">
        <v>7</v>
      </c>
      <c r="B29" s="1"/>
      <c r="C29" s="1"/>
      <c r="D29" s="1"/>
      <c r="E29" s="7"/>
      <c r="F29" s="7"/>
    </row>
    <row r="30" spans="1:6" hidden="1">
      <c r="A30" s="1" t="s">
        <v>8</v>
      </c>
      <c r="B30" s="1"/>
      <c r="C30" s="1"/>
      <c r="D30" s="1"/>
      <c r="E30" s="7"/>
      <c r="F30" s="7">
        <v>7943.8999999999978</v>
      </c>
    </row>
    <row r="31" spans="1:6" hidden="1">
      <c r="A31" s="1" t="s">
        <v>9</v>
      </c>
      <c r="B31" s="1"/>
      <c r="C31" s="1"/>
      <c r="D31" s="1"/>
      <c r="E31" s="7"/>
      <c r="F31" s="7"/>
    </row>
    <row r="32" spans="1:6" hidden="1">
      <c r="A32" s="1" t="s">
        <v>10</v>
      </c>
      <c r="B32" s="1"/>
      <c r="C32" s="1"/>
      <c r="D32" s="1"/>
      <c r="E32" s="7"/>
      <c r="F32" s="7">
        <f>F30</f>
        <v>7943.8999999999978</v>
      </c>
    </row>
    <row r="33" spans="1:6" hidden="1">
      <c r="A33" s="4"/>
      <c r="E33" s="2"/>
      <c r="F33" s="2"/>
    </row>
    <row r="34" spans="1:6" hidden="1">
      <c r="A34" s="3">
        <v>43221</v>
      </c>
      <c r="E34" s="2"/>
      <c r="F34" s="2"/>
    </row>
    <row r="35" spans="1:6" hidden="1">
      <c r="A35" s="4" t="s">
        <v>1</v>
      </c>
      <c r="B35" s="4" t="s">
        <v>2</v>
      </c>
      <c r="C35" s="4" t="s">
        <v>3</v>
      </c>
      <c r="D35" s="4" t="s">
        <v>4</v>
      </c>
      <c r="E35" s="4" t="s">
        <v>5</v>
      </c>
      <c r="F35" s="4" t="s">
        <v>6</v>
      </c>
    </row>
    <row r="36" spans="1:6" hidden="1">
      <c r="A36" s="1" t="s">
        <v>11</v>
      </c>
      <c r="B36" s="1">
        <v>524092</v>
      </c>
      <c r="C36" s="1">
        <v>524092</v>
      </c>
      <c r="D36" s="1">
        <v>0</v>
      </c>
      <c r="E36" s="7">
        <v>2772.429999999998</v>
      </c>
      <c r="F36" s="7">
        <v>5692.7500000000009</v>
      </c>
    </row>
    <row r="37" spans="1:6" hidden="1">
      <c r="A37" s="1" t="s">
        <v>7</v>
      </c>
      <c r="B37" s="1"/>
      <c r="C37" s="1"/>
      <c r="D37" s="1"/>
      <c r="E37" s="7"/>
      <c r="F37" s="7"/>
    </row>
    <row r="38" spans="1:6" hidden="1">
      <c r="A38" s="1" t="s">
        <v>8</v>
      </c>
      <c r="B38" s="1"/>
      <c r="C38" s="1"/>
      <c r="D38" s="1"/>
      <c r="E38" s="7"/>
      <c r="F38" s="7">
        <v>8465.1799999999985</v>
      </c>
    </row>
    <row r="39" spans="1:6" hidden="1">
      <c r="A39" s="1" t="s">
        <v>9</v>
      </c>
      <c r="B39" s="1"/>
      <c r="C39" s="1"/>
      <c r="D39" s="1"/>
      <c r="E39" s="7"/>
      <c r="F39" s="7"/>
    </row>
    <row r="40" spans="1:6" hidden="1">
      <c r="A40" s="1" t="s">
        <v>10</v>
      </c>
      <c r="B40" s="1"/>
      <c r="C40" s="1"/>
      <c r="D40" s="1"/>
      <c r="E40" s="7"/>
      <c r="F40" s="7">
        <f>F38</f>
        <v>8465.1799999999985</v>
      </c>
    </row>
    <row r="41" spans="1:6" hidden="1">
      <c r="E41" s="2"/>
      <c r="F41" s="2"/>
    </row>
    <row r="42" spans="1:6" hidden="1">
      <c r="A42" s="3">
        <v>43252</v>
      </c>
      <c r="E42" s="2"/>
      <c r="F42" s="2"/>
    </row>
    <row r="43" spans="1:6" hidden="1">
      <c r="A43" s="4" t="s">
        <v>1</v>
      </c>
      <c r="B43" s="4" t="s">
        <v>2</v>
      </c>
      <c r="C43" s="4" t="s">
        <v>3</v>
      </c>
      <c r="D43" s="4" t="s">
        <v>4</v>
      </c>
      <c r="E43" s="4" t="s">
        <v>5</v>
      </c>
      <c r="F43" s="4" t="s">
        <v>6</v>
      </c>
    </row>
    <row r="44" spans="1:6" hidden="1">
      <c r="A44" s="1" t="s">
        <v>11</v>
      </c>
      <c r="B44" s="1">
        <v>524092</v>
      </c>
      <c r="C44" s="1">
        <v>524092</v>
      </c>
      <c r="D44" s="1">
        <v>0</v>
      </c>
      <c r="E44" s="7">
        <v>581.9400000000004</v>
      </c>
      <c r="F44" s="7">
        <v>5352.11</v>
      </c>
    </row>
    <row r="45" spans="1:6" hidden="1">
      <c r="A45" s="1" t="s">
        <v>7</v>
      </c>
      <c r="B45" s="1"/>
      <c r="C45" s="1"/>
      <c r="D45" s="1"/>
      <c r="E45" s="7"/>
      <c r="F45" s="7"/>
    </row>
    <row r="46" spans="1:6" hidden="1">
      <c r="A46" s="1" t="s">
        <v>8</v>
      </c>
      <c r="B46" s="1"/>
      <c r="C46" s="1"/>
      <c r="D46" s="1"/>
      <c r="E46" s="7"/>
      <c r="F46" s="7">
        <v>5934.05</v>
      </c>
    </row>
    <row r="47" spans="1:6" hidden="1">
      <c r="A47" s="1" t="s">
        <v>9</v>
      </c>
      <c r="B47" s="1"/>
      <c r="C47" s="1"/>
      <c r="D47" s="1"/>
      <c r="E47" s="7"/>
      <c r="F47" s="7"/>
    </row>
    <row r="48" spans="1:6" hidden="1">
      <c r="A48" s="1" t="s">
        <v>10</v>
      </c>
      <c r="B48" s="1"/>
      <c r="C48" s="1"/>
      <c r="D48" s="1"/>
      <c r="E48" s="7"/>
      <c r="F48" s="7">
        <f>F46</f>
        <v>5934.05</v>
      </c>
    </row>
    <row r="49" spans="1:6" hidden="1">
      <c r="E49" s="2"/>
      <c r="F49" s="2"/>
    </row>
    <row r="50" spans="1:6" hidden="1">
      <c r="A50" s="3">
        <v>43282</v>
      </c>
      <c r="E50" s="2"/>
      <c r="F50" s="2"/>
    </row>
    <row r="51" spans="1:6" hidden="1">
      <c r="A51" s="4" t="s">
        <v>1</v>
      </c>
      <c r="B51" s="4" t="s">
        <v>2</v>
      </c>
      <c r="C51" s="4" t="s">
        <v>3</v>
      </c>
      <c r="D51" s="4" t="s">
        <v>4</v>
      </c>
      <c r="E51" s="4" t="s">
        <v>5</v>
      </c>
      <c r="F51" s="4" t="s">
        <v>6</v>
      </c>
    </row>
    <row r="52" spans="1:6" hidden="1">
      <c r="A52" s="1" t="s">
        <v>11</v>
      </c>
      <c r="B52" s="1">
        <v>524092</v>
      </c>
      <c r="C52" s="1">
        <v>530423</v>
      </c>
      <c r="D52" s="1">
        <v>6331</v>
      </c>
      <c r="E52" s="7">
        <v>581.9400000000004</v>
      </c>
      <c r="F52" s="7">
        <v>6263.0399999999991</v>
      </c>
    </row>
    <row r="53" spans="1:6" hidden="1">
      <c r="A53" s="1" t="s">
        <v>7</v>
      </c>
      <c r="B53" s="1"/>
      <c r="C53" s="1"/>
      <c r="D53" s="1"/>
      <c r="E53" s="7"/>
      <c r="F53" s="7"/>
    </row>
    <row r="54" spans="1:6" hidden="1">
      <c r="A54" s="1" t="s">
        <v>8</v>
      </c>
      <c r="B54" s="1"/>
      <c r="C54" s="1"/>
      <c r="D54" s="1"/>
      <c r="E54" s="7"/>
      <c r="F54" s="7">
        <v>6844.98</v>
      </c>
    </row>
    <row r="55" spans="1:6" hidden="1">
      <c r="A55" s="1" t="s">
        <v>9</v>
      </c>
      <c r="B55" s="1"/>
      <c r="C55" s="1"/>
      <c r="D55" s="1"/>
      <c r="E55" s="7"/>
      <c r="F55" s="7"/>
    </row>
    <row r="56" spans="1:6" hidden="1">
      <c r="A56" s="1" t="s">
        <v>10</v>
      </c>
      <c r="B56" s="1"/>
      <c r="C56" s="1"/>
      <c r="D56" s="1"/>
      <c r="E56" s="7"/>
      <c r="F56" s="7">
        <f>F54</f>
        <v>6844.98</v>
      </c>
    </row>
    <row r="57" spans="1:6" hidden="1">
      <c r="E57" s="2"/>
      <c r="F57" s="2"/>
    </row>
    <row r="58" spans="1:6" hidden="1">
      <c r="A58" s="3">
        <v>43313</v>
      </c>
      <c r="E58" s="2"/>
      <c r="F58" s="2"/>
    </row>
    <row r="59" spans="1:6" hidden="1">
      <c r="A59" s="4" t="s">
        <v>1</v>
      </c>
      <c r="B59" s="4" t="s">
        <v>2</v>
      </c>
      <c r="C59" s="4" t="s">
        <v>3</v>
      </c>
      <c r="D59" s="4" t="s">
        <v>4</v>
      </c>
      <c r="E59" s="4" t="s">
        <v>5</v>
      </c>
      <c r="F59" s="4" t="s">
        <v>6</v>
      </c>
    </row>
    <row r="60" spans="1:6" hidden="1">
      <c r="A60" s="1" t="s">
        <v>11</v>
      </c>
      <c r="B60" s="1">
        <v>581439</v>
      </c>
      <c r="C60" s="1">
        <v>581737</v>
      </c>
      <c r="D60" s="1">
        <v>298</v>
      </c>
      <c r="E60" s="7">
        <v>0</v>
      </c>
      <c r="F60" s="7">
        <v>5669.76</v>
      </c>
    </row>
    <row r="61" spans="1:6" hidden="1">
      <c r="A61" s="1" t="s">
        <v>7</v>
      </c>
      <c r="B61" s="1"/>
      <c r="C61" s="1"/>
      <c r="D61" s="1"/>
      <c r="E61" s="7"/>
      <c r="F61" s="7"/>
    </row>
    <row r="62" spans="1:6" hidden="1">
      <c r="A62" s="1" t="s">
        <v>8</v>
      </c>
      <c r="B62" s="1"/>
      <c r="C62" s="1"/>
      <c r="D62" s="1"/>
      <c r="E62" s="7"/>
      <c r="F62" s="7">
        <v>5669.76</v>
      </c>
    </row>
    <row r="63" spans="1:6" hidden="1">
      <c r="A63" s="1" t="s">
        <v>9</v>
      </c>
      <c r="B63" s="1"/>
      <c r="C63" s="1"/>
      <c r="D63" s="1"/>
      <c r="E63" s="7"/>
      <c r="F63" s="7"/>
    </row>
    <row r="64" spans="1:6" hidden="1">
      <c r="A64" s="1" t="s">
        <v>10</v>
      </c>
      <c r="B64" s="1"/>
      <c r="C64" s="1"/>
      <c r="D64" s="1"/>
      <c r="E64" s="7"/>
      <c r="F64" s="7">
        <f>F62</f>
        <v>5669.76</v>
      </c>
    </row>
    <row r="65" spans="1:6" hidden="1">
      <c r="E65" s="2"/>
      <c r="F65" s="2"/>
    </row>
    <row r="66" spans="1:6" hidden="1">
      <c r="A66" s="3">
        <v>43344</v>
      </c>
      <c r="E66" s="2"/>
      <c r="F66" s="2"/>
    </row>
    <row r="67" spans="1:6" hidden="1">
      <c r="A67" s="4" t="s">
        <v>1</v>
      </c>
      <c r="B67" s="4" t="s">
        <v>2</v>
      </c>
      <c r="C67" s="4" t="s">
        <v>3</v>
      </c>
      <c r="D67" s="4" t="s">
        <v>4</v>
      </c>
      <c r="E67" s="4" t="s">
        <v>5</v>
      </c>
      <c r="F67" s="4" t="s">
        <v>6</v>
      </c>
    </row>
    <row r="68" spans="1:6" hidden="1">
      <c r="A68" s="1" t="s">
        <v>11</v>
      </c>
      <c r="B68" s="1">
        <v>581737</v>
      </c>
      <c r="C68" s="1">
        <v>614194</v>
      </c>
      <c r="D68" s="1">
        <v>32457</v>
      </c>
      <c r="E68" s="7">
        <v>6018.6800000000048</v>
      </c>
      <c r="F68" s="7">
        <v>4721.2800000000007</v>
      </c>
    </row>
    <row r="69" spans="1:6" hidden="1">
      <c r="A69" s="1" t="s">
        <v>7</v>
      </c>
      <c r="B69" s="1"/>
      <c r="C69" s="1"/>
      <c r="D69" s="1"/>
      <c r="E69" s="7"/>
      <c r="F69" s="7"/>
    </row>
    <row r="70" spans="1:6" hidden="1">
      <c r="A70" s="1" t="s">
        <v>8</v>
      </c>
      <c r="B70" s="1"/>
      <c r="C70" s="1"/>
      <c r="D70" s="1"/>
      <c r="E70" s="7"/>
      <c r="F70" s="7">
        <v>10739.960000000006</v>
      </c>
    </row>
    <row r="71" spans="1:6" hidden="1">
      <c r="A71" s="1" t="s">
        <v>9</v>
      </c>
      <c r="B71" s="1"/>
      <c r="C71" s="1"/>
      <c r="D71" s="1"/>
      <c r="E71" s="7"/>
      <c r="F71" s="7"/>
    </row>
    <row r="72" spans="1:6" hidden="1">
      <c r="A72" s="1" t="s">
        <v>10</v>
      </c>
      <c r="B72" s="1"/>
      <c r="C72" s="1"/>
      <c r="D72" s="1"/>
      <c r="E72" s="7"/>
      <c r="F72" s="7">
        <f>F70</f>
        <v>10739.960000000006</v>
      </c>
    </row>
    <row r="73" spans="1:6" hidden="1">
      <c r="E73" s="2"/>
      <c r="F73" s="2"/>
    </row>
    <row r="74" spans="1:6" hidden="1">
      <c r="A74" s="3">
        <v>43374</v>
      </c>
      <c r="E74" s="2"/>
      <c r="F74" s="2"/>
    </row>
    <row r="75" spans="1:6" hidden="1">
      <c r="A75" s="4" t="s">
        <v>1</v>
      </c>
      <c r="B75" s="4" t="s">
        <v>2</v>
      </c>
      <c r="C75" s="4" t="s">
        <v>3</v>
      </c>
      <c r="D75" s="4" t="s">
        <v>4</v>
      </c>
      <c r="E75" s="4" t="s">
        <v>5</v>
      </c>
      <c r="F75" s="4" t="s">
        <v>6</v>
      </c>
    </row>
    <row r="76" spans="1:6" hidden="1">
      <c r="A76" s="1" t="s">
        <v>11</v>
      </c>
      <c r="B76" s="1">
        <v>614194</v>
      </c>
      <c r="C76" s="1">
        <v>626546</v>
      </c>
      <c r="D76" s="1">
        <v>12352</v>
      </c>
      <c r="E76" s="7">
        <v>1984.320000000002</v>
      </c>
      <c r="F76" s="7">
        <v>3469.44</v>
      </c>
    </row>
    <row r="77" spans="1:6" hidden="1">
      <c r="A77" s="1" t="s">
        <v>7</v>
      </c>
      <c r="B77" s="1"/>
      <c r="C77" s="1"/>
      <c r="D77" s="1"/>
      <c r="E77" s="7"/>
      <c r="F77" s="7"/>
    </row>
    <row r="78" spans="1:6" hidden="1">
      <c r="A78" s="1" t="s">
        <v>8</v>
      </c>
      <c r="B78" s="1"/>
      <c r="C78" s="1"/>
      <c r="D78" s="1"/>
      <c r="E78" s="7"/>
      <c r="F78" s="7">
        <v>5453.760000000002</v>
      </c>
    </row>
    <row r="79" spans="1:6" hidden="1">
      <c r="A79" s="1" t="s">
        <v>9</v>
      </c>
      <c r="B79" s="1"/>
      <c r="C79" s="1"/>
      <c r="D79" s="1"/>
      <c r="E79" s="7"/>
      <c r="F79" s="7"/>
    </row>
    <row r="80" spans="1:6" hidden="1">
      <c r="A80" s="1" t="s">
        <v>10</v>
      </c>
      <c r="B80" s="1"/>
      <c r="C80" s="1"/>
      <c r="D80" s="1"/>
      <c r="E80" s="7"/>
      <c r="F80" s="7">
        <f>F78</f>
        <v>5453.760000000002</v>
      </c>
    </row>
    <row r="81" spans="1:6" hidden="1">
      <c r="E81" s="2"/>
      <c r="F81" s="2"/>
    </row>
    <row r="82" spans="1:6" hidden="1">
      <c r="A82" s="3">
        <v>43405</v>
      </c>
      <c r="E82" s="2"/>
      <c r="F82" s="2"/>
    </row>
    <row r="83" spans="1:6" hidden="1">
      <c r="A83" s="4" t="s">
        <v>1</v>
      </c>
      <c r="B83" s="4" t="s">
        <v>2</v>
      </c>
      <c r="C83" s="4" t="s">
        <v>3</v>
      </c>
      <c r="D83" s="4" t="s">
        <v>4</v>
      </c>
      <c r="E83" s="4" t="s">
        <v>5</v>
      </c>
      <c r="F83" s="4" t="s">
        <v>6</v>
      </c>
    </row>
    <row r="84" spans="1:6" hidden="1">
      <c r="A84" s="1" t="s">
        <v>11</v>
      </c>
      <c r="B84" s="1">
        <v>626546</v>
      </c>
      <c r="C84" s="1">
        <v>637053</v>
      </c>
      <c r="D84" s="1">
        <v>10507</v>
      </c>
      <c r="E84" s="7">
        <v>0</v>
      </c>
      <c r="F84" s="7">
        <v>2487.36</v>
      </c>
    </row>
    <row r="85" spans="1:6" hidden="1">
      <c r="A85" s="1" t="s">
        <v>7</v>
      </c>
      <c r="B85" s="1"/>
      <c r="C85" s="1"/>
      <c r="D85" s="1"/>
      <c r="E85" s="7"/>
      <c r="F85" s="7"/>
    </row>
    <row r="86" spans="1:6" hidden="1">
      <c r="A86" s="1" t="s">
        <v>8</v>
      </c>
      <c r="B86" s="1"/>
      <c r="C86" s="1"/>
      <c r="D86" s="1"/>
      <c r="E86" s="7"/>
      <c r="F86" s="7">
        <v>2487.36</v>
      </c>
    </row>
    <row r="87" spans="1:6" hidden="1">
      <c r="A87" s="1" t="s">
        <v>9</v>
      </c>
      <c r="B87" s="1"/>
      <c r="C87" s="1"/>
      <c r="D87" s="1"/>
      <c r="E87" s="7"/>
      <c r="F87" s="7"/>
    </row>
    <row r="88" spans="1:6" hidden="1">
      <c r="A88" s="1" t="s">
        <v>10</v>
      </c>
      <c r="B88" s="1"/>
      <c r="C88" s="1"/>
      <c r="D88" s="1"/>
      <c r="E88" s="7"/>
      <c r="F88" s="7">
        <f>F86</f>
        <v>2487.36</v>
      </c>
    </row>
    <row r="89" spans="1:6" hidden="1">
      <c r="E89" s="2"/>
      <c r="F89" s="2"/>
    </row>
    <row r="90" spans="1:6" hidden="1">
      <c r="A90" s="3">
        <v>43435</v>
      </c>
      <c r="E90" s="2"/>
      <c r="F90" s="2"/>
    </row>
    <row r="91" spans="1:6" hidden="1">
      <c r="A91" s="4" t="s">
        <v>1</v>
      </c>
      <c r="B91" s="4" t="s">
        <v>2</v>
      </c>
      <c r="C91" s="4" t="s">
        <v>3</v>
      </c>
      <c r="D91" s="4" t="s">
        <v>4</v>
      </c>
      <c r="E91" s="4" t="s">
        <v>5</v>
      </c>
      <c r="F91" s="4" t="s">
        <v>6</v>
      </c>
    </row>
    <row r="92" spans="1:6" hidden="1">
      <c r="A92" s="1" t="s">
        <v>11</v>
      </c>
      <c r="B92" s="1">
        <v>637053</v>
      </c>
      <c r="C92" s="1">
        <v>649960</v>
      </c>
      <c r="D92" s="1">
        <v>12907</v>
      </c>
      <c r="E92" s="7">
        <v>1699.7099999999994</v>
      </c>
      <c r="F92" s="7">
        <v>3306.24</v>
      </c>
    </row>
    <row r="93" spans="1:6" hidden="1">
      <c r="A93" s="1" t="s">
        <v>7</v>
      </c>
      <c r="B93" s="1"/>
      <c r="C93" s="1"/>
      <c r="D93" s="1"/>
      <c r="E93" s="7"/>
      <c r="F93" s="7"/>
    </row>
    <row r="94" spans="1:6" hidden="1">
      <c r="A94" s="1" t="s">
        <v>8</v>
      </c>
      <c r="B94" s="1"/>
      <c r="C94" s="1"/>
      <c r="D94" s="1"/>
      <c r="E94" s="7"/>
      <c r="F94" s="7">
        <v>5005.9499999999989</v>
      </c>
    </row>
    <row r="95" spans="1:6" hidden="1">
      <c r="A95" s="1" t="s">
        <v>9</v>
      </c>
      <c r="B95" s="1"/>
      <c r="C95" s="1"/>
      <c r="D95" s="1"/>
      <c r="E95" s="7"/>
      <c r="F95" s="7"/>
    </row>
    <row r="96" spans="1:6" hidden="1">
      <c r="A96" s="1" t="s">
        <v>10</v>
      </c>
      <c r="B96" s="1"/>
      <c r="C96" s="1"/>
      <c r="D96" s="1"/>
      <c r="E96" s="7"/>
      <c r="F96" s="7">
        <f>F94</f>
        <v>5005.9499999999989</v>
      </c>
    </row>
    <row r="97" spans="1:11">
      <c r="E97" s="2"/>
      <c r="F97" s="2"/>
    </row>
    <row r="98" spans="1:11">
      <c r="A98" s="14">
        <v>43466</v>
      </c>
      <c r="E98" s="2"/>
      <c r="F98" s="2"/>
    </row>
    <row r="99" spans="1:11" hidden="1">
      <c r="A99" s="4" t="s">
        <v>1</v>
      </c>
      <c r="B99" s="4" t="s">
        <v>2</v>
      </c>
      <c r="C99" s="4" t="s">
        <v>3</v>
      </c>
      <c r="D99" s="4" t="s">
        <v>4</v>
      </c>
      <c r="E99" s="4" t="s">
        <v>5</v>
      </c>
      <c r="F99" s="4" t="s">
        <v>6</v>
      </c>
      <c r="G99" s="6" t="s">
        <v>12</v>
      </c>
      <c r="H99" s="6" t="s">
        <v>13</v>
      </c>
      <c r="I99" s="6" t="s">
        <v>14</v>
      </c>
      <c r="J99" s="6" t="s">
        <v>15</v>
      </c>
      <c r="K99" s="6" t="s">
        <v>16</v>
      </c>
    </row>
    <row r="100" spans="1:11" hidden="1">
      <c r="A100" s="1" t="s">
        <v>11</v>
      </c>
      <c r="B100" s="1">
        <v>649960</v>
      </c>
      <c r="C100" s="1">
        <v>658124</v>
      </c>
      <c r="D100" s="1">
        <v>8164</v>
      </c>
      <c r="E100" s="7">
        <v>1885.7399999999986</v>
      </c>
      <c r="F100" s="8">
        <v>34.560000000000059</v>
      </c>
      <c r="G100" s="1" t="s">
        <v>17</v>
      </c>
      <c r="H100" s="1">
        <v>21</v>
      </c>
      <c r="I100" s="1">
        <v>1.92</v>
      </c>
      <c r="J100" s="1" t="s">
        <v>18</v>
      </c>
      <c r="K100" s="1">
        <f>D100/H100</f>
        <v>388.76190476190476</v>
      </c>
    </row>
    <row r="101" spans="1:11" hidden="1">
      <c r="A101" s="1" t="s">
        <v>7</v>
      </c>
      <c r="B101" s="1"/>
      <c r="C101" s="1"/>
      <c r="D101" s="1"/>
      <c r="E101" s="7"/>
      <c r="F101" s="8"/>
      <c r="G101" s="1"/>
      <c r="H101" s="1"/>
      <c r="I101" s="1"/>
      <c r="J101" s="1"/>
      <c r="K101" s="1"/>
    </row>
    <row r="102" spans="1:11" hidden="1">
      <c r="A102" s="1" t="s">
        <v>8</v>
      </c>
      <c r="B102" s="1"/>
      <c r="C102" s="1"/>
      <c r="D102" s="1"/>
      <c r="E102" s="7"/>
      <c r="F102" s="8">
        <v>1920.2999999999988</v>
      </c>
      <c r="G102" s="1"/>
      <c r="H102" s="1"/>
      <c r="I102" s="1"/>
      <c r="J102" s="1"/>
      <c r="K102" s="1"/>
    </row>
    <row r="103" spans="1:11" hidden="1">
      <c r="A103" s="1" t="s">
        <v>9</v>
      </c>
      <c r="B103" s="1"/>
      <c r="C103" s="1"/>
      <c r="D103" s="1"/>
      <c r="E103" s="7"/>
      <c r="F103" s="8"/>
      <c r="G103" s="1"/>
      <c r="H103" s="1"/>
      <c r="I103" s="1"/>
      <c r="J103" s="1"/>
      <c r="K103" s="1"/>
    </row>
    <row r="104" spans="1:11" hidden="1">
      <c r="A104" s="1" t="s">
        <v>10</v>
      </c>
      <c r="B104" s="1"/>
      <c r="C104" s="1"/>
      <c r="D104" s="1"/>
      <c r="E104" s="7"/>
      <c r="F104" s="8">
        <f>F102</f>
        <v>1920.2999999999988</v>
      </c>
      <c r="G104" s="1"/>
      <c r="H104" s="1"/>
      <c r="I104" s="1"/>
      <c r="J104" s="1"/>
      <c r="K104" s="1"/>
    </row>
    <row r="105" spans="1:11" hidden="1">
      <c r="E105" s="2"/>
      <c r="F105" s="2"/>
    </row>
    <row r="106" spans="1:11" hidden="1">
      <c r="A106" s="3">
        <v>43497</v>
      </c>
      <c r="E106" s="2"/>
      <c r="F106" s="2"/>
    </row>
    <row r="107" spans="1:11" hidden="1">
      <c r="A107" s="4" t="s">
        <v>1</v>
      </c>
      <c r="B107" s="4" t="s">
        <v>2</v>
      </c>
      <c r="C107" s="4" t="s">
        <v>3</v>
      </c>
      <c r="D107" s="4" t="s">
        <v>4</v>
      </c>
      <c r="E107" s="4" t="s">
        <v>5</v>
      </c>
      <c r="F107" s="4" t="s">
        <v>6</v>
      </c>
      <c r="G107" s="6" t="s">
        <v>12</v>
      </c>
      <c r="H107" s="6" t="s">
        <v>13</v>
      </c>
      <c r="I107" s="6" t="s">
        <v>14</v>
      </c>
      <c r="J107" s="6" t="s">
        <v>15</v>
      </c>
      <c r="K107" s="6" t="s">
        <v>16</v>
      </c>
    </row>
    <row r="108" spans="1:11" hidden="1">
      <c r="A108" s="1" t="s">
        <v>11</v>
      </c>
      <c r="B108" s="1">
        <v>658124</v>
      </c>
      <c r="C108" s="1">
        <v>668963</v>
      </c>
      <c r="D108" s="1">
        <v>10839</v>
      </c>
      <c r="E108" s="7">
        <v>2103.0400000000009</v>
      </c>
      <c r="F108" s="7">
        <v>1885.4399999999998</v>
      </c>
      <c r="G108" s="1" t="s">
        <v>19</v>
      </c>
      <c r="H108" s="1">
        <v>27</v>
      </c>
      <c r="I108" s="1">
        <v>1.92</v>
      </c>
      <c r="J108" s="1" t="s">
        <v>18</v>
      </c>
      <c r="K108" s="1">
        <f>D108/H108</f>
        <v>401.44444444444446</v>
      </c>
    </row>
    <row r="109" spans="1:11" hidden="1">
      <c r="A109" s="1" t="s">
        <v>7</v>
      </c>
      <c r="B109" s="1"/>
      <c r="C109" s="1"/>
      <c r="D109" s="1"/>
      <c r="E109" s="7"/>
      <c r="F109" s="7"/>
      <c r="G109" s="1"/>
      <c r="H109" s="1"/>
      <c r="I109" s="1"/>
      <c r="J109" s="1"/>
      <c r="K109" s="1"/>
    </row>
    <row r="110" spans="1:11" hidden="1">
      <c r="A110" s="1" t="s">
        <v>8</v>
      </c>
      <c r="B110" s="1"/>
      <c r="C110" s="1"/>
      <c r="D110" s="1"/>
      <c r="E110" s="7"/>
      <c r="F110" s="7">
        <v>3988.4800000000005</v>
      </c>
      <c r="G110" s="1"/>
      <c r="H110" s="1"/>
      <c r="I110" s="1"/>
      <c r="J110" s="1"/>
      <c r="K110" s="1"/>
    </row>
    <row r="111" spans="1:11" hidden="1">
      <c r="A111" s="1" t="s">
        <v>9</v>
      </c>
      <c r="B111" s="1"/>
      <c r="C111" s="1"/>
      <c r="D111" s="1"/>
      <c r="E111" s="7"/>
      <c r="F111" s="7"/>
      <c r="G111" s="1"/>
      <c r="H111" s="1"/>
      <c r="I111" s="1"/>
      <c r="J111" s="1"/>
      <c r="K111" s="1"/>
    </row>
    <row r="112" spans="1:11" hidden="1">
      <c r="A112" s="1" t="s">
        <v>10</v>
      </c>
      <c r="B112" s="1"/>
      <c r="C112" s="1"/>
      <c r="D112" s="1"/>
      <c r="E112" s="7"/>
      <c r="F112" s="7">
        <f>F110</f>
        <v>3988.4800000000005</v>
      </c>
      <c r="G112" s="1"/>
      <c r="H112" s="1"/>
      <c r="I112" s="1"/>
      <c r="J112" s="1"/>
      <c r="K112" s="1"/>
    </row>
    <row r="113" spans="1:11" hidden="1">
      <c r="E113" s="2"/>
      <c r="F113" s="2"/>
    </row>
    <row r="114" spans="1:11" hidden="1">
      <c r="A114" s="3">
        <v>43525</v>
      </c>
      <c r="E114" s="2"/>
      <c r="F114" s="2"/>
    </row>
    <row r="115" spans="1:11" hidden="1">
      <c r="A115" s="4" t="s">
        <v>1</v>
      </c>
      <c r="B115" s="4" t="s">
        <v>2</v>
      </c>
      <c r="C115" s="4" t="s">
        <v>3</v>
      </c>
      <c r="D115" s="4" t="s">
        <v>4</v>
      </c>
      <c r="E115" s="4" t="s">
        <v>5</v>
      </c>
      <c r="F115" s="4" t="s">
        <v>6</v>
      </c>
      <c r="G115" s="6" t="s">
        <v>12</v>
      </c>
      <c r="H115" s="6" t="s">
        <v>13</v>
      </c>
      <c r="I115" s="6" t="s">
        <v>14</v>
      </c>
      <c r="J115" s="6" t="s">
        <v>15</v>
      </c>
      <c r="K115" s="6" t="s">
        <v>16</v>
      </c>
    </row>
    <row r="116" spans="1:11" hidden="1">
      <c r="A116" s="1" t="s">
        <v>11</v>
      </c>
      <c r="B116" s="1">
        <v>668963</v>
      </c>
      <c r="C116" s="1">
        <v>678915</v>
      </c>
      <c r="D116" s="1">
        <v>9952</v>
      </c>
      <c r="E116" s="7">
        <v>2841.8599999999965</v>
      </c>
      <c r="F116" s="7">
        <v>1927.6799999999998</v>
      </c>
      <c r="G116" s="1" t="s">
        <v>20</v>
      </c>
      <c r="H116" s="1">
        <v>31</v>
      </c>
      <c r="I116" s="1">
        <v>1.92</v>
      </c>
      <c r="J116" s="1" t="s">
        <v>18</v>
      </c>
      <c r="K116" s="1">
        <f>D116/H116</f>
        <v>321.03225806451616</v>
      </c>
    </row>
    <row r="117" spans="1:11" hidden="1">
      <c r="A117" s="1" t="s">
        <v>7</v>
      </c>
      <c r="B117" s="1"/>
      <c r="C117" s="1"/>
      <c r="D117" s="1"/>
      <c r="E117" s="7"/>
      <c r="F117" s="7"/>
      <c r="G117" s="1"/>
      <c r="H117" s="1"/>
      <c r="I117" s="1"/>
      <c r="J117" s="1"/>
      <c r="K117" s="1"/>
    </row>
    <row r="118" spans="1:11" hidden="1">
      <c r="A118" s="1" t="s">
        <v>8</v>
      </c>
      <c r="B118" s="1"/>
      <c r="C118" s="1"/>
      <c r="D118" s="1"/>
      <c r="E118" s="7"/>
      <c r="F118" s="7">
        <v>4769.5399999999963</v>
      </c>
      <c r="G118" s="1"/>
      <c r="H118" s="1"/>
      <c r="I118" s="1"/>
      <c r="J118" s="1"/>
      <c r="K118" s="1"/>
    </row>
    <row r="119" spans="1:11" hidden="1">
      <c r="A119" s="1" t="s">
        <v>9</v>
      </c>
      <c r="B119" s="1"/>
      <c r="C119" s="1"/>
      <c r="D119" s="1"/>
      <c r="E119" s="7"/>
      <c r="F119" s="7"/>
      <c r="G119" s="1"/>
      <c r="H119" s="1"/>
      <c r="I119" s="1"/>
      <c r="J119" s="1"/>
      <c r="K119" s="1"/>
    </row>
    <row r="120" spans="1:11" hidden="1">
      <c r="A120" s="1" t="s">
        <v>10</v>
      </c>
      <c r="B120" s="1"/>
      <c r="C120" s="1"/>
      <c r="D120" s="1"/>
      <c r="E120" s="7"/>
      <c r="F120" s="7">
        <f>F118</f>
        <v>4769.5399999999963</v>
      </c>
      <c r="G120" s="1"/>
      <c r="H120" s="1"/>
      <c r="I120" s="1"/>
      <c r="J120" s="1"/>
      <c r="K120" s="1"/>
    </row>
    <row r="121" spans="1:11" hidden="1">
      <c r="E121" s="2"/>
      <c r="F121" s="2"/>
    </row>
    <row r="122" spans="1:11" hidden="1">
      <c r="A122" s="3">
        <v>43556</v>
      </c>
      <c r="E122" s="2"/>
      <c r="F122" s="2"/>
    </row>
    <row r="123" spans="1:11" hidden="1">
      <c r="A123" s="4" t="s">
        <v>1</v>
      </c>
      <c r="B123" s="4" t="s">
        <v>2</v>
      </c>
      <c r="C123" s="4" t="s">
        <v>3</v>
      </c>
      <c r="D123" s="4" t="s">
        <v>4</v>
      </c>
      <c r="E123" s="4" t="s">
        <v>5</v>
      </c>
      <c r="F123" s="4" t="s">
        <v>6</v>
      </c>
      <c r="G123" s="6" t="s">
        <v>12</v>
      </c>
      <c r="H123" s="6" t="s">
        <v>13</v>
      </c>
      <c r="I123" s="6" t="s">
        <v>14</v>
      </c>
      <c r="J123" s="6" t="s">
        <v>15</v>
      </c>
      <c r="K123" s="6" t="s">
        <v>16</v>
      </c>
    </row>
    <row r="124" spans="1:11" hidden="1">
      <c r="A124" s="1" t="s">
        <v>11</v>
      </c>
      <c r="B124" s="1">
        <v>678915</v>
      </c>
      <c r="C124" s="1">
        <v>694748</v>
      </c>
      <c r="D124" s="1">
        <v>15833</v>
      </c>
      <c r="E124" s="7">
        <v>2416.7999999999979</v>
      </c>
      <c r="F124" s="7">
        <v>3113.57</v>
      </c>
      <c r="G124" s="1" t="s">
        <v>21</v>
      </c>
      <c r="H124" s="1">
        <v>31</v>
      </c>
      <c r="I124" s="1">
        <v>1.92</v>
      </c>
      <c r="J124" s="1" t="s">
        <v>18</v>
      </c>
      <c r="K124" s="1">
        <f>D124/H124</f>
        <v>510.74193548387098</v>
      </c>
    </row>
    <row r="125" spans="1:11" hidden="1">
      <c r="A125" s="1" t="s">
        <v>7</v>
      </c>
      <c r="B125" s="1"/>
      <c r="C125" s="1"/>
      <c r="D125" s="1"/>
      <c r="E125" s="7"/>
      <c r="F125" s="7"/>
      <c r="G125" s="1"/>
      <c r="H125" s="1"/>
      <c r="I125" s="1"/>
      <c r="J125" s="1"/>
      <c r="K125" s="1"/>
    </row>
    <row r="126" spans="1:11" hidden="1">
      <c r="A126" s="1" t="s">
        <v>8</v>
      </c>
      <c r="B126" s="1"/>
      <c r="C126" s="1"/>
      <c r="D126" s="1"/>
      <c r="E126" s="7"/>
      <c r="F126" s="7">
        <v>5530.3699999999981</v>
      </c>
      <c r="G126" s="1"/>
      <c r="H126" s="1"/>
      <c r="I126" s="1"/>
      <c r="J126" s="1"/>
      <c r="K126" s="1"/>
    </row>
    <row r="127" spans="1:11" hidden="1">
      <c r="A127" s="1" t="s">
        <v>9</v>
      </c>
      <c r="B127" s="1"/>
      <c r="C127" s="1"/>
      <c r="D127" s="1"/>
      <c r="E127" s="7"/>
      <c r="F127" s="7"/>
      <c r="G127" s="1"/>
      <c r="H127" s="1"/>
      <c r="I127" s="1"/>
      <c r="J127" s="1"/>
      <c r="K127" s="1"/>
    </row>
    <row r="128" spans="1:11" hidden="1">
      <c r="A128" s="1" t="s">
        <v>10</v>
      </c>
      <c r="B128" s="1"/>
      <c r="C128" s="1"/>
      <c r="D128" s="1"/>
      <c r="E128" s="7"/>
      <c r="F128" s="7">
        <f>F126</f>
        <v>5530.3699999999981</v>
      </c>
      <c r="G128" s="1"/>
      <c r="H128" s="1"/>
      <c r="I128" s="1"/>
      <c r="J128" s="1"/>
      <c r="K128" s="1"/>
    </row>
    <row r="129" spans="1:11" hidden="1"/>
    <row r="130" spans="1:11" hidden="1">
      <c r="A130" s="3">
        <v>43586</v>
      </c>
      <c r="E130" s="2"/>
      <c r="F130" s="2"/>
    </row>
    <row r="131" spans="1:11" hidden="1">
      <c r="A131" s="4" t="s">
        <v>1</v>
      </c>
      <c r="B131" s="4" t="s">
        <v>2</v>
      </c>
      <c r="C131" s="4" t="s">
        <v>3</v>
      </c>
      <c r="D131" s="4" t="s">
        <v>4</v>
      </c>
      <c r="E131" s="4" t="s">
        <v>5</v>
      </c>
      <c r="F131" s="4" t="s">
        <v>6</v>
      </c>
      <c r="G131" s="6" t="s">
        <v>12</v>
      </c>
      <c r="H131" s="6" t="s">
        <v>13</v>
      </c>
      <c r="I131" s="6" t="s">
        <v>14</v>
      </c>
      <c r="J131" s="6" t="s">
        <v>15</v>
      </c>
      <c r="K131" s="6" t="s">
        <v>16</v>
      </c>
    </row>
    <row r="132" spans="1:11" hidden="1">
      <c r="A132" s="1" t="s">
        <v>11</v>
      </c>
      <c r="B132" s="1">
        <v>694748</v>
      </c>
      <c r="C132" s="1">
        <v>694959</v>
      </c>
      <c r="D132" s="1">
        <f>C132-B132</f>
        <v>211</v>
      </c>
      <c r="E132" s="7">
        <v>4553.2299999999996</v>
      </c>
      <c r="F132" s="7">
        <f>F134-E132</f>
        <v>4117.68</v>
      </c>
      <c r="G132" s="1" t="s">
        <v>22</v>
      </c>
      <c r="H132" s="1">
        <v>30</v>
      </c>
      <c r="I132" s="1">
        <v>1.92</v>
      </c>
      <c r="J132" s="1" t="s">
        <v>18</v>
      </c>
      <c r="K132" s="1">
        <f>D132/H132</f>
        <v>7.0333333333333332</v>
      </c>
    </row>
    <row r="133" spans="1:11" hidden="1">
      <c r="A133" s="1" t="s">
        <v>7</v>
      </c>
      <c r="B133" s="1"/>
      <c r="C133" s="1"/>
      <c r="D133" s="1"/>
      <c r="E133" s="7"/>
      <c r="F133" s="7"/>
      <c r="G133" s="1"/>
      <c r="H133" s="1"/>
      <c r="I133" s="1"/>
      <c r="J133" s="1"/>
      <c r="K133" s="1"/>
    </row>
    <row r="134" spans="1:11" hidden="1">
      <c r="A134" s="1" t="s">
        <v>8</v>
      </c>
      <c r="B134" s="1"/>
      <c r="C134" s="1"/>
      <c r="D134" s="1"/>
      <c r="E134" s="7"/>
      <c r="F134" s="7">
        <v>8670.91</v>
      </c>
      <c r="G134" s="1"/>
      <c r="H134" s="1"/>
      <c r="I134" s="1"/>
      <c r="J134" s="1"/>
      <c r="K134" s="1"/>
    </row>
    <row r="135" spans="1:11" hidden="1">
      <c r="A135" s="1" t="s">
        <v>9</v>
      </c>
      <c r="B135" s="1"/>
      <c r="C135" s="1"/>
      <c r="D135" s="1"/>
      <c r="E135" s="7"/>
      <c r="F135" s="7"/>
      <c r="G135" s="1"/>
      <c r="H135" s="1"/>
      <c r="I135" s="1"/>
      <c r="J135" s="1"/>
      <c r="K135" s="1"/>
    </row>
    <row r="136" spans="1:11" hidden="1">
      <c r="A136" s="1" t="s">
        <v>10</v>
      </c>
      <c r="B136" s="1"/>
      <c r="C136" s="1"/>
      <c r="D136" s="1"/>
      <c r="E136" s="7"/>
      <c r="F136" s="7"/>
      <c r="G136" s="1"/>
      <c r="H136" s="1"/>
      <c r="I136" s="1"/>
      <c r="J136" s="1"/>
      <c r="K136" s="1"/>
    </row>
    <row r="137" spans="1:11" hidden="1"/>
    <row r="138" spans="1:11" hidden="1">
      <c r="A138" s="3">
        <v>43617</v>
      </c>
      <c r="E138" s="2"/>
      <c r="F138" s="2"/>
    </row>
    <row r="139" spans="1:11" hidden="1">
      <c r="A139" s="4" t="s">
        <v>1</v>
      </c>
      <c r="B139" s="4" t="s">
        <v>2</v>
      </c>
      <c r="C139" s="4" t="s">
        <v>3</v>
      </c>
      <c r="D139" s="4" t="s">
        <v>4</v>
      </c>
      <c r="E139" s="4" t="s">
        <v>5</v>
      </c>
      <c r="F139" s="4" t="s">
        <v>6</v>
      </c>
      <c r="G139" s="6" t="s">
        <v>12</v>
      </c>
      <c r="H139" s="6" t="s">
        <v>13</v>
      </c>
      <c r="I139" s="6" t="s">
        <v>14</v>
      </c>
      <c r="J139" s="6" t="s">
        <v>15</v>
      </c>
      <c r="K139" s="6" t="s">
        <v>16</v>
      </c>
    </row>
    <row r="140" spans="1:11" hidden="1">
      <c r="A140" s="1" t="s">
        <v>11</v>
      </c>
      <c r="B140" s="1">
        <v>694959</v>
      </c>
      <c r="C140" s="1">
        <v>729370</v>
      </c>
      <c r="D140" s="1">
        <f>C140-B140</f>
        <v>34411</v>
      </c>
      <c r="E140" s="7">
        <v>4222.51</v>
      </c>
      <c r="F140" s="7">
        <f>F142-E140</f>
        <v>4673.26</v>
      </c>
      <c r="G140" s="1" t="s">
        <v>23</v>
      </c>
      <c r="H140" s="1">
        <v>28</v>
      </c>
      <c r="I140" s="1">
        <v>1.92</v>
      </c>
      <c r="J140" s="1" t="s">
        <v>18</v>
      </c>
      <c r="K140" s="1">
        <f>D140/H140</f>
        <v>1228.9642857142858</v>
      </c>
    </row>
    <row r="141" spans="1:11" hidden="1">
      <c r="A141" s="1" t="s">
        <v>7</v>
      </c>
      <c r="B141" s="1"/>
      <c r="C141" s="1"/>
      <c r="D141" s="1"/>
      <c r="E141" s="7"/>
      <c r="F141" s="7"/>
      <c r="G141" s="1"/>
      <c r="H141" s="1"/>
      <c r="I141" s="1"/>
      <c r="J141" s="1"/>
      <c r="K141" s="1"/>
    </row>
    <row r="142" spans="1:11" hidden="1">
      <c r="A142" s="1" t="s">
        <v>8</v>
      </c>
      <c r="B142" s="1"/>
      <c r="C142" s="1"/>
      <c r="D142" s="1"/>
      <c r="E142" s="7"/>
      <c r="F142" s="7">
        <v>8895.77</v>
      </c>
      <c r="G142" s="1"/>
      <c r="H142" s="1"/>
      <c r="I142" s="1"/>
      <c r="J142" s="1"/>
      <c r="K142" s="1"/>
    </row>
    <row r="143" spans="1:11" hidden="1">
      <c r="A143" s="1" t="s">
        <v>9</v>
      </c>
      <c r="B143" s="1"/>
      <c r="C143" s="1"/>
      <c r="D143" s="1"/>
      <c r="E143" s="7"/>
      <c r="F143" s="7"/>
      <c r="G143" s="1"/>
      <c r="H143" s="1"/>
      <c r="I143" s="1"/>
      <c r="J143" s="1"/>
      <c r="K143" s="1"/>
    </row>
    <row r="144" spans="1:11" hidden="1">
      <c r="A144" s="1" t="s">
        <v>10</v>
      </c>
      <c r="B144" s="1"/>
      <c r="C144" s="1"/>
      <c r="D144" s="1"/>
      <c r="E144" s="7"/>
      <c r="F144" s="7"/>
      <c r="G144" s="1"/>
      <c r="H144" s="1"/>
      <c r="I144" s="1"/>
      <c r="J144" s="1"/>
      <c r="K144" s="1"/>
    </row>
    <row r="145" spans="1:11" hidden="1"/>
    <row r="146" spans="1:11" hidden="1">
      <c r="A146" s="3">
        <v>43647</v>
      </c>
      <c r="E146" s="2"/>
      <c r="F146" s="2"/>
    </row>
    <row r="147" spans="1:11" hidden="1">
      <c r="A147" s="4" t="s">
        <v>1</v>
      </c>
      <c r="B147" s="4" t="s">
        <v>2</v>
      </c>
      <c r="C147" s="4" t="s">
        <v>3</v>
      </c>
      <c r="D147" s="4" t="s">
        <v>4</v>
      </c>
      <c r="E147" s="4" t="s">
        <v>5</v>
      </c>
      <c r="F147" s="4" t="s">
        <v>6</v>
      </c>
      <c r="G147" s="6" t="s">
        <v>12</v>
      </c>
      <c r="H147" s="6" t="s">
        <v>13</v>
      </c>
      <c r="I147" s="6" t="s">
        <v>14</v>
      </c>
      <c r="J147" s="6" t="s">
        <v>15</v>
      </c>
      <c r="K147" s="6" t="s">
        <v>16</v>
      </c>
    </row>
    <row r="148" spans="1:11" hidden="1">
      <c r="A148" s="1" t="s">
        <v>11</v>
      </c>
      <c r="B148" s="1">
        <v>729370</v>
      </c>
      <c r="C148" s="1">
        <v>729310</v>
      </c>
      <c r="D148" s="1">
        <f>C148-B148</f>
        <v>-60</v>
      </c>
      <c r="E148" s="7">
        <v>947.64</v>
      </c>
      <c r="F148" s="7">
        <f>F150-E148</f>
        <v>5184.5499999999993</v>
      </c>
      <c r="G148" s="1" t="s">
        <v>24</v>
      </c>
      <c r="H148" s="1">
        <v>34</v>
      </c>
      <c r="I148" s="1">
        <v>2.16</v>
      </c>
      <c r="J148" s="1" t="s">
        <v>18</v>
      </c>
      <c r="K148" s="1">
        <v>0</v>
      </c>
    </row>
    <row r="149" spans="1:11" hidden="1">
      <c r="A149" s="1" t="s">
        <v>7</v>
      </c>
      <c r="B149" s="1"/>
      <c r="C149" s="1"/>
      <c r="D149" s="1"/>
      <c r="E149" s="7"/>
      <c r="F149" s="7"/>
      <c r="G149" s="1"/>
      <c r="H149" s="1"/>
      <c r="I149" s="1"/>
      <c r="J149" s="1"/>
      <c r="K149" s="1"/>
    </row>
    <row r="150" spans="1:11" hidden="1">
      <c r="A150" s="1" t="s">
        <v>8</v>
      </c>
      <c r="B150" s="1"/>
      <c r="C150" s="1"/>
      <c r="D150" s="1"/>
      <c r="E150" s="7"/>
      <c r="F150" s="7">
        <v>6132.19</v>
      </c>
      <c r="G150" s="1"/>
      <c r="H150" s="1"/>
      <c r="I150" s="1"/>
      <c r="J150" s="1"/>
      <c r="K150" s="1"/>
    </row>
    <row r="151" spans="1:11" hidden="1">
      <c r="A151" s="1" t="s">
        <v>9</v>
      </c>
      <c r="B151" s="1"/>
      <c r="C151" s="1"/>
      <c r="D151" s="1"/>
      <c r="E151" s="7"/>
      <c r="F151" s="7"/>
      <c r="G151" s="1"/>
      <c r="H151" s="1"/>
      <c r="I151" s="1"/>
      <c r="J151" s="1"/>
      <c r="K151" s="1"/>
    </row>
    <row r="152" spans="1:11" hidden="1">
      <c r="A152" s="1" t="s">
        <v>10</v>
      </c>
      <c r="B152" s="1"/>
      <c r="C152" s="1"/>
      <c r="D152" s="1"/>
      <c r="E152" s="7"/>
      <c r="F152" s="7"/>
      <c r="G152" s="1"/>
      <c r="H152" s="1"/>
      <c r="I152" s="1"/>
      <c r="J152" s="1"/>
      <c r="K152" s="1"/>
    </row>
    <row r="153" spans="1:11" hidden="1"/>
    <row r="154" spans="1:11" hidden="1">
      <c r="A154" s="3">
        <v>43678</v>
      </c>
      <c r="E154" s="2"/>
      <c r="F154" s="2"/>
    </row>
    <row r="155" spans="1:11" hidden="1">
      <c r="A155" s="4" t="s">
        <v>1</v>
      </c>
      <c r="B155" s="4" t="s">
        <v>2</v>
      </c>
      <c r="C155" s="4" t="s">
        <v>3</v>
      </c>
      <c r="D155" s="4" t="s">
        <v>4</v>
      </c>
      <c r="E155" s="4" t="s">
        <v>5</v>
      </c>
      <c r="F155" s="4" t="s">
        <v>6</v>
      </c>
      <c r="G155" s="6" t="s">
        <v>12</v>
      </c>
      <c r="H155" s="6" t="s">
        <v>13</v>
      </c>
      <c r="I155" s="6" t="s">
        <v>14</v>
      </c>
      <c r="J155" s="6" t="s">
        <v>15</v>
      </c>
      <c r="K155" s="6" t="s">
        <v>16</v>
      </c>
    </row>
    <row r="156" spans="1:11" hidden="1">
      <c r="A156" s="1" t="s">
        <v>11</v>
      </c>
      <c r="B156" s="1">
        <v>729310</v>
      </c>
      <c r="C156" s="1">
        <v>764458</v>
      </c>
      <c r="D156" s="1">
        <f>C156-B156</f>
        <v>35148</v>
      </c>
      <c r="E156" s="7">
        <v>2395.6</v>
      </c>
      <c r="F156" s="7">
        <f>3716.75+17114.98</f>
        <v>20831.73</v>
      </c>
      <c r="G156" s="1" t="s">
        <v>25</v>
      </c>
      <c r="H156" s="1">
        <v>34</v>
      </c>
      <c r="I156" s="1">
        <v>2.16</v>
      </c>
      <c r="J156" s="1" t="s">
        <v>18</v>
      </c>
      <c r="K156" s="1">
        <f>D156/H156</f>
        <v>1033.7647058823529</v>
      </c>
    </row>
    <row r="157" spans="1:11" hidden="1">
      <c r="A157" s="1" t="s">
        <v>7</v>
      </c>
      <c r="B157" s="1"/>
      <c r="C157" s="1"/>
      <c r="D157" s="1"/>
      <c r="E157" s="7"/>
      <c r="F157" s="7"/>
      <c r="G157" s="1"/>
      <c r="H157" s="1"/>
      <c r="I157" s="1"/>
      <c r="J157" s="1"/>
      <c r="K157" s="1"/>
    </row>
    <row r="158" spans="1:11" hidden="1">
      <c r="A158" s="1" t="s">
        <v>8</v>
      </c>
      <c r="B158" s="1"/>
      <c r="C158" s="1"/>
      <c r="D158" s="1"/>
      <c r="E158" s="7"/>
      <c r="F158" s="7">
        <f>F156+E156</f>
        <v>23227.329999999998</v>
      </c>
      <c r="G158" s="1"/>
      <c r="H158" s="1"/>
      <c r="I158" s="1"/>
      <c r="J158" s="1"/>
      <c r="K158" s="1"/>
    </row>
    <row r="159" spans="1:11" hidden="1">
      <c r="A159" s="1" t="s">
        <v>9</v>
      </c>
      <c r="B159" s="1"/>
      <c r="C159" s="1"/>
      <c r="D159" s="1"/>
      <c r="E159" s="7"/>
      <c r="F159" s="7"/>
      <c r="G159" s="1"/>
      <c r="H159" s="1"/>
      <c r="I159" s="1"/>
      <c r="J159" s="1"/>
      <c r="K159" s="1"/>
    </row>
    <row r="160" spans="1:11" hidden="1">
      <c r="A160" s="1" t="s">
        <v>10</v>
      </c>
      <c r="B160" s="1"/>
      <c r="C160" s="1"/>
      <c r="D160" s="1"/>
      <c r="E160" s="7"/>
      <c r="F160" s="7"/>
      <c r="G160" s="1"/>
      <c r="H160" s="1"/>
      <c r="I160" s="1"/>
      <c r="J160" s="1"/>
      <c r="K160" s="1"/>
    </row>
    <row r="161" spans="1:11" hidden="1"/>
    <row r="162" spans="1:11" hidden="1">
      <c r="A162" s="3">
        <v>43709</v>
      </c>
      <c r="E162" s="2"/>
      <c r="F162" s="2"/>
    </row>
    <row r="163" spans="1:11" hidden="1">
      <c r="A163" s="6" t="s">
        <v>1</v>
      </c>
      <c r="B163" s="6" t="s">
        <v>2</v>
      </c>
      <c r="C163" s="6" t="s">
        <v>3</v>
      </c>
      <c r="D163" s="6" t="s">
        <v>4</v>
      </c>
      <c r="E163" s="6" t="s">
        <v>5</v>
      </c>
      <c r="F163" s="6" t="s">
        <v>6</v>
      </c>
      <c r="G163" s="6" t="s">
        <v>12</v>
      </c>
      <c r="H163" s="6" t="s">
        <v>13</v>
      </c>
      <c r="I163" s="6" t="s">
        <v>14</v>
      </c>
      <c r="J163" s="6" t="s">
        <v>15</v>
      </c>
      <c r="K163" s="6" t="s">
        <v>16</v>
      </c>
    </row>
    <row r="164" spans="1:11" hidden="1">
      <c r="A164" s="1" t="s">
        <v>11</v>
      </c>
      <c r="B164" s="1">
        <f>C156</f>
        <v>764458</v>
      </c>
      <c r="C164" s="1">
        <f>B164+13161</f>
        <v>777619</v>
      </c>
      <c r="D164" s="1">
        <f>C164-B164</f>
        <v>13161</v>
      </c>
      <c r="E164" s="7">
        <v>3168.94</v>
      </c>
      <c r="F164" s="7">
        <v>15461.9</v>
      </c>
      <c r="G164" s="1" t="s">
        <v>26</v>
      </c>
      <c r="H164" s="1">
        <v>23</v>
      </c>
      <c r="I164" s="7">
        <f>F166/D164</f>
        <v>1.4156097560975609</v>
      </c>
      <c r="J164" s="1" t="s">
        <v>18</v>
      </c>
      <c r="K164" s="1">
        <f>D164/H164</f>
        <v>572.21739130434787</v>
      </c>
    </row>
    <row r="165" spans="1:11" hidden="1">
      <c r="A165" s="1" t="s">
        <v>7</v>
      </c>
      <c r="B165" s="1"/>
      <c r="C165" s="1"/>
      <c r="D165" s="1"/>
      <c r="E165" s="7"/>
      <c r="F165" s="7"/>
      <c r="G165" s="1"/>
      <c r="H165" s="1"/>
      <c r="I165" s="1"/>
      <c r="J165" s="1"/>
      <c r="K165" s="1"/>
    </row>
    <row r="166" spans="1:11" hidden="1">
      <c r="A166" s="1" t="s">
        <v>8</v>
      </c>
      <c r="B166" s="1"/>
      <c r="C166" s="1"/>
      <c r="D166" s="1"/>
      <c r="E166" s="7"/>
      <c r="F166" s="7">
        <v>18630.84</v>
      </c>
      <c r="G166" s="1"/>
      <c r="H166" s="1"/>
      <c r="I166" s="1"/>
      <c r="J166" s="1"/>
      <c r="K166" s="1"/>
    </row>
    <row r="167" spans="1:11" hidden="1">
      <c r="A167" s="1" t="s">
        <v>9</v>
      </c>
      <c r="B167" s="1"/>
      <c r="C167" s="1"/>
      <c r="D167" s="1"/>
      <c r="E167" s="7"/>
      <c r="F167" s="7"/>
      <c r="G167" s="1"/>
      <c r="H167" s="1"/>
      <c r="I167" s="1"/>
      <c r="J167" s="1"/>
      <c r="K167" s="1"/>
    </row>
    <row r="168" spans="1:11" hidden="1">
      <c r="A168" s="1" t="s">
        <v>10</v>
      </c>
      <c r="B168" s="1"/>
      <c r="C168" s="1"/>
      <c r="D168" s="1"/>
      <c r="E168" s="7"/>
      <c r="F168" s="7"/>
      <c r="G168" s="1"/>
      <c r="H168" s="1"/>
      <c r="I168" s="1"/>
      <c r="J168" s="1"/>
      <c r="K168" s="1"/>
    </row>
    <row r="169" spans="1:11" hidden="1"/>
    <row r="170" spans="1:11" hidden="1">
      <c r="A170" s="3">
        <v>43739</v>
      </c>
      <c r="E170" s="2"/>
      <c r="F170" s="2"/>
    </row>
    <row r="171" spans="1:11" hidden="1">
      <c r="A171" s="6" t="s">
        <v>1</v>
      </c>
      <c r="B171" s="6" t="s">
        <v>2</v>
      </c>
      <c r="C171" s="6" t="s">
        <v>3</v>
      </c>
      <c r="D171" s="6" t="s">
        <v>4</v>
      </c>
      <c r="E171" s="6" t="s">
        <v>5</v>
      </c>
      <c r="F171" s="6" t="s">
        <v>6</v>
      </c>
      <c r="G171" s="6" t="s">
        <v>12</v>
      </c>
      <c r="H171" s="6" t="s">
        <v>13</v>
      </c>
      <c r="I171" s="6" t="s">
        <v>14</v>
      </c>
      <c r="J171" s="6" t="s">
        <v>15</v>
      </c>
      <c r="K171" s="6" t="s">
        <v>16</v>
      </c>
    </row>
    <row r="172" spans="1:11" hidden="1">
      <c r="A172" s="1" t="s">
        <v>11</v>
      </c>
      <c r="B172" s="1">
        <f>C164</f>
        <v>777619</v>
      </c>
      <c r="C172" s="1">
        <v>787000</v>
      </c>
      <c r="D172" s="1">
        <f>C172-B172</f>
        <v>9381</v>
      </c>
      <c r="E172" s="7">
        <f>2755.6*1.15</f>
        <v>3168.9399999999996</v>
      </c>
      <c r="F172" s="7">
        <f>579.34*1.15</f>
        <v>666.24099999999999</v>
      </c>
      <c r="G172" s="1" t="s">
        <v>27</v>
      </c>
      <c r="H172" s="1">
        <v>34</v>
      </c>
      <c r="I172" s="7">
        <f>F174/D172</f>
        <v>0.40882432576484379</v>
      </c>
      <c r="J172" s="1" t="s">
        <v>18</v>
      </c>
      <c r="K172" s="1">
        <f>D172/H172</f>
        <v>275.91176470588238</v>
      </c>
    </row>
    <row r="173" spans="1:11" hidden="1">
      <c r="A173" s="1" t="s">
        <v>7</v>
      </c>
      <c r="B173" s="1"/>
      <c r="C173" s="1"/>
      <c r="D173" s="1"/>
      <c r="E173" s="7"/>
      <c r="F173" s="7"/>
      <c r="G173" s="1"/>
      <c r="H173" s="1"/>
      <c r="I173" s="1"/>
      <c r="J173" s="1"/>
      <c r="K173" s="1"/>
    </row>
    <row r="174" spans="1:11" hidden="1">
      <c r="A174" s="1" t="s">
        <v>8</v>
      </c>
      <c r="B174" s="1"/>
      <c r="C174" s="1"/>
      <c r="D174" s="1"/>
      <c r="E174" s="7"/>
      <c r="F174" s="7">
        <f>E172+F172</f>
        <v>3835.1809999999996</v>
      </c>
      <c r="G174" s="1"/>
      <c r="H174" s="1"/>
      <c r="I174" s="1"/>
      <c r="J174" s="1"/>
      <c r="K174" s="1"/>
    </row>
    <row r="175" spans="1:11" hidden="1">
      <c r="A175" s="1" t="s">
        <v>9</v>
      </c>
      <c r="B175" s="1"/>
      <c r="C175" s="1"/>
      <c r="D175" s="1"/>
      <c r="E175" s="7"/>
      <c r="F175" s="7"/>
      <c r="G175" s="1"/>
      <c r="H175" s="1"/>
      <c r="I175" s="1"/>
      <c r="J175" s="1"/>
      <c r="K175" s="1"/>
    </row>
    <row r="176" spans="1:11" hidden="1">
      <c r="A176" s="1" t="s">
        <v>10</v>
      </c>
      <c r="B176" s="1"/>
      <c r="C176" s="1"/>
      <c r="D176" s="1"/>
      <c r="E176" s="7"/>
      <c r="F176" s="7"/>
      <c r="G176" s="1"/>
      <c r="H176" s="1"/>
      <c r="I176" s="1"/>
      <c r="J176" s="1"/>
      <c r="K176" s="1"/>
    </row>
    <row r="177" spans="1:11" hidden="1"/>
    <row r="178" spans="1:11" hidden="1">
      <c r="A178" s="3">
        <v>43770</v>
      </c>
      <c r="E178" s="2"/>
      <c r="F178" s="2"/>
    </row>
    <row r="179" spans="1:11" hidden="1">
      <c r="A179" s="6" t="s">
        <v>1</v>
      </c>
      <c r="B179" s="6" t="s">
        <v>2</v>
      </c>
      <c r="C179" s="6" t="s">
        <v>3</v>
      </c>
      <c r="D179" s="6" t="s">
        <v>4</v>
      </c>
      <c r="E179" s="6" t="s">
        <v>5</v>
      </c>
      <c r="F179" s="6" t="s">
        <v>6</v>
      </c>
      <c r="G179" s="6" t="s">
        <v>12</v>
      </c>
      <c r="H179" s="6" t="s">
        <v>13</v>
      </c>
      <c r="I179" s="6" t="s">
        <v>14</v>
      </c>
      <c r="J179" s="6" t="s">
        <v>15</v>
      </c>
      <c r="K179" s="6" t="s">
        <v>16</v>
      </c>
    </row>
    <row r="180" spans="1:11" hidden="1">
      <c r="A180" s="1" t="s">
        <v>11</v>
      </c>
      <c r="B180" s="1">
        <f>C172</f>
        <v>787000</v>
      </c>
      <c r="C180" s="1">
        <v>797028</v>
      </c>
      <c r="D180" s="1">
        <f>C180-B180</f>
        <v>10028</v>
      </c>
      <c r="E180" s="7">
        <f>2519.88*1.15</f>
        <v>2897.8620000000001</v>
      </c>
      <c r="F180" s="7">
        <v>7376.59</v>
      </c>
      <c r="G180" s="1" t="s">
        <v>28</v>
      </c>
      <c r="H180" s="1">
        <v>29</v>
      </c>
      <c r="I180" s="7">
        <f>F182/D180</f>
        <v>1.0245763861188673</v>
      </c>
      <c r="J180" s="1" t="s">
        <v>18</v>
      </c>
      <c r="K180" s="1">
        <f>D180/H180</f>
        <v>345.79310344827587</v>
      </c>
    </row>
    <row r="181" spans="1:11" hidden="1">
      <c r="A181" s="1" t="s">
        <v>7</v>
      </c>
      <c r="B181" s="1"/>
      <c r="C181" s="1"/>
      <c r="D181" s="1"/>
      <c r="E181" s="7"/>
      <c r="F181" s="7"/>
      <c r="G181" s="1"/>
      <c r="H181" s="1"/>
      <c r="I181" s="1"/>
      <c r="J181" s="1"/>
      <c r="K181" s="1"/>
    </row>
    <row r="182" spans="1:11" hidden="1">
      <c r="A182" s="1" t="s">
        <v>8</v>
      </c>
      <c r="B182" s="1"/>
      <c r="C182" s="1"/>
      <c r="D182" s="1"/>
      <c r="E182" s="7"/>
      <c r="F182" s="7">
        <f>E180+F180</f>
        <v>10274.452000000001</v>
      </c>
      <c r="G182" s="1"/>
      <c r="H182" s="1"/>
      <c r="I182" s="1"/>
      <c r="J182" s="1"/>
      <c r="K182" s="1"/>
    </row>
    <row r="183" spans="1:11" hidden="1">
      <c r="A183" s="1" t="s">
        <v>9</v>
      </c>
      <c r="B183" s="1"/>
      <c r="C183" s="1"/>
      <c r="D183" s="1"/>
      <c r="E183" s="7"/>
      <c r="F183" s="7"/>
      <c r="G183" s="1"/>
      <c r="H183" s="1"/>
      <c r="I183" s="1"/>
      <c r="J183" s="1"/>
      <c r="K183" s="1"/>
    </row>
    <row r="184" spans="1:11" hidden="1">
      <c r="A184" s="1" t="s">
        <v>10</v>
      </c>
      <c r="B184" s="1"/>
      <c r="C184" s="1"/>
      <c r="D184" s="1"/>
      <c r="E184" s="7"/>
      <c r="F184" s="7"/>
      <c r="G184" s="1"/>
      <c r="H184" s="1"/>
      <c r="I184" s="1"/>
      <c r="J184" s="1"/>
      <c r="K184" s="1"/>
    </row>
    <row r="185" spans="1:11" hidden="1"/>
    <row r="186" spans="1:11" hidden="1">
      <c r="A186" s="3">
        <v>43800</v>
      </c>
      <c r="E186" s="2"/>
      <c r="F186" s="2"/>
    </row>
    <row r="187" spans="1:11" hidden="1">
      <c r="A187" s="6" t="s">
        <v>1</v>
      </c>
      <c r="B187" s="6" t="s">
        <v>2</v>
      </c>
      <c r="C187" s="6" t="s">
        <v>3</v>
      </c>
      <c r="D187" s="6" t="s">
        <v>4</v>
      </c>
      <c r="E187" s="6" t="s">
        <v>5</v>
      </c>
      <c r="F187" s="6" t="s">
        <v>6</v>
      </c>
      <c r="G187" s="6" t="s">
        <v>12</v>
      </c>
      <c r="H187" s="6" t="s">
        <v>13</v>
      </c>
      <c r="I187" s="6" t="s">
        <v>14</v>
      </c>
      <c r="J187" s="6" t="s">
        <v>15</v>
      </c>
      <c r="K187" s="6" t="s">
        <v>16</v>
      </c>
    </row>
    <row r="188" spans="1:11" hidden="1">
      <c r="A188" s="1" t="s">
        <v>11</v>
      </c>
      <c r="B188" s="1">
        <f>C180</f>
        <v>797028</v>
      </c>
      <c r="C188" s="1">
        <v>811996</v>
      </c>
      <c r="D188" s="1">
        <f>C188-B188</f>
        <v>14968</v>
      </c>
      <c r="E188" s="7">
        <v>146.99299999999999</v>
      </c>
      <c r="F188" s="7">
        <v>16739.163</v>
      </c>
      <c r="G188" s="1" t="s">
        <v>29</v>
      </c>
      <c r="H188" s="1">
        <v>39</v>
      </c>
      <c r="I188" s="7">
        <f>F190/D188</f>
        <v>1.128150454302512</v>
      </c>
      <c r="J188" s="1" t="s">
        <v>18</v>
      </c>
      <c r="K188" s="1">
        <f>D188/H188</f>
        <v>383.79487179487177</v>
      </c>
    </row>
    <row r="189" spans="1:11" hidden="1">
      <c r="A189" s="1" t="s">
        <v>7</v>
      </c>
      <c r="B189" s="1"/>
      <c r="C189" s="1"/>
      <c r="D189" s="1"/>
      <c r="E189" s="7"/>
      <c r="F189" s="7"/>
      <c r="G189" s="1"/>
      <c r="H189" s="1"/>
      <c r="I189" s="1"/>
      <c r="J189" s="1"/>
      <c r="K189" s="1"/>
    </row>
    <row r="190" spans="1:11" hidden="1">
      <c r="A190" s="1" t="s">
        <v>8</v>
      </c>
      <c r="B190" s="1"/>
      <c r="C190" s="1"/>
      <c r="D190" s="1"/>
      <c r="E190" s="7"/>
      <c r="F190" s="7">
        <f>E188+F188</f>
        <v>16886.155999999999</v>
      </c>
      <c r="G190" s="1"/>
      <c r="H190" s="1"/>
      <c r="I190" s="1"/>
      <c r="J190" s="1"/>
      <c r="K190" s="1"/>
    </row>
    <row r="191" spans="1:11" hidden="1">
      <c r="A191" s="1" t="s">
        <v>9</v>
      </c>
      <c r="B191" s="1"/>
      <c r="C191" s="1"/>
      <c r="D191" s="1"/>
      <c r="E191" s="7"/>
      <c r="F191" s="7"/>
      <c r="G191" s="1"/>
      <c r="H191" s="1"/>
      <c r="I191" s="1"/>
      <c r="J191" s="1"/>
      <c r="K191" s="1"/>
    </row>
    <row r="192" spans="1:11" hidden="1">
      <c r="A192" s="1" t="s">
        <v>10</v>
      </c>
      <c r="B192" s="1"/>
      <c r="C192" s="1"/>
      <c r="D192" s="1"/>
      <c r="E192" s="7"/>
      <c r="F192" s="7"/>
      <c r="G192" s="1"/>
      <c r="H192" s="1"/>
      <c r="I192" s="1"/>
      <c r="J192" s="1"/>
      <c r="K192" s="1"/>
    </row>
    <row r="194" spans="1:11">
      <c r="A194" s="14">
        <v>43831</v>
      </c>
      <c r="E194" s="2"/>
      <c r="F194" s="2"/>
    </row>
    <row r="195" spans="1:11" hidden="1">
      <c r="A195" s="6" t="s">
        <v>1</v>
      </c>
      <c r="B195" s="6" t="s">
        <v>2</v>
      </c>
      <c r="C195" s="6" t="s">
        <v>3</v>
      </c>
      <c r="D195" s="6" t="s">
        <v>4</v>
      </c>
      <c r="E195" s="6" t="s">
        <v>5</v>
      </c>
      <c r="F195" s="6" t="s">
        <v>6</v>
      </c>
      <c r="G195" s="6" t="s">
        <v>12</v>
      </c>
      <c r="H195" s="6" t="s">
        <v>13</v>
      </c>
      <c r="I195" s="6" t="s">
        <v>14</v>
      </c>
      <c r="J195" s="6" t="s">
        <v>15</v>
      </c>
      <c r="K195" s="6" t="s">
        <v>16</v>
      </c>
    </row>
    <row r="196" spans="1:11" hidden="1">
      <c r="A196" s="1" t="s">
        <v>11</v>
      </c>
      <c r="B196" s="1">
        <f>C188</f>
        <v>811996</v>
      </c>
      <c r="C196" s="1">
        <v>820331</v>
      </c>
      <c r="D196" s="1">
        <f>C196-B196</f>
        <v>8335</v>
      </c>
      <c r="E196" s="7">
        <v>1700.92</v>
      </c>
      <c r="F196" s="7">
        <f>14218.96+729.35</f>
        <v>14948.31</v>
      </c>
      <c r="G196" s="1" t="s">
        <v>30</v>
      </c>
      <c r="H196" s="1">
        <v>23</v>
      </c>
      <c r="I196" s="7">
        <f>F198/D196</f>
        <v>1.9975080983803239</v>
      </c>
      <c r="J196" s="1" t="s">
        <v>18</v>
      </c>
      <c r="K196" s="1">
        <f>D196/H196</f>
        <v>362.39130434782606</v>
      </c>
    </row>
    <row r="197" spans="1:11" hidden="1">
      <c r="A197" s="1" t="s">
        <v>7</v>
      </c>
      <c r="B197" s="1"/>
      <c r="C197" s="1"/>
      <c r="D197" s="1"/>
      <c r="E197" s="7"/>
      <c r="F197" s="7"/>
      <c r="G197" s="1"/>
      <c r="H197" s="1"/>
      <c r="I197" s="1"/>
      <c r="J197" s="1"/>
      <c r="K197" s="1"/>
    </row>
    <row r="198" spans="1:11" hidden="1">
      <c r="A198" s="1" t="s">
        <v>8</v>
      </c>
      <c r="B198" s="1"/>
      <c r="C198" s="1"/>
      <c r="D198" s="1"/>
      <c r="E198" s="7"/>
      <c r="F198" s="7">
        <f>E196+F196</f>
        <v>16649.23</v>
      </c>
      <c r="G198" s="1"/>
      <c r="H198" s="1"/>
      <c r="I198" s="1"/>
      <c r="J198" s="1"/>
      <c r="K198" s="1"/>
    </row>
    <row r="199" spans="1:11" hidden="1">
      <c r="A199" s="1" t="s">
        <v>9</v>
      </c>
      <c r="B199" s="1"/>
      <c r="C199" s="1"/>
      <c r="D199" s="1"/>
      <c r="E199" s="7"/>
      <c r="F199" s="7"/>
      <c r="G199" s="1"/>
      <c r="H199" s="1"/>
      <c r="I199" s="1"/>
      <c r="J199" s="1"/>
      <c r="K199" s="1"/>
    </row>
    <row r="200" spans="1:11" hidden="1">
      <c r="A200" s="1" t="s">
        <v>10</v>
      </c>
      <c r="B200" s="1"/>
      <c r="C200" s="1"/>
      <c r="D200" s="1"/>
      <c r="E200" s="7"/>
      <c r="F200" s="7"/>
      <c r="G200" s="1"/>
      <c r="H200" s="1"/>
      <c r="I200" s="1"/>
      <c r="J200" s="1"/>
      <c r="K200" s="1"/>
    </row>
    <row r="201" spans="1:11" hidden="1"/>
    <row r="202" spans="1:11" hidden="1">
      <c r="A202" s="3">
        <v>43862</v>
      </c>
      <c r="E202" s="2"/>
      <c r="F202" s="2"/>
    </row>
    <row r="203" spans="1:11" hidden="1">
      <c r="A203" s="6" t="s">
        <v>1</v>
      </c>
      <c r="B203" s="6" t="s">
        <v>2</v>
      </c>
      <c r="C203" s="6" t="s">
        <v>3</v>
      </c>
      <c r="D203" s="6" t="s">
        <v>4</v>
      </c>
      <c r="E203" s="6" t="s">
        <v>5</v>
      </c>
      <c r="F203" s="6" t="s">
        <v>6</v>
      </c>
      <c r="G203" s="6" t="s">
        <v>12</v>
      </c>
      <c r="H203" s="6" t="s">
        <v>13</v>
      </c>
      <c r="I203" s="6" t="s">
        <v>14</v>
      </c>
      <c r="J203" s="6" t="s">
        <v>15</v>
      </c>
      <c r="K203" s="6" t="s">
        <v>16</v>
      </c>
    </row>
    <row r="204" spans="1:11" hidden="1">
      <c r="A204" s="1" t="s">
        <v>11</v>
      </c>
      <c r="B204" s="1">
        <f>C196</f>
        <v>820331</v>
      </c>
      <c r="C204" s="1">
        <v>829599</v>
      </c>
      <c r="D204" s="1">
        <f>C204-B204</f>
        <v>9268</v>
      </c>
      <c r="E204" s="7">
        <f>1894.06*1.15</f>
        <v>2178.1689999999999</v>
      </c>
      <c r="F204" s="7">
        <v>13409.46</v>
      </c>
      <c r="G204" s="1" t="s">
        <v>31</v>
      </c>
      <c r="H204" s="1">
        <v>30</v>
      </c>
      <c r="I204" s="7">
        <f>F206/D204</f>
        <v>1.6818762408286576</v>
      </c>
      <c r="J204" s="1" t="s">
        <v>18</v>
      </c>
      <c r="K204" s="1">
        <f>D204/H204</f>
        <v>308.93333333333334</v>
      </c>
    </row>
    <row r="205" spans="1:11" hidden="1">
      <c r="A205" s="1" t="s">
        <v>7</v>
      </c>
      <c r="B205" s="1"/>
      <c r="C205" s="1"/>
      <c r="D205" s="1"/>
      <c r="E205" s="7"/>
      <c r="F205" s="7"/>
      <c r="G205" s="1"/>
      <c r="H205" s="1"/>
      <c r="I205" s="1"/>
      <c r="J205" s="1"/>
      <c r="K205" s="1"/>
    </row>
    <row r="206" spans="1:11" hidden="1">
      <c r="A206" s="1" t="s">
        <v>8</v>
      </c>
      <c r="B206" s="1"/>
      <c r="C206" s="1"/>
      <c r="D206" s="1"/>
      <c r="E206" s="7"/>
      <c r="F206" s="7">
        <f>E204+F204</f>
        <v>15587.628999999999</v>
      </c>
      <c r="G206" s="1"/>
      <c r="H206" s="1"/>
      <c r="I206" s="1"/>
      <c r="J206" s="1"/>
      <c r="K206" s="1"/>
    </row>
    <row r="207" spans="1:11" hidden="1">
      <c r="A207" s="1" t="s">
        <v>9</v>
      </c>
      <c r="B207" s="1"/>
      <c r="C207" s="1"/>
      <c r="D207" s="1"/>
      <c r="E207" s="7"/>
      <c r="F207" s="7"/>
      <c r="G207" s="1"/>
      <c r="H207" s="1"/>
      <c r="I207" s="1"/>
      <c r="J207" s="1"/>
      <c r="K207" s="1"/>
    </row>
    <row r="208" spans="1:11" hidden="1">
      <c r="A208" s="1" t="s">
        <v>10</v>
      </c>
      <c r="B208" s="1"/>
      <c r="C208" s="1"/>
      <c r="D208" s="1"/>
      <c r="E208" s="7"/>
      <c r="F208" s="7"/>
      <c r="G208" s="1"/>
      <c r="H208" s="1"/>
      <c r="I208" s="1"/>
      <c r="J208" s="1"/>
      <c r="K208" s="1"/>
    </row>
    <row r="209" spans="1:11" hidden="1"/>
    <row r="210" spans="1:11" hidden="1">
      <c r="A210" s="3">
        <v>43891</v>
      </c>
      <c r="E210" s="2"/>
      <c r="F210" s="2"/>
    </row>
    <row r="211" spans="1:11" hidden="1">
      <c r="A211" s="6" t="s">
        <v>1</v>
      </c>
      <c r="B211" s="6" t="s">
        <v>2</v>
      </c>
      <c r="C211" s="6" t="s">
        <v>3</v>
      </c>
      <c r="D211" s="6" t="s">
        <v>4</v>
      </c>
      <c r="E211" s="6" t="s">
        <v>5</v>
      </c>
      <c r="F211" s="6" t="s">
        <v>6</v>
      </c>
      <c r="G211" s="6" t="s">
        <v>12</v>
      </c>
      <c r="H211" s="6" t="s">
        <v>13</v>
      </c>
      <c r="I211" s="6" t="s">
        <v>14</v>
      </c>
      <c r="J211" s="6" t="s">
        <v>15</v>
      </c>
      <c r="K211" s="6" t="s">
        <v>16</v>
      </c>
    </row>
    <row r="212" spans="1:11" hidden="1">
      <c r="A212" s="1" t="s">
        <v>11</v>
      </c>
      <c r="B212" s="1">
        <f>C204</f>
        <v>829599</v>
      </c>
      <c r="C212" s="1">
        <v>841135</v>
      </c>
      <c r="D212" s="1">
        <f>C212-B212</f>
        <v>11536</v>
      </c>
      <c r="E212" s="7">
        <f>2299.1*1.15</f>
        <v>2643.9649999999997</v>
      </c>
      <c r="F212" s="7">
        <f>16850.66*1.15</f>
        <v>19378.258999999998</v>
      </c>
      <c r="G212" s="1" t="s">
        <v>32</v>
      </c>
      <c r="H212" s="1">
        <v>25</v>
      </c>
      <c r="I212" s="7">
        <f>F214/D212</f>
        <v>1.9089999999999998</v>
      </c>
      <c r="J212" s="1" t="s">
        <v>18</v>
      </c>
      <c r="K212" s="1">
        <f>D212/H212</f>
        <v>461.44</v>
      </c>
    </row>
    <row r="213" spans="1:11" hidden="1">
      <c r="A213" s="1" t="s">
        <v>7</v>
      </c>
      <c r="B213" s="1"/>
      <c r="C213" s="1"/>
      <c r="D213" s="1"/>
      <c r="E213" s="7"/>
      <c r="F213" s="7"/>
      <c r="G213" s="1"/>
      <c r="H213" s="1"/>
      <c r="I213" s="1"/>
      <c r="J213" s="1"/>
      <c r="K213" s="1"/>
    </row>
    <row r="214" spans="1:11" hidden="1">
      <c r="A214" s="1" t="s">
        <v>8</v>
      </c>
      <c r="B214" s="1"/>
      <c r="C214" s="1"/>
      <c r="D214" s="1"/>
      <c r="E214" s="7"/>
      <c r="F214" s="7">
        <f>E212+F212</f>
        <v>22022.223999999998</v>
      </c>
      <c r="G214" s="1"/>
      <c r="H214" s="1"/>
      <c r="I214" s="1"/>
      <c r="J214" s="1"/>
      <c r="K214" s="1"/>
    </row>
    <row r="215" spans="1:11" hidden="1">
      <c r="A215" s="1" t="s">
        <v>9</v>
      </c>
      <c r="B215" s="1"/>
      <c r="C215" s="1"/>
      <c r="D215" s="1"/>
      <c r="E215" s="7"/>
      <c r="F215" s="7"/>
      <c r="G215" s="1"/>
      <c r="H215" s="1"/>
      <c r="I215" s="1"/>
      <c r="J215" s="1"/>
      <c r="K215" s="1"/>
    </row>
    <row r="216" spans="1:11" hidden="1">
      <c r="A216" s="1" t="s">
        <v>10</v>
      </c>
      <c r="B216" s="1"/>
      <c r="C216" s="1"/>
      <c r="D216" s="1"/>
      <c r="E216" s="7"/>
      <c r="F216" s="7"/>
      <c r="G216" s="1"/>
      <c r="H216" s="1"/>
      <c r="I216" s="1"/>
      <c r="J216" s="1"/>
      <c r="K216" s="1"/>
    </row>
    <row r="217" spans="1:11" hidden="1"/>
    <row r="218" spans="1:11" hidden="1">
      <c r="A218" s="3">
        <v>43922</v>
      </c>
      <c r="E218" s="2"/>
      <c r="F218" s="2"/>
    </row>
    <row r="219" spans="1:11" hidden="1">
      <c r="A219" s="6" t="s">
        <v>1</v>
      </c>
      <c r="B219" s="6" t="s">
        <v>2</v>
      </c>
      <c r="C219" s="6" t="s">
        <v>3</v>
      </c>
      <c r="D219" s="6" t="s">
        <v>4</v>
      </c>
      <c r="E219" s="6" t="s">
        <v>5</v>
      </c>
      <c r="F219" s="6" t="s">
        <v>6</v>
      </c>
      <c r="G219" s="6" t="s">
        <v>12</v>
      </c>
      <c r="H219" s="6" t="s">
        <v>13</v>
      </c>
      <c r="I219" s="6" t="s">
        <v>14</v>
      </c>
      <c r="J219" s="6" t="s">
        <v>15</v>
      </c>
      <c r="K219" s="6" t="s">
        <v>16</v>
      </c>
    </row>
    <row r="220" spans="1:11" hidden="1">
      <c r="A220" s="1" t="s">
        <v>11</v>
      </c>
      <c r="B220" s="1">
        <f>C212</f>
        <v>841135</v>
      </c>
      <c r="C220" s="1">
        <v>851784</v>
      </c>
      <c r="D220" s="1">
        <f>C220-B220</f>
        <v>10649</v>
      </c>
      <c r="E220" s="7">
        <f>2370.48*1.15</f>
        <v>2726.0519999999997</v>
      </c>
      <c r="F220" s="7">
        <f>815.14+20324.92</f>
        <v>21140.059999999998</v>
      </c>
      <c r="G220" s="1" t="s">
        <v>33</v>
      </c>
      <c r="H220" s="1">
        <v>34</v>
      </c>
      <c r="I220" s="7">
        <f>F222/D220</f>
        <v>2.2411599211193538</v>
      </c>
      <c r="J220" s="1" t="s">
        <v>34</v>
      </c>
      <c r="K220" s="1">
        <f>D220/H220</f>
        <v>313.20588235294116</v>
      </c>
    </row>
    <row r="221" spans="1:11" hidden="1">
      <c r="A221" s="1" t="s">
        <v>7</v>
      </c>
      <c r="B221" s="1"/>
      <c r="C221" s="1"/>
      <c r="D221" s="1"/>
      <c r="E221" s="7"/>
      <c r="F221" s="7"/>
      <c r="G221" s="1"/>
      <c r="H221" s="1"/>
      <c r="I221" s="1"/>
      <c r="J221" s="1"/>
      <c r="K221" s="1"/>
    </row>
    <row r="222" spans="1:11" hidden="1">
      <c r="A222" s="1" t="s">
        <v>8</v>
      </c>
      <c r="B222" s="1"/>
      <c r="C222" s="1"/>
      <c r="D222" s="1"/>
      <c r="E222" s="7"/>
      <c r="F222" s="7">
        <f>E220+F220</f>
        <v>23866.111999999997</v>
      </c>
      <c r="G222" s="1"/>
      <c r="H222" s="1"/>
      <c r="I222" s="1"/>
      <c r="J222" s="1"/>
      <c r="K222" s="1"/>
    </row>
    <row r="223" spans="1:11" hidden="1">
      <c r="A223" s="1" t="s">
        <v>9</v>
      </c>
      <c r="B223" s="1"/>
      <c r="C223" s="1"/>
      <c r="D223" s="1"/>
      <c r="E223" s="7"/>
      <c r="F223" s="7"/>
      <c r="G223" s="1"/>
      <c r="H223" s="1"/>
      <c r="I223" s="1"/>
      <c r="J223" s="1"/>
      <c r="K223" s="1"/>
    </row>
    <row r="224" spans="1:11" hidden="1">
      <c r="A224" s="1" t="s">
        <v>10</v>
      </c>
      <c r="B224" s="1"/>
      <c r="C224" s="1"/>
      <c r="D224" s="1"/>
      <c r="E224" s="7"/>
      <c r="F224" s="7"/>
      <c r="G224" s="1"/>
      <c r="H224" s="1"/>
      <c r="I224" s="1"/>
      <c r="J224" s="1"/>
      <c r="K224" s="1"/>
    </row>
    <row r="225" spans="1:11" hidden="1"/>
    <row r="226" spans="1:11" hidden="1">
      <c r="A226" s="3">
        <v>43952</v>
      </c>
      <c r="E226" s="2"/>
      <c r="F226" s="2"/>
    </row>
    <row r="227" spans="1:11" hidden="1">
      <c r="A227" s="6" t="s">
        <v>1</v>
      </c>
      <c r="B227" s="6" t="s">
        <v>2</v>
      </c>
      <c r="C227" s="6" t="s">
        <v>3</v>
      </c>
      <c r="D227" s="6" t="s">
        <v>4</v>
      </c>
      <c r="E227" s="6" t="s">
        <v>5</v>
      </c>
      <c r="F227" s="6" t="s">
        <v>6</v>
      </c>
      <c r="G227" s="6" t="s">
        <v>12</v>
      </c>
      <c r="H227" s="6" t="s">
        <v>13</v>
      </c>
      <c r="I227" s="6" t="s">
        <v>14</v>
      </c>
      <c r="J227" s="6" t="s">
        <v>15</v>
      </c>
      <c r="K227" s="6" t="s">
        <v>16</v>
      </c>
    </row>
    <row r="228" spans="1:11" hidden="1">
      <c r="A228" s="1" t="s">
        <v>11</v>
      </c>
      <c r="B228" s="1">
        <f>C220</f>
        <v>851784</v>
      </c>
      <c r="C228" s="1">
        <v>862797</v>
      </c>
      <c r="D228" s="1">
        <f>C228-B228</f>
        <v>11013</v>
      </c>
      <c r="E228" s="7">
        <v>2657.33</v>
      </c>
      <c r="F228" s="7">
        <f>866.69+22283.14</f>
        <v>23149.829999999998</v>
      </c>
      <c r="G228" s="1" t="s">
        <v>35</v>
      </c>
      <c r="H228" s="1">
        <v>29</v>
      </c>
      <c r="I228" s="7">
        <f>F230/D228</f>
        <v>2.3433360573867246</v>
      </c>
      <c r="J228" s="1" t="s">
        <v>34</v>
      </c>
      <c r="K228" s="1">
        <f>D228/H228</f>
        <v>379.75862068965517</v>
      </c>
    </row>
    <row r="229" spans="1:11" hidden="1">
      <c r="A229" s="1" t="s">
        <v>7</v>
      </c>
      <c r="B229" s="1"/>
      <c r="C229" s="1"/>
      <c r="D229" s="1"/>
      <c r="E229" s="7"/>
      <c r="F229" s="7"/>
      <c r="G229" s="1"/>
      <c r="H229" s="1"/>
      <c r="I229" s="1"/>
      <c r="J229" s="1"/>
      <c r="K229" s="1"/>
    </row>
    <row r="230" spans="1:11" hidden="1">
      <c r="A230" s="1" t="s">
        <v>8</v>
      </c>
      <c r="B230" s="1"/>
      <c r="C230" s="1"/>
      <c r="D230" s="1"/>
      <c r="E230" s="7"/>
      <c r="F230" s="7">
        <f>E228+F228</f>
        <v>25807.159999999996</v>
      </c>
      <c r="G230" s="1"/>
      <c r="H230" s="1"/>
      <c r="I230" s="1"/>
      <c r="J230" s="1"/>
      <c r="K230" s="1"/>
    </row>
    <row r="231" spans="1:11" hidden="1">
      <c r="A231" s="1" t="s">
        <v>9</v>
      </c>
      <c r="B231" s="1"/>
      <c r="C231" s="1"/>
      <c r="D231" s="1"/>
      <c r="E231" s="7"/>
      <c r="F231" s="7"/>
      <c r="G231" s="1"/>
      <c r="H231" s="1"/>
      <c r="I231" s="1"/>
      <c r="J231" s="1"/>
      <c r="K231" s="1"/>
    </row>
    <row r="232" spans="1:11" hidden="1">
      <c r="A232" s="1" t="s">
        <v>10</v>
      </c>
      <c r="B232" s="1"/>
      <c r="C232" s="1"/>
      <c r="D232" s="1"/>
      <c r="E232" s="7"/>
      <c r="F232" s="7"/>
      <c r="G232" s="1"/>
      <c r="H232" s="1"/>
      <c r="I232" s="1"/>
      <c r="J232" s="1"/>
      <c r="K232" s="1"/>
    </row>
    <row r="233" spans="1:11" hidden="1"/>
    <row r="234" spans="1:11" hidden="1">
      <c r="A234" s="3">
        <v>43983</v>
      </c>
      <c r="E234" s="2"/>
      <c r="F234" s="2"/>
    </row>
    <row r="235" spans="1:11" hidden="1">
      <c r="A235" s="6" t="s">
        <v>1</v>
      </c>
      <c r="B235" s="6" t="s">
        <v>2</v>
      </c>
      <c r="C235" s="6" t="s">
        <v>3</v>
      </c>
      <c r="D235" s="6" t="s">
        <v>4</v>
      </c>
      <c r="E235" s="6" t="s">
        <v>5</v>
      </c>
      <c r="F235" s="6" t="s">
        <v>6</v>
      </c>
      <c r="G235" s="6" t="s">
        <v>12</v>
      </c>
      <c r="H235" s="6" t="s">
        <v>13</v>
      </c>
      <c r="I235" s="6" t="s">
        <v>14</v>
      </c>
      <c r="J235" s="6" t="s">
        <v>15</v>
      </c>
      <c r="K235" s="6" t="s">
        <v>16</v>
      </c>
    </row>
    <row r="236" spans="1:11" hidden="1">
      <c r="A236" s="1" t="s">
        <v>11</v>
      </c>
      <c r="B236" s="1">
        <f>C228</f>
        <v>862797</v>
      </c>
      <c r="C236" s="1">
        <v>872744</v>
      </c>
      <c r="D236" s="1">
        <f>C236-B236</f>
        <v>9947</v>
      </c>
      <c r="E236" s="7">
        <f>2046.78*1.15</f>
        <v>2353.7969999999996</v>
      </c>
      <c r="F236" s="7">
        <v>26471.693439999999</v>
      </c>
      <c r="G236" s="1" t="s">
        <v>36</v>
      </c>
      <c r="H236" s="1">
        <v>31</v>
      </c>
      <c r="I236" s="7">
        <f>F238/D236</f>
        <v>2.8979079561676886</v>
      </c>
      <c r="J236" s="1" t="s">
        <v>34</v>
      </c>
      <c r="K236" s="1">
        <f>D236/H236</f>
        <v>320.87096774193549</v>
      </c>
    </row>
    <row r="237" spans="1:11" hidden="1">
      <c r="A237" s="1" t="s">
        <v>7</v>
      </c>
      <c r="B237" s="1"/>
      <c r="C237" s="1"/>
      <c r="D237" s="1"/>
      <c r="E237" s="7"/>
      <c r="F237" s="7"/>
      <c r="G237" s="1"/>
      <c r="H237" s="1"/>
      <c r="I237" s="1"/>
      <c r="J237" s="1"/>
      <c r="K237" s="1"/>
    </row>
    <row r="238" spans="1:11" hidden="1">
      <c r="A238" s="1" t="s">
        <v>8</v>
      </c>
      <c r="B238" s="1"/>
      <c r="C238" s="1"/>
      <c r="D238" s="1"/>
      <c r="E238" s="7"/>
      <c r="F238" s="7">
        <f>E236+F236</f>
        <v>28825.490439999998</v>
      </c>
      <c r="G238" s="1"/>
      <c r="H238" s="1"/>
      <c r="I238" s="1"/>
      <c r="J238" s="1"/>
      <c r="K238" s="1"/>
    </row>
    <row r="239" spans="1:11" hidden="1">
      <c r="A239" s="1" t="s">
        <v>9</v>
      </c>
      <c r="B239" s="1"/>
      <c r="C239" s="1"/>
      <c r="D239" s="1"/>
      <c r="E239" s="7"/>
      <c r="F239" s="7"/>
      <c r="G239" s="1"/>
      <c r="H239" s="1"/>
      <c r="I239" s="1"/>
      <c r="J239" s="1"/>
      <c r="K239" s="1"/>
    </row>
    <row r="240" spans="1:11" hidden="1">
      <c r="A240" s="1" t="s">
        <v>10</v>
      </c>
      <c r="B240" s="1"/>
      <c r="C240" s="1"/>
      <c r="D240" s="1"/>
      <c r="E240" s="7"/>
      <c r="F240" s="7"/>
      <c r="G240" s="1"/>
      <c r="H240" s="1"/>
      <c r="I240" s="1"/>
      <c r="J240" s="1"/>
      <c r="K240" s="1"/>
    </row>
    <row r="241" spans="1:11" hidden="1"/>
    <row r="242" spans="1:11" hidden="1">
      <c r="A242" s="3">
        <v>44013</v>
      </c>
      <c r="E242" s="2"/>
      <c r="F242" s="2"/>
    </row>
    <row r="243" spans="1:11" hidden="1">
      <c r="A243" s="6" t="s">
        <v>1</v>
      </c>
      <c r="B243" s="6" t="s">
        <v>2</v>
      </c>
      <c r="C243" s="6" t="s">
        <v>3</v>
      </c>
      <c r="D243" s="6" t="s">
        <v>4</v>
      </c>
      <c r="E243" s="6" t="s">
        <v>5</v>
      </c>
      <c r="F243" s="6" t="s">
        <v>6</v>
      </c>
      <c r="G243" s="6" t="s">
        <v>12</v>
      </c>
      <c r="H243" s="6" t="s">
        <v>13</v>
      </c>
      <c r="I243" s="6" t="s">
        <v>14</v>
      </c>
      <c r="J243" s="6" t="s">
        <v>15</v>
      </c>
      <c r="K243" s="6" t="s">
        <v>16</v>
      </c>
    </row>
    <row r="244" spans="1:11" hidden="1">
      <c r="A244" s="1" t="s">
        <v>11</v>
      </c>
      <c r="B244" s="1">
        <f>C236</f>
        <v>872744</v>
      </c>
      <c r="C244" s="1">
        <v>917512</v>
      </c>
      <c r="D244" s="1">
        <f>C244-B244</f>
        <v>44768</v>
      </c>
      <c r="E244" s="7">
        <f>913.363499999992*1.15</f>
        <v>1050.3680249999907</v>
      </c>
      <c r="F244" s="7">
        <f>30041.496+5356.75</f>
        <v>35398.245999999999</v>
      </c>
      <c r="G244" s="1" t="s">
        <v>37</v>
      </c>
      <c r="H244" s="1">
        <v>31</v>
      </c>
      <c r="I244" s="7">
        <f>F246/D244</f>
        <v>0.81416668211669019</v>
      </c>
      <c r="J244" s="1" t="s">
        <v>18</v>
      </c>
      <c r="K244" s="1">
        <f>D244/H244</f>
        <v>1444.1290322580646</v>
      </c>
    </row>
    <row r="245" spans="1:11" hidden="1">
      <c r="A245" s="1" t="s">
        <v>7</v>
      </c>
      <c r="B245" s="1"/>
      <c r="C245" s="1"/>
      <c r="D245" s="1"/>
      <c r="E245" s="7"/>
      <c r="F245" s="7"/>
      <c r="G245" s="1"/>
      <c r="H245" s="1"/>
      <c r="I245" s="1"/>
      <c r="J245" s="1"/>
      <c r="K245" s="1"/>
    </row>
    <row r="246" spans="1:11" hidden="1">
      <c r="A246" s="1" t="s">
        <v>8</v>
      </c>
      <c r="B246" s="1"/>
      <c r="C246" s="1"/>
      <c r="D246" s="1"/>
      <c r="E246" s="7"/>
      <c r="F246" s="7">
        <f>E244+F244</f>
        <v>36448.614024999988</v>
      </c>
      <c r="G246" s="1"/>
      <c r="H246" s="1"/>
      <c r="I246" s="1"/>
      <c r="J246" s="1"/>
      <c r="K246" s="1"/>
    </row>
    <row r="247" spans="1:11" hidden="1">
      <c r="A247" s="1" t="s">
        <v>9</v>
      </c>
      <c r="B247" s="1"/>
      <c r="C247" s="1"/>
      <c r="D247" s="1"/>
      <c r="E247" s="7"/>
      <c r="F247" s="7"/>
      <c r="G247" s="1"/>
      <c r="H247" s="1"/>
      <c r="I247" s="1"/>
      <c r="J247" s="1"/>
      <c r="K247" s="1"/>
    </row>
    <row r="248" spans="1:11" hidden="1">
      <c r="A248" s="1" t="s">
        <v>10</v>
      </c>
      <c r="B248" s="1"/>
      <c r="C248" s="1"/>
      <c r="D248" s="1"/>
      <c r="E248" s="7"/>
      <c r="F248" s="7"/>
      <c r="G248" s="1"/>
      <c r="H248" s="1"/>
      <c r="I248" s="1"/>
      <c r="J248" s="1"/>
      <c r="K248" s="1"/>
    </row>
    <row r="249" spans="1:11" hidden="1"/>
    <row r="250" spans="1:11" hidden="1">
      <c r="A250" s="3">
        <v>44044</v>
      </c>
      <c r="E250" s="2"/>
      <c r="F250" s="2"/>
    </row>
    <row r="251" spans="1:11" hidden="1">
      <c r="A251" s="6" t="s">
        <v>1</v>
      </c>
      <c r="B251" s="6" t="s">
        <v>2</v>
      </c>
      <c r="C251" s="6" t="s">
        <v>3</v>
      </c>
      <c r="D251" s="6" t="s">
        <v>4</v>
      </c>
      <c r="E251" s="6" t="s">
        <v>5</v>
      </c>
      <c r="F251" s="6" t="s">
        <v>6</v>
      </c>
      <c r="G251" s="6" t="s">
        <v>12</v>
      </c>
      <c r="H251" s="6" t="s">
        <v>13</v>
      </c>
      <c r="I251" s="6" t="s">
        <v>14</v>
      </c>
      <c r="J251" s="6" t="s">
        <v>15</v>
      </c>
      <c r="K251" s="6" t="s">
        <v>16</v>
      </c>
    </row>
    <row r="252" spans="1:11" hidden="1">
      <c r="A252" s="1" t="s">
        <v>11</v>
      </c>
      <c r="B252" s="1">
        <f>C244</f>
        <v>917512</v>
      </c>
      <c r="C252" s="1">
        <v>928298</v>
      </c>
      <c r="D252" s="1">
        <f>C252-B252</f>
        <v>10786</v>
      </c>
      <c r="E252" s="7">
        <v>1964.88</v>
      </c>
      <c r="F252" s="7">
        <f>857.73+27147.64</f>
        <v>28005.37</v>
      </c>
      <c r="G252" s="1" t="s">
        <v>38</v>
      </c>
      <c r="H252" s="1">
        <v>31</v>
      </c>
      <c r="I252" s="7">
        <f>F254/D252</f>
        <v>2.778625069534582</v>
      </c>
      <c r="J252" s="1" t="s">
        <v>18</v>
      </c>
      <c r="K252" s="1">
        <f>D252/H252</f>
        <v>347.93548387096774</v>
      </c>
    </row>
    <row r="253" spans="1:11" hidden="1">
      <c r="A253" s="1" t="s">
        <v>7</v>
      </c>
      <c r="B253" s="1"/>
      <c r="C253" s="1"/>
      <c r="D253" s="1"/>
      <c r="E253" s="7"/>
      <c r="F253" s="7"/>
      <c r="G253" s="1"/>
      <c r="H253" s="1"/>
      <c r="I253" s="1"/>
      <c r="J253" s="1"/>
      <c r="K253" s="1"/>
    </row>
    <row r="254" spans="1:11" hidden="1">
      <c r="A254" s="1" t="s">
        <v>8</v>
      </c>
      <c r="B254" s="1"/>
      <c r="C254" s="1"/>
      <c r="D254" s="1"/>
      <c r="E254" s="7"/>
      <c r="F254" s="7">
        <f>E252+F252</f>
        <v>29970.25</v>
      </c>
      <c r="G254" s="1"/>
      <c r="H254" s="1"/>
      <c r="I254" s="1"/>
      <c r="J254" s="1"/>
      <c r="K254" s="1"/>
    </row>
    <row r="255" spans="1:11" hidden="1">
      <c r="A255" s="1" t="s">
        <v>9</v>
      </c>
      <c r="B255" s="1"/>
      <c r="C255" s="1"/>
      <c r="D255" s="1"/>
      <c r="E255" s="7"/>
      <c r="F255" s="7"/>
      <c r="G255" s="1"/>
      <c r="H255" s="1"/>
      <c r="I255" s="1"/>
      <c r="J255" s="1"/>
      <c r="K255" s="1"/>
    </row>
    <row r="256" spans="1:11" hidden="1">
      <c r="A256" s="1" t="s">
        <v>10</v>
      </c>
      <c r="B256" s="1"/>
      <c r="C256" s="1"/>
      <c r="D256" s="1"/>
      <c r="E256" s="7"/>
      <c r="F256" s="7"/>
      <c r="G256" s="1"/>
      <c r="H256" s="1"/>
      <c r="I256" s="1"/>
      <c r="J256" s="1"/>
      <c r="K256" s="1"/>
    </row>
    <row r="257" spans="1:11" hidden="1"/>
    <row r="258" spans="1:11" hidden="1">
      <c r="A258" s="3">
        <v>44075</v>
      </c>
      <c r="E258" s="2"/>
      <c r="F258" s="2"/>
    </row>
    <row r="259" spans="1:11" hidden="1">
      <c r="A259" s="6" t="s">
        <v>1</v>
      </c>
      <c r="B259" s="6" t="s">
        <v>2</v>
      </c>
      <c r="C259" s="6" t="s">
        <v>3</v>
      </c>
      <c r="D259" s="6" t="s">
        <v>4</v>
      </c>
      <c r="E259" s="6" t="s">
        <v>5</v>
      </c>
      <c r="F259" s="6" t="s">
        <v>6</v>
      </c>
      <c r="G259" s="6" t="s">
        <v>12</v>
      </c>
      <c r="H259" s="6" t="s">
        <v>13</v>
      </c>
      <c r="I259" s="6" t="s">
        <v>14</v>
      </c>
      <c r="J259" s="6" t="s">
        <v>15</v>
      </c>
      <c r="K259" s="6" t="s">
        <v>16</v>
      </c>
    </row>
    <row r="260" spans="1:11" hidden="1">
      <c r="A260" s="1" t="s">
        <v>11</v>
      </c>
      <c r="B260" s="1">
        <f>C252</f>
        <v>928298</v>
      </c>
      <c r="C260" s="1">
        <f>B260+D260</f>
        <v>955994</v>
      </c>
      <c r="D260" s="1">
        <v>27696</v>
      </c>
      <c r="E260" s="7">
        <v>10167.081</v>
      </c>
      <c r="F260" s="7">
        <f>2694.86+20134.48</f>
        <v>22829.34</v>
      </c>
      <c r="G260" s="1" t="s">
        <v>39</v>
      </c>
      <c r="H260" s="1">
        <v>30</v>
      </c>
      <c r="I260" s="7">
        <f>F262/D260</f>
        <v>1.1913785745233969</v>
      </c>
      <c r="J260" s="1" t="s">
        <v>18</v>
      </c>
      <c r="K260" s="1">
        <f>D260/H260</f>
        <v>923.2</v>
      </c>
    </row>
    <row r="261" spans="1:11" hidden="1">
      <c r="A261" s="1" t="s">
        <v>7</v>
      </c>
      <c r="B261" s="1"/>
      <c r="C261" s="1"/>
      <c r="D261" s="1"/>
      <c r="E261" s="7"/>
      <c r="F261" s="7"/>
      <c r="G261" s="1"/>
      <c r="H261" s="1"/>
      <c r="I261" s="1"/>
      <c r="J261" s="1"/>
      <c r="K261" s="1"/>
    </row>
    <row r="262" spans="1:11" hidden="1">
      <c r="A262" s="1" t="s">
        <v>8</v>
      </c>
      <c r="B262" s="1"/>
      <c r="C262" s="1"/>
      <c r="D262" s="1"/>
      <c r="E262" s="7"/>
      <c r="F262" s="7">
        <f>E260+F260</f>
        <v>32996.421000000002</v>
      </c>
      <c r="G262" s="1"/>
      <c r="H262" s="1"/>
      <c r="I262" s="1"/>
      <c r="J262" s="1"/>
      <c r="K262" s="1"/>
    </row>
    <row r="263" spans="1:11" hidden="1">
      <c r="A263" s="1" t="s">
        <v>9</v>
      </c>
      <c r="B263" s="1"/>
      <c r="C263" s="1"/>
      <c r="D263" s="1"/>
      <c r="E263" s="7"/>
      <c r="F263" s="7"/>
      <c r="G263" s="1"/>
      <c r="H263" s="1"/>
      <c r="I263" s="1"/>
      <c r="J263" s="1"/>
      <c r="K263" s="1"/>
    </row>
    <row r="264" spans="1:11" hidden="1">
      <c r="A264" s="1" t="s">
        <v>10</v>
      </c>
      <c r="B264" s="1"/>
      <c r="C264" s="1"/>
      <c r="D264" s="1"/>
      <c r="E264" s="7"/>
      <c r="F264" s="7"/>
      <c r="G264" s="1"/>
      <c r="H264" s="1"/>
      <c r="I264" s="1"/>
      <c r="J264" s="1"/>
      <c r="K264" s="1"/>
    </row>
    <row r="265" spans="1:11" hidden="1"/>
    <row r="266" spans="1:11" hidden="1">
      <c r="A266" s="3">
        <v>44105</v>
      </c>
      <c r="E266" s="2"/>
      <c r="F266" s="2"/>
    </row>
    <row r="267" spans="1:11" hidden="1">
      <c r="A267" s="6" t="s">
        <v>1</v>
      </c>
      <c r="B267" s="6" t="s">
        <v>2</v>
      </c>
      <c r="C267" s="6" t="s">
        <v>3</v>
      </c>
      <c r="D267" s="6" t="s">
        <v>4</v>
      </c>
      <c r="E267" s="6" t="s">
        <v>5</v>
      </c>
      <c r="F267" s="6" t="s">
        <v>6</v>
      </c>
      <c r="G267" s="6" t="s">
        <v>12</v>
      </c>
      <c r="H267" s="6" t="s">
        <v>13</v>
      </c>
      <c r="I267" s="6" t="s">
        <v>14</v>
      </c>
      <c r="J267" s="6" t="s">
        <v>15</v>
      </c>
      <c r="K267" s="6" t="s">
        <v>16</v>
      </c>
    </row>
    <row r="268" spans="1:11" hidden="1">
      <c r="A268" s="1" t="s">
        <v>11</v>
      </c>
      <c r="B268" s="1">
        <f>C260</f>
        <v>955994</v>
      </c>
      <c r="C268" s="1">
        <v>968805</v>
      </c>
      <c r="D268" s="1">
        <f>C268-B268</f>
        <v>12811</v>
      </c>
      <c r="E268" s="7">
        <f>520.16*1.15</f>
        <v>598.18399999999997</v>
      </c>
      <c r="F268" s="7">
        <f>20452.43+(1186.67*1.15)</f>
        <v>21817.1005</v>
      </c>
      <c r="G268" s="1" t="s">
        <v>40</v>
      </c>
      <c r="H268" s="1">
        <v>31</v>
      </c>
      <c r="I268" s="7">
        <f>F270/D268</f>
        <v>1.7496904613223012</v>
      </c>
      <c r="J268" s="1" t="s">
        <v>18</v>
      </c>
      <c r="K268" s="1">
        <f>D268/H268</f>
        <v>413.25806451612902</v>
      </c>
    </row>
    <row r="269" spans="1:11" hidden="1">
      <c r="A269" s="1" t="s">
        <v>7</v>
      </c>
      <c r="B269" s="1"/>
      <c r="C269" s="1"/>
      <c r="D269" s="1"/>
      <c r="E269" s="7"/>
      <c r="F269" s="7"/>
      <c r="G269" s="1"/>
      <c r="H269" s="1"/>
      <c r="I269" s="1"/>
      <c r="J269" s="1"/>
      <c r="K269" s="1"/>
    </row>
    <row r="270" spans="1:11" hidden="1">
      <c r="A270" s="1" t="s">
        <v>8</v>
      </c>
      <c r="B270" s="1"/>
      <c r="C270" s="1"/>
      <c r="D270" s="1"/>
      <c r="E270" s="7"/>
      <c r="F270" s="7">
        <f>E268+F268</f>
        <v>22415.284500000002</v>
      </c>
      <c r="G270" s="1"/>
      <c r="H270" s="1"/>
      <c r="I270" s="1"/>
      <c r="J270" s="1"/>
      <c r="K270" s="1"/>
    </row>
    <row r="271" spans="1:11" hidden="1">
      <c r="A271" s="1" t="s">
        <v>9</v>
      </c>
      <c r="B271" s="1"/>
      <c r="C271" s="1"/>
      <c r="D271" s="1"/>
      <c r="E271" s="7"/>
      <c r="F271" s="7"/>
      <c r="G271" s="1"/>
      <c r="H271" s="1"/>
      <c r="I271" s="1"/>
      <c r="J271" s="1"/>
      <c r="K271" s="1"/>
    </row>
    <row r="272" spans="1:11" hidden="1">
      <c r="A272" s="1" t="s">
        <v>10</v>
      </c>
      <c r="B272" s="1"/>
      <c r="C272" s="1"/>
      <c r="D272" s="1"/>
      <c r="E272" s="7"/>
      <c r="F272" s="7"/>
      <c r="G272" s="1"/>
      <c r="H272" s="1"/>
      <c r="I272" s="1"/>
      <c r="J272" s="1"/>
      <c r="K272" s="1"/>
    </row>
    <row r="273" spans="1:11" hidden="1"/>
    <row r="274" spans="1:11" hidden="1">
      <c r="A274" s="3">
        <v>44136</v>
      </c>
      <c r="E274" s="2"/>
      <c r="F274" s="2"/>
    </row>
    <row r="275" spans="1:11" hidden="1">
      <c r="A275" s="6" t="s">
        <v>1</v>
      </c>
      <c r="B275" s="6" t="s">
        <v>2</v>
      </c>
      <c r="C275" s="6" t="s">
        <v>3</v>
      </c>
      <c r="D275" s="6" t="s">
        <v>4</v>
      </c>
      <c r="E275" s="6" t="s">
        <v>5</v>
      </c>
      <c r="F275" s="6" t="s">
        <v>6</v>
      </c>
      <c r="G275" s="6" t="s">
        <v>12</v>
      </c>
      <c r="H275" s="6" t="s">
        <v>13</v>
      </c>
      <c r="I275" s="6" t="s">
        <v>14</v>
      </c>
      <c r="J275" s="6" t="s">
        <v>15</v>
      </c>
      <c r="K275" s="6" t="s">
        <v>16</v>
      </c>
    </row>
    <row r="276" spans="1:11" hidden="1">
      <c r="A276" s="1" t="s">
        <v>11</v>
      </c>
      <c r="B276" s="1">
        <f>C268</f>
        <v>968805</v>
      </c>
      <c r="C276" s="1">
        <f>D276+B276</f>
        <v>986854</v>
      </c>
      <c r="D276" s="1">
        <v>18049</v>
      </c>
      <c r="E276" s="7">
        <v>2621.86</v>
      </c>
      <c r="F276" s="7">
        <f>17168.58+1186.23</f>
        <v>18354.810000000001</v>
      </c>
      <c r="G276" s="1" t="s">
        <v>41</v>
      </c>
      <c r="H276" s="1">
        <v>25</v>
      </c>
      <c r="I276" s="7">
        <f>F278/D276</f>
        <v>1.1622067704581973</v>
      </c>
      <c r="J276" s="1" t="s">
        <v>18</v>
      </c>
      <c r="K276" s="1">
        <f>D276/H276</f>
        <v>721.96</v>
      </c>
    </row>
    <row r="277" spans="1:11" hidden="1">
      <c r="A277" s="1" t="s">
        <v>7</v>
      </c>
      <c r="B277" s="1"/>
      <c r="C277" s="1"/>
      <c r="D277" s="1"/>
      <c r="E277" s="7"/>
      <c r="F277" s="7"/>
      <c r="G277" s="1"/>
      <c r="H277" s="1"/>
      <c r="I277" s="1"/>
      <c r="J277" s="1"/>
      <c r="K277" s="1"/>
    </row>
    <row r="278" spans="1:11" hidden="1">
      <c r="A278" s="1" t="s">
        <v>8</v>
      </c>
      <c r="B278" s="1"/>
      <c r="C278" s="1"/>
      <c r="D278" s="1"/>
      <c r="E278" s="7"/>
      <c r="F278" s="7">
        <f>E276+F276</f>
        <v>20976.670000000002</v>
      </c>
      <c r="G278" s="1"/>
      <c r="H278" s="1"/>
      <c r="I278" s="1"/>
      <c r="J278" s="1"/>
      <c r="K278" s="1"/>
    </row>
    <row r="279" spans="1:11" hidden="1">
      <c r="A279" s="1" t="s">
        <v>9</v>
      </c>
      <c r="B279" s="1"/>
      <c r="C279" s="1"/>
      <c r="D279" s="1"/>
      <c r="E279" s="7"/>
      <c r="F279" s="7"/>
      <c r="G279" s="1"/>
      <c r="H279" s="1"/>
      <c r="I279" s="1"/>
      <c r="J279" s="1"/>
      <c r="K279" s="1"/>
    </row>
    <row r="280" spans="1:11" hidden="1">
      <c r="A280" s="1" t="s">
        <v>10</v>
      </c>
      <c r="B280" s="1"/>
      <c r="C280" s="1"/>
      <c r="D280" s="1"/>
      <c r="E280" s="7"/>
      <c r="F280" s="7"/>
      <c r="G280" s="1"/>
      <c r="H280" s="1"/>
      <c r="I280" s="1"/>
      <c r="J280" s="1"/>
      <c r="K280" s="1"/>
    </row>
    <row r="281" spans="1:11" hidden="1"/>
    <row r="282" spans="1:11" hidden="1">
      <c r="A282" s="3">
        <v>44166</v>
      </c>
      <c r="E282" s="2"/>
      <c r="F282" s="2"/>
    </row>
    <row r="283" spans="1:11" hidden="1">
      <c r="A283" s="6" t="s">
        <v>1</v>
      </c>
      <c r="B283" s="6" t="s">
        <v>2</v>
      </c>
      <c r="C283" s="6" t="s">
        <v>3</v>
      </c>
      <c r="D283" s="6" t="s">
        <v>4</v>
      </c>
      <c r="E283" s="6" t="s">
        <v>5</v>
      </c>
      <c r="F283" s="6" t="s">
        <v>6</v>
      </c>
      <c r="G283" s="6" t="s">
        <v>12</v>
      </c>
      <c r="H283" s="6" t="s">
        <v>13</v>
      </c>
      <c r="I283" s="6" t="s">
        <v>14</v>
      </c>
      <c r="J283" s="6" t="s">
        <v>15</v>
      </c>
      <c r="K283" s="6" t="s">
        <v>16</v>
      </c>
    </row>
    <row r="284" spans="1:11" hidden="1">
      <c r="A284" s="1" t="s">
        <v>11</v>
      </c>
      <c r="B284" s="1">
        <f>C276</f>
        <v>986854</v>
      </c>
      <c r="C284" s="1">
        <v>6502</v>
      </c>
      <c r="D284" s="1">
        <v>19648</v>
      </c>
      <c r="E284" s="7">
        <f>9440.4405*1.15</f>
        <v>10856.506574999999</v>
      </c>
      <c r="F284" s="7">
        <f>17777+1650.58</f>
        <v>19427.580000000002</v>
      </c>
      <c r="G284" s="1" t="s">
        <v>42</v>
      </c>
      <c r="H284" s="1">
        <v>43</v>
      </c>
      <c r="I284" s="7">
        <f>F286/D284</f>
        <v>1.5413317678644138</v>
      </c>
      <c r="J284" s="1" t="s">
        <v>18</v>
      </c>
      <c r="K284" s="1">
        <f>D284/H284</f>
        <v>456.93023255813955</v>
      </c>
    </row>
    <row r="285" spans="1:11" hidden="1">
      <c r="A285" s="1" t="s">
        <v>7</v>
      </c>
      <c r="B285" s="1"/>
      <c r="C285" s="1"/>
      <c r="D285" s="1"/>
      <c r="E285" s="7"/>
      <c r="F285" s="7"/>
      <c r="G285" s="1"/>
      <c r="H285" s="1"/>
      <c r="I285" s="1"/>
      <c r="J285" s="1"/>
      <c r="K285" s="1"/>
    </row>
    <row r="286" spans="1:11" hidden="1">
      <c r="A286" s="1" t="s">
        <v>8</v>
      </c>
      <c r="B286" s="1"/>
      <c r="C286" s="1"/>
      <c r="D286" s="1"/>
      <c r="E286" s="7"/>
      <c r="F286" s="7">
        <f>E284+F284</f>
        <v>30284.086575000001</v>
      </c>
      <c r="G286" s="1"/>
      <c r="H286" s="1"/>
      <c r="I286" s="1"/>
      <c r="J286" s="1"/>
      <c r="K286" s="1"/>
    </row>
    <row r="287" spans="1:11" hidden="1">
      <c r="A287" s="1" t="s">
        <v>9</v>
      </c>
      <c r="B287" s="1"/>
      <c r="C287" s="1"/>
      <c r="D287" s="1"/>
      <c r="E287" s="7"/>
      <c r="F287" s="7"/>
      <c r="G287" s="1"/>
      <c r="H287" s="1"/>
      <c r="I287" s="1"/>
      <c r="J287" s="1"/>
      <c r="K287" s="1"/>
    </row>
    <row r="288" spans="1:11" hidden="1">
      <c r="A288" s="1" t="s">
        <v>10</v>
      </c>
      <c r="B288" s="1"/>
      <c r="C288" s="1"/>
      <c r="D288" s="1"/>
      <c r="E288" s="7"/>
      <c r="F288" s="7"/>
      <c r="G288" s="1"/>
      <c r="H288" s="1"/>
      <c r="I288" s="1"/>
      <c r="J288" s="1"/>
      <c r="K288" s="1"/>
    </row>
    <row r="290" spans="1:11">
      <c r="A290" s="14">
        <v>44197</v>
      </c>
      <c r="E290" s="2"/>
      <c r="F290" s="2"/>
    </row>
    <row r="291" spans="1:11" hidden="1">
      <c r="A291" s="6" t="s">
        <v>1</v>
      </c>
      <c r="B291" s="6" t="s">
        <v>2</v>
      </c>
      <c r="C291" s="6" t="s">
        <v>3</v>
      </c>
      <c r="D291" s="6" t="s">
        <v>4</v>
      </c>
      <c r="E291" s="6" t="s">
        <v>5</v>
      </c>
      <c r="F291" s="6" t="s">
        <v>6</v>
      </c>
      <c r="G291" s="6" t="s">
        <v>12</v>
      </c>
      <c r="H291" s="6" t="s">
        <v>13</v>
      </c>
      <c r="I291" s="6" t="s">
        <v>14</v>
      </c>
      <c r="J291" s="6" t="s">
        <v>15</v>
      </c>
      <c r="K291" s="6" t="s">
        <v>16</v>
      </c>
    </row>
    <row r="292" spans="1:11" hidden="1">
      <c r="A292" s="1" t="s">
        <v>11</v>
      </c>
      <c r="B292" s="1">
        <f>C284</f>
        <v>6502</v>
      </c>
      <c r="C292" s="1">
        <v>15177</v>
      </c>
      <c r="D292" s="1">
        <f>C292-B292</f>
        <v>8675</v>
      </c>
      <c r="E292" s="7">
        <f>9440.4405*1.15</f>
        <v>10856.506574999999</v>
      </c>
      <c r="F292" s="7">
        <v>16711.523999999998</v>
      </c>
      <c r="G292" s="1" t="s">
        <v>43</v>
      </c>
      <c r="H292" s="1">
        <v>21</v>
      </c>
      <c r="I292" s="7">
        <f>F294/D292</f>
        <v>3.1778709596541783</v>
      </c>
      <c r="J292" s="1" t="s">
        <v>18</v>
      </c>
      <c r="K292" s="1">
        <f>D292/H292</f>
        <v>413.09523809523807</v>
      </c>
    </row>
    <row r="293" spans="1:11" hidden="1">
      <c r="A293" s="1" t="s">
        <v>7</v>
      </c>
      <c r="B293" s="1"/>
      <c r="C293" s="1"/>
      <c r="D293" s="1"/>
      <c r="E293" s="7"/>
      <c r="F293" s="7"/>
      <c r="G293" s="1"/>
      <c r="H293" s="1"/>
      <c r="I293" s="1"/>
      <c r="J293" s="1"/>
      <c r="K293" s="1"/>
    </row>
    <row r="294" spans="1:11" hidden="1">
      <c r="A294" s="1" t="s">
        <v>8</v>
      </c>
      <c r="B294" s="1"/>
      <c r="C294" s="1"/>
      <c r="D294" s="1"/>
      <c r="E294" s="7"/>
      <c r="F294" s="7">
        <f>E292+F292</f>
        <v>27568.030574999997</v>
      </c>
      <c r="G294" s="1"/>
      <c r="H294" s="1"/>
      <c r="I294" s="1"/>
      <c r="J294" s="1"/>
      <c r="K294" s="1"/>
    </row>
    <row r="295" spans="1:11" hidden="1">
      <c r="A295" s="1" t="s">
        <v>9</v>
      </c>
      <c r="B295" s="1"/>
      <c r="C295" s="1"/>
      <c r="D295" s="1"/>
      <c r="E295" s="7"/>
      <c r="F295" s="7"/>
      <c r="G295" s="1"/>
      <c r="H295" s="1"/>
      <c r="I295" s="1"/>
      <c r="J295" s="1"/>
      <c r="K295" s="1"/>
    </row>
    <row r="296" spans="1:11" hidden="1">
      <c r="A296" s="1" t="s">
        <v>10</v>
      </c>
      <c r="B296" s="1"/>
      <c r="C296" s="1"/>
      <c r="D296" s="1"/>
      <c r="E296" s="7"/>
      <c r="F296" s="7"/>
      <c r="G296" s="1"/>
      <c r="H296" s="1"/>
      <c r="I296" s="1"/>
      <c r="J296" s="1"/>
      <c r="K296" s="1"/>
    </row>
    <row r="297" spans="1:11" hidden="1"/>
    <row r="298" spans="1:11" hidden="1">
      <c r="A298" s="3">
        <v>44228</v>
      </c>
      <c r="E298" s="2"/>
      <c r="F298" s="2"/>
    </row>
    <row r="299" spans="1:11" hidden="1">
      <c r="A299" s="6" t="s">
        <v>1</v>
      </c>
      <c r="B299" s="6" t="s">
        <v>2</v>
      </c>
      <c r="C299" s="6" t="s">
        <v>3</v>
      </c>
      <c r="D299" s="6" t="s">
        <v>4</v>
      </c>
      <c r="E299" s="6" t="s">
        <v>5</v>
      </c>
      <c r="F299" s="6" t="s">
        <v>6</v>
      </c>
      <c r="G299" s="6" t="s">
        <v>12</v>
      </c>
      <c r="H299" s="6" t="s">
        <v>13</v>
      </c>
      <c r="I299" s="6" t="s">
        <v>14</v>
      </c>
      <c r="J299" s="6" t="s">
        <v>15</v>
      </c>
      <c r="K299" s="6" t="s">
        <v>16</v>
      </c>
    </row>
    <row r="300" spans="1:11" hidden="1">
      <c r="A300" s="1" t="s">
        <v>11</v>
      </c>
      <c r="B300" s="1">
        <f>C292</f>
        <v>15177</v>
      </c>
      <c r="C300" s="1">
        <v>26771</v>
      </c>
      <c r="D300" s="1">
        <f>C300-B300</f>
        <v>11594</v>
      </c>
      <c r="E300" s="7">
        <v>344.71249999999998</v>
      </c>
      <c r="F300" s="7">
        <v>18204.407999999999</v>
      </c>
      <c r="G300" s="1" t="s">
        <v>44</v>
      </c>
      <c r="H300" s="1">
        <v>31</v>
      </c>
      <c r="I300" s="7">
        <f>F302/D300</f>
        <v>1.5998896411937209</v>
      </c>
      <c r="J300" s="1" t="s">
        <v>18</v>
      </c>
      <c r="K300" s="1">
        <f>D300/H300</f>
        <v>374</v>
      </c>
    </row>
    <row r="301" spans="1:11" hidden="1">
      <c r="A301" s="1" t="s">
        <v>7</v>
      </c>
      <c r="B301" s="1"/>
      <c r="C301" s="1"/>
      <c r="D301" s="1"/>
      <c r="E301" s="7"/>
      <c r="F301" s="7"/>
      <c r="G301" s="1"/>
      <c r="H301" s="1"/>
      <c r="I301" s="1"/>
      <c r="J301" s="1"/>
      <c r="K301" s="1"/>
    </row>
    <row r="302" spans="1:11" hidden="1">
      <c r="A302" s="1" t="s">
        <v>8</v>
      </c>
      <c r="B302" s="1"/>
      <c r="C302" s="1"/>
      <c r="D302" s="1"/>
      <c r="E302" s="7"/>
      <c r="F302" s="7">
        <f>E300+F300</f>
        <v>18549.120500000001</v>
      </c>
      <c r="G302" s="1"/>
      <c r="H302" s="1"/>
      <c r="I302" s="1"/>
      <c r="J302" s="1"/>
      <c r="K302" s="1"/>
    </row>
    <row r="303" spans="1:11" hidden="1">
      <c r="A303" s="1" t="s">
        <v>9</v>
      </c>
      <c r="B303" s="1"/>
      <c r="C303" s="1"/>
      <c r="D303" s="1"/>
      <c r="E303" s="7"/>
      <c r="F303" s="7"/>
      <c r="G303" s="1"/>
      <c r="H303" s="1"/>
      <c r="I303" s="1"/>
      <c r="J303" s="1"/>
      <c r="K303" s="1"/>
    </row>
    <row r="304" spans="1:11" hidden="1">
      <c r="A304" s="1" t="s">
        <v>10</v>
      </c>
      <c r="B304" s="1"/>
      <c r="C304" s="1"/>
      <c r="D304" s="1"/>
      <c r="E304" s="7"/>
      <c r="F304" s="7"/>
      <c r="G304" s="1"/>
      <c r="H304" s="1"/>
      <c r="I304" s="1"/>
      <c r="J304" s="1"/>
      <c r="K304" s="1"/>
    </row>
    <row r="305" spans="1:12" hidden="1"/>
    <row r="306" spans="1:12" hidden="1">
      <c r="A306" s="3">
        <v>44256</v>
      </c>
      <c r="E306" s="2"/>
      <c r="F306" s="2"/>
    </row>
    <row r="307" spans="1:12" hidden="1">
      <c r="A307" s="6" t="s">
        <v>1</v>
      </c>
      <c r="B307" s="6" t="s">
        <v>2</v>
      </c>
      <c r="C307" s="6" t="s">
        <v>3</v>
      </c>
      <c r="D307" s="6" t="s">
        <v>4</v>
      </c>
      <c r="E307" s="6" t="s">
        <v>5</v>
      </c>
      <c r="F307" s="6" t="s">
        <v>6</v>
      </c>
      <c r="G307" s="6" t="s">
        <v>12</v>
      </c>
      <c r="H307" s="6" t="s">
        <v>13</v>
      </c>
      <c r="I307" s="6" t="s">
        <v>14</v>
      </c>
      <c r="J307" s="6" t="s">
        <v>15</v>
      </c>
      <c r="K307" s="6" t="s">
        <v>16</v>
      </c>
    </row>
    <row r="308" spans="1:12" hidden="1">
      <c r="A308" s="1" t="s">
        <v>11</v>
      </c>
      <c r="B308" s="1">
        <f>C300</f>
        <v>26771</v>
      </c>
      <c r="C308" s="1">
        <v>41946</v>
      </c>
      <c r="D308" s="1">
        <f>C308-B308</f>
        <v>15175</v>
      </c>
      <c r="E308" s="7">
        <v>44.608499999999992</v>
      </c>
      <c r="F308" s="7">
        <v>18283.896000000001</v>
      </c>
      <c r="G308" s="1" t="s">
        <v>45</v>
      </c>
      <c r="H308" s="1">
        <v>36</v>
      </c>
      <c r="I308" s="7">
        <f>F310/D308</f>
        <v>1.2078091927512355</v>
      </c>
      <c r="J308" s="1" t="s">
        <v>18</v>
      </c>
      <c r="K308" s="1">
        <f>D308/H308</f>
        <v>421.52777777777777</v>
      </c>
    </row>
    <row r="309" spans="1:12" hidden="1">
      <c r="A309" s="1" t="s">
        <v>7</v>
      </c>
      <c r="B309" s="1">
        <v>0</v>
      </c>
      <c r="C309" s="1">
        <v>26395</v>
      </c>
      <c r="D309" s="1">
        <f>C309-B309</f>
        <v>26395</v>
      </c>
      <c r="E309" s="7"/>
      <c r="F309" s="7">
        <v>72674.95</v>
      </c>
      <c r="G309" s="1" t="s">
        <v>46</v>
      </c>
      <c r="H309" s="1">
        <v>1386</v>
      </c>
      <c r="I309" s="17">
        <f>F309/D309</f>
        <v>2.7533604849403295</v>
      </c>
      <c r="J309" s="1" t="s">
        <v>34</v>
      </c>
      <c r="K309" s="1">
        <f>D309/H309</f>
        <v>19.044011544011543</v>
      </c>
    </row>
    <row r="310" spans="1:12" hidden="1">
      <c r="A310" s="1" t="s">
        <v>8</v>
      </c>
      <c r="B310" s="1"/>
      <c r="C310" s="1"/>
      <c r="D310" s="1"/>
      <c r="E310" s="7"/>
      <c r="F310" s="7">
        <f>E308+F308</f>
        <v>18328.504499999999</v>
      </c>
      <c r="G310" s="1"/>
      <c r="H310" s="1"/>
      <c r="I310" s="1"/>
      <c r="J310" s="1"/>
      <c r="K310" s="1"/>
    </row>
    <row r="311" spans="1:12" hidden="1">
      <c r="A311" s="1" t="s">
        <v>9</v>
      </c>
      <c r="B311" s="1"/>
      <c r="C311" s="1"/>
      <c r="D311" s="1"/>
      <c r="E311" s="7"/>
      <c r="F311" s="7">
        <f>F309</f>
        <v>72674.95</v>
      </c>
      <c r="G311" s="1"/>
      <c r="H311" s="1"/>
      <c r="I311" s="1"/>
      <c r="J311" s="1"/>
      <c r="K311" s="1"/>
    </row>
    <row r="312" spans="1:12" hidden="1">
      <c r="A312" s="1" t="s">
        <v>10</v>
      </c>
      <c r="B312" s="1"/>
      <c r="C312" s="1"/>
      <c r="D312" s="1"/>
      <c r="E312" s="7"/>
      <c r="F312" s="7">
        <f>F310-F311</f>
        <v>-54346.445500000002</v>
      </c>
      <c r="G312" s="1"/>
      <c r="H312" s="1"/>
      <c r="I312" s="1"/>
      <c r="J312" s="1"/>
      <c r="K312" s="1"/>
    </row>
    <row r="313" spans="1:12" hidden="1"/>
    <row r="314" spans="1:12" hidden="1">
      <c r="A314" s="3">
        <v>44287</v>
      </c>
      <c r="E314" s="2"/>
      <c r="F314" s="2"/>
    </row>
    <row r="315" spans="1:12" hidden="1">
      <c r="A315" s="6" t="s">
        <v>1</v>
      </c>
      <c r="B315" s="6" t="s">
        <v>2</v>
      </c>
      <c r="C315" s="6" t="s">
        <v>3</v>
      </c>
      <c r="D315" s="6" t="s">
        <v>4</v>
      </c>
      <c r="E315" s="6" t="s">
        <v>5</v>
      </c>
      <c r="F315" s="6" t="s">
        <v>6</v>
      </c>
      <c r="G315" s="6" t="s">
        <v>47</v>
      </c>
      <c r="H315" s="6" t="s">
        <v>12</v>
      </c>
      <c r="I315" s="6" t="s">
        <v>13</v>
      </c>
      <c r="J315" s="6" t="s">
        <v>14</v>
      </c>
      <c r="K315" s="6" t="s">
        <v>15</v>
      </c>
      <c r="L315" s="6" t="s">
        <v>16</v>
      </c>
    </row>
    <row r="316" spans="1:12" hidden="1">
      <c r="A316" s="1" t="s">
        <v>11</v>
      </c>
      <c r="B316" s="1">
        <f>C308</f>
        <v>41946</v>
      </c>
      <c r="C316" s="1">
        <v>52604</v>
      </c>
      <c r="D316" s="1">
        <f>C316-B316</f>
        <v>10658</v>
      </c>
      <c r="E316" s="7">
        <f>3120.9525*1.15</f>
        <v>3589.0953749999994</v>
      </c>
      <c r="F316" s="7">
        <v>17121.383999999998</v>
      </c>
      <c r="G316" s="16"/>
      <c r="H316" s="1" t="s">
        <v>48</v>
      </c>
      <c r="I316" s="1">
        <v>23</v>
      </c>
      <c r="J316" s="7">
        <f>F318/D316</f>
        <v>1.9431862802589603</v>
      </c>
      <c r="K316" s="1" t="s">
        <v>18</v>
      </c>
      <c r="L316" s="1">
        <f>D316/I316</f>
        <v>463.39130434782606</v>
      </c>
    </row>
    <row r="317" spans="1:12" hidden="1">
      <c r="A317" s="1" t="s">
        <v>7</v>
      </c>
      <c r="B317" s="1">
        <f>C309</f>
        <v>26395</v>
      </c>
      <c r="C317" s="1">
        <v>27017</v>
      </c>
      <c r="D317" s="1">
        <f>C317-B317</f>
        <v>622</v>
      </c>
      <c r="E317" s="7"/>
      <c r="F317" s="7">
        <f>885.44*1.15</f>
        <v>1018.256</v>
      </c>
      <c r="G317" s="17">
        <f>(147.74+596.18)*1.15</f>
        <v>855.50799999999992</v>
      </c>
      <c r="H317" s="1" t="s">
        <v>49</v>
      </c>
      <c r="I317" s="1">
        <v>28</v>
      </c>
      <c r="J317" s="17">
        <f>F317/D317</f>
        <v>1.6370675241157555</v>
      </c>
      <c r="K317" s="1" t="s">
        <v>34</v>
      </c>
      <c r="L317" s="1">
        <f>D317/I317</f>
        <v>22.214285714285715</v>
      </c>
    </row>
    <row r="318" spans="1:12" hidden="1">
      <c r="A318" s="1" t="s">
        <v>8</v>
      </c>
      <c r="B318" s="1"/>
      <c r="C318" s="1"/>
      <c r="D318" s="1"/>
      <c r="E318" s="7"/>
      <c r="F318" s="7">
        <f>E316+F316</f>
        <v>20710.479374999999</v>
      </c>
      <c r="G318" s="17"/>
      <c r="H318" s="1"/>
      <c r="I318" s="1"/>
      <c r="J318" s="1"/>
      <c r="K318" s="1"/>
      <c r="L318" s="1"/>
    </row>
    <row r="319" spans="1:12" hidden="1">
      <c r="A319" s="1" t="s">
        <v>9</v>
      </c>
      <c r="B319" s="1"/>
      <c r="C319" s="1"/>
      <c r="D319" s="1"/>
      <c r="E319" s="7"/>
      <c r="F319" s="7">
        <f>F317+G317</f>
        <v>1873.7639999999999</v>
      </c>
      <c r="G319" s="17"/>
      <c r="H319" s="1"/>
      <c r="I319" s="1"/>
      <c r="J319" s="1"/>
      <c r="K319" s="1"/>
      <c r="L319" s="1"/>
    </row>
    <row r="320" spans="1:12" hidden="1">
      <c r="A320" s="1" t="s">
        <v>10</v>
      </c>
      <c r="B320" s="1"/>
      <c r="C320" s="1"/>
      <c r="D320" s="1"/>
      <c r="E320" s="7"/>
      <c r="F320" s="7">
        <f>F318-F319</f>
        <v>18836.715375</v>
      </c>
      <c r="G320" s="17"/>
      <c r="H320" s="1"/>
      <c r="I320" s="1"/>
      <c r="J320" s="1"/>
      <c r="K320" s="1"/>
      <c r="L320" s="1"/>
    </row>
    <row r="321" spans="1:12" hidden="1"/>
    <row r="322" spans="1:12" hidden="1">
      <c r="A322" s="3">
        <v>44317</v>
      </c>
      <c r="E322" s="2"/>
      <c r="F322" s="2"/>
    </row>
    <row r="323" spans="1:12" hidden="1">
      <c r="A323" s="6" t="s">
        <v>1</v>
      </c>
      <c r="B323" s="6" t="s">
        <v>2</v>
      </c>
      <c r="C323" s="6" t="s">
        <v>3</v>
      </c>
      <c r="D323" s="6" t="s">
        <v>4</v>
      </c>
      <c r="E323" s="6" t="s">
        <v>5</v>
      </c>
      <c r="F323" s="6" t="s">
        <v>6</v>
      </c>
      <c r="G323" s="6" t="s">
        <v>47</v>
      </c>
      <c r="H323" s="6" t="s">
        <v>12</v>
      </c>
      <c r="I323" s="6" t="s">
        <v>13</v>
      </c>
      <c r="J323" s="6" t="s">
        <v>14</v>
      </c>
      <c r="K323" s="6" t="s">
        <v>15</v>
      </c>
      <c r="L323" s="6" t="s">
        <v>16</v>
      </c>
    </row>
    <row r="324" spans="1:12" hidden="1">
      <c r="A324" s="1" t="s">
        <v>11</v>
      </c>
      <c r="B324" s="1">
        <f>C316</f>
        <v>52604</v>
      </c>
      <c r="C324" s="1">
        <v>67587</v>
      </c>
      <c r="D324" s="1">
        <f>C324-B324</f>
        <v>14983</v>
      </c>
      <c r="E324" s="7">
        <v>4367.75</v>
      </c>
      <c r="F324" s="7">
        <f>21303.61+1808.74</f>
        <v>23112.350000000002</v>
      </c>
      <c r="G324" s="16"/>
      <c r="H324" s="1" t="s">
        <v>50</v>
      </c>
      <c r="I324" s="1">
        <v>29</v>
      </c>
      <c r="J324" s="7">
        <f>F326/D324</f>
        <v>1.8340852966695589</v>
      </c>
      <c r="K324" s="1" t="s">
        <v>18</v>
      </c>
      <c r="L324" s="1">
        <f>D324/I324</f>
        <v>516.65517241379314</v>
      </c>
    </row>
    <row r="325" spans="1:12" hidden="1">
      <c r="A325" s="1" t="s">
        <v>7</v>
      </c>
      <c r="B325" s="1">
        <v>54252</v>
      </c>
      <c r="C325" s="1">
        <v>70226</v>
      </c>
      <c r="D325" s="1">
        <f>C325-B325</f>
        <v>15974</v>
      </c>
      <c r="E325" s="7"/>
      <c r="F325" s="7">
        <f>24277.83*1.15</f>
        <v>27919.504499999999</v>
      </c>
      <c r="G325" s="17">
        <f>(436.08+147.74+596.18)*1.15</f>
        <v>1357</v>
      </c>
      <c r="H325" s="1" t="s">
        <v>51</v>
      </c>
      <c r="I325" s="1">
        <v>10</v>
      </c>
      <c r="J325" s="17">
        <f>F325/D325</f>
        <v>1.747809221234506</v>
      </c>
      <c r="K325" s="1" t="s">
        <v>18</v>
      </c>
      <c r="L325" s="1">
        <f>D325/I325</f>
        <v>1597.4</v>
      </c>
    </row>
    <row r="326" spans="1:12" hidden="1">
      <c r="A326" s="1" t="s">
        <v>8</v>
      </c>
      <c r="B326" s="1"/>
      <c r="C326" s="1"/>
      <c r="D326" s="1"/>
      <c r="E326" s="7"/>
      <c r="F326" s="7">
        <f>E324+F324</f>
        <v>27480.100000000002</v>
      </c>
      <c r="G326" s="17"/>
      <c r="H326" s="1"/>
      <c r="I326" s="1"/>
      <c r="J326" s="1"/>
      <c r="K326" s="1"/>
      <c r="L326" s="1"/>
    </row>
    <row r="327" spans="1:12" hidden="1">
      <c r="A327" s="1" t="s">
        <v>9</v>
      </c>
      <c r="B327" s="1"/>
      <c r="C327" s="1"/>
      <c r="D327" s="1"/>
      <c r="E327" s="7"/>
      <c r="F327" s="7">
        <f>F325+G325</f>
        <v>29276.504499999999</v>
      </c>
      <c r="G327" s="17"/>
      <c r="H327" s="1"/>
      <c r="I327" s="1"/>
      <c r="J327" s="1"/>
      <c r="K327" s="1"/>
      <c r="L327" s="1"/>
    </row>
    <row r="328" spans="1:12" hidden="1">
      <c r="A328" s="1" t="s">
        <v>10</v>
      </c>
      <c r="B328" s="1"/>
      <c r="C328" s="1"/>
      <c r="D328" s="1"/>
      <c r="E328" s="7"/>
      <c r="F328" s="7">
        <f>F326-F327</f>
        <v>-1796.4044999999969</v>
      </c>
      <c r="G328" s="17"/>
      <c r="H328" s="1"/>
      <c r="I328" s="1"/>
      <c r="J328" s="1"/>
      <c r="K328" s="1"/>
      <c r="L328" s="1"/>
    </row>
    <row r="329" spans="1:12" hidden="1"/>
    <row r="330" spans="1:12" hidden="1">
      <c r="A330" s="3">
        <v>44348</v>
      </c>
      <c r="E330" s="2"/>
      <c r="F330" s="2"/>
    </row>
    <row r="331" spans="1:12" hidden="1">
      <c r="A331" s="6" t="s">
        <v>1</v>
      </c>
      <c r="B331" s="6" t="s">
        <v>2</v>
      </c>
      <c r="C331" s="6" t="s">
        <v>3</v>
      </c>
      <c r="D331" s="6" t="s">
        <v>4</v>
      </c>
      <c r="E331" s="6" t="s">
        <v>5</v>
      </c>
      <c r="F331" s="6" t="s">
        <v>6</v>
      </c>
      <c r="G331" s="6" t="s">
        <v>47</v>
      </c>
      <c r="H331" s="6" t="s">
        <v>12</v>
      </c>
      <c r="I331" s="6" t="s">
        <v>13</v>
      </c>
      <c r="J331" s="6" t="s">
        <v>14</v>
      </c>
      <c r="K331" s="6" t="s">
        <v>15</v>
      </c>
      <c r="L331" s="6" t="s">
        <v>16</v>
      </c>
    </row>
    <row r="332" spans="1:12" hidden="1">
      <c r="A332" s="1" t="s">
        <v>11</v>
      </c>
      <c r="B332" s="1">
        <f>C324</f>
        <v>67587</v>
      </c>
      <c r="C332" s="1">
        <v>89683</v>
      </c>
      <c r="D332" s="1">
        <f>C332-B332</f>
        <v>22096</v>
      </c>
      <c r="E332" s="7">
        <f>2516.16*1.15</f>
        <v>2893.5839999999998</v>
      </c>
      <c r="F332" s="7">
        <f>25219.1+(1629.24*1.15)</f>
        <v>27092.725999999999</v>
      </c>
      <c r="G332" s="16"/>
      <c r="H332" s="1" t="s">
        <v>52</v>
      </c>
      <c r="I332" s="1">
        <v>34</v>
      </c>
      <c r="J332" s="7">
        <f>F334/D332</f>
        <v>1.3570922338884865</v>
      </c>
      <c r="K332" s="1" t="s">
        <v>18</v>
      </c>
      <c r="L332" s="1">
        <f>D332/I332</f>
        <v>649.88235294117646</v>
      </c>
    </row>
    <row r="333" spans="1:12" hidden="1">
      <c r="A333" s="1" t="s">
        <v>7</v>
      </c>
      <c r="B333" s="1">
        <f>C325</f>
        <v>70226</v>
      </c>
      <c r="C333" s="1">
        <v>72819</v>
      </c>
      <c r="D333" s="1">
        <f>C333-B333</f>
        <v>2593</v>
      </c>
      <c r="E333" s="7"/>
      <c r="F333" s="7">
        <f>(2612.23+1238.56)*1.15</f>
        <v>4428.4084999999995</v>
      </c>
      <c r="G333" s="17">
        <f>(169.29+683.14)*1.15</f>
        <v>980.29449999999986</v>
      </c>
      <c r="H333" s="1" t="s">
        <v>53</v>
      </c>
      <c r="I333" s="1">
        <v>41</v>
      </c>
      <c r="J333" s="17">
        <f>F333/D333</f>
        <v>1.7078320478210565</v>
      </c>
      <c r="K333" s="1" t="s">
        <v>34</v>
      </c>
      <c r="L333" s="1">
        <f>D333/I333</f>
        <v>63.243902439024389</v>
      </c>
    </row>
    <row r="334" spans="1:12" hidden="1">
      <c r="A334" s="1" t="s">
        <v>8</v>
      </c>
      <c r="B334" s="1"/>
      <c r="C334" s="1"/>
      <c r="D334" s="1"/>
      <c r="E334" s="7"/>
      <c r="F334" s="7">
        <f>E332+F332</f>
        <v>29986.309999999998</v>
      </c>
      <c r="G334" s="17"/>
      <c r="H334" s="1"/>
      <c r="I334" s="1"/>
      <c r="J334" s="1"/>
      <c r="K334" s="1"/>
      <c r="L334" s="1"/>
    </row>
    <row r="335" spans="1:12" hidden="1">
      <c r="A335" s="1" t="s">
        <v>9</v>
      </c>
      <c r="B335" s="1"/>
      <c r="C335" s="1"/>
      <c r="D335" s="1"/>
      <c r="E335" s="7"/>
      <c r="F335" s="7">
        <f>F333+G333</f>
        <v>5408.7029999999995</v>
      </c>
      <c r="G335" s="17"/>
      <c r="H335" s="1"/>
      <c r="I335" s="1"/>
      <c r="J335" s="1"/>
      <c r="K335" s="1"/>
      <c r="L335" s="1"/>
    </row>
    <row r="336" spans="1:12" hidden="1">
      <c r="A336" s="1" t="s">
        <v>10</v>
      </c>
      <c r="B336" s="1"/>
      <c r="C336" s="1"/>
      <c r="D336" s="1"/>
      <c r="E336" s="7"/>
      <c r="F336" s="7">
        <f>F334-F335</f>
        <v>24577.606999999996</v>
      </c>
      <c r="G336" s="17"/>
      <c r="H336" s="1"/>
      <c r="I336" s="1"/>
      <c r="J336" s="1"/>
      <c r="K336" s="1"/>
      <c r="L336" s="1"/>
    </row>
    <row r="337" spans="1:12" hidden="1"/>
    <row r="338" spans="1:12" hidden="1">
      <c r="A338" s="3">
        <v>44378</v>
      </c>
      <c r="E338" s="2"/>
      <c r="F338" s="2"/>
    </row>
    <row r="339" spans="1:12" hidden="1">
      <c r="A339" s="6" t="s">
        <v>1</v>
      </c>
      <c r="B339" s="6" t="s">
        <v>2</v>
      </c>
      <c r="C339" s="6" t="s">
        <v>3</v>
      </c>
      <c r="D339" s="6" t="s">
        <v>4</v>
      </c>
      <c r="E339" s="6" t="s">
        <v>5</v>
      </c>
      <c r="F339" s="6" t="s">
        <v>6</v>
      </c>
      <c r="G339" s="6" t="s">
        <v>47</v>
      </c>
      <c r="H339" s="6" t="s">
        <v>12</v>
      </c>
      <c r="I339" s="6" t="s">
        <v>13</v>
      </c>
      <c r="J339" s="6" t="s">
        <v>14</v>
      </c>
      <c r="K339" s="6" t="s">
        <v>15</v>
      </c>
      <c r="L339" s="6" t="s">
        <v>16</v>
      </c>
    </row>
    <row r="340" spans="1:12" hidden="1">
      <c r="A340" s="1" t="s">
        <v>11</v>
      </c>
      <c r="B340" s="1">
        <f>C332</f>
        <v>89683</v>
      </c>
      <c r="C340" s="1">
        <v>108750</v>
      </c>
      <c r="D340" s="1">
        <f>C340-B340</f>
        <v>19067</v>
      </c>
      <c r="E340" s="7">
        <v>0</v>
      </c>
      <c r="F340" s="7">
        <f>34406.38+(1477.9*1.15)</f>
        <v>36105.964999999997</v>
      </c>
      <c r="G340" s="16"/>
      <c r="H340" s="1" t="s">
        <v>54</v>
      </c>
      <c r="I340" s="1">
        <v>28</v>
      </c>
      <c r="J340" s="7">
        <f>F342/D340</f>
        <v>1.8936363874757431</v>
      </c>
      <c r="K340" s="1" t="s">
        <v>18</v>
      </c>
      <c r="L340" s="1">
        <f>D340/I340</f>
        <v>680.96428571428567</v>
      </c>
    </row>
    <row r="341" spans="1:12" hidden="1">
      <c r="A341" s="1" t="s">
        <v>7</v>
      </c>
      <c r="B341" s="1">
        <f>C333</f>
        <v>72819</v>
      </c>
      <c r="C341" s="1">
        <v>74327</v>
      </c>
      <c r="D341" s="1">
        <f>C341-B341</f>
        <v>1508</v>
      </c>
      <c r="E341" s="7"/>
      <c r="F341" s="7">
        <f>2460.87*1.15</f>
        <v>2830.0004999999996</v>
      </c>
      <c r="G341" s="17">
        <f>(169.29+683.14)*1.15</f>
        <v>980.29449999999986</v>
      </c>
      <c r="H341" s="1" t="s">
        <v>55</v>
      </c>
      <c r="I341" s="1">
        <v>25</v>
      </c>
      <c r="J341" s="17">
        <f>F341/D341</f>
        <v>1.8766581564986735</v>
      </c>
      <c r="K341" s="1" t="s">
        <v>34</v>
      </c>
      <c r="L341" s="1">
        <f>D341/I341</f>
        <v>60.32</v>
      </c>
    </row>
    <row r="342" spans="1:12" hidden="1">
      <c r="A342" s="1" t="s">
        <v>8</v>
      </c>
      <c r="B342" s="1"/>
      <c r="C342" s="1"/>
      <c r="D342" s="1"/>
      <c r="E342" s="7"/>
      <c r="F342" s="7">
        <f>E340+F340</f>
        <v>36105.964999999997</v>
      </c>
      <c r="G342" s="17"/>
      <c r="H342" s="1"/>
      <c r="I342" s="1"/>
      <c r="J342" s="1"/>
      <c r="K342" s="1"/>
      <c r="L342" s="1"/>
    </row>
    <row r="343" spans="1:12" hidden="1">
      <c r="A343" s="1" t="s">
        <v>9</v>
      </c>
      <c r="B343" s="1"/>
      <c r="C343" s="1"/>
      <c r="D343" s="1"/>
      <c r="E343" s="7"/>
      <c r="F343" s="7">
        <f>F341+G341</f>
        <v>3810.2949999999996</v>
      </c>
      <c r="G343" s="17"/>
      <c r="H343" s="1"/>
      <c r="I343" s="1"/>
      <c r="J343" s="1"/>
      <c r="K343" s="1"/>
      <c r="L343" s="1"/>
    </row>
    <row r="344" spans="1:12" hidden="1">
      <c r="A344" s="1" t="s">
        <v>10</v>
      </c>
      <c r="B344" s="1"/>
      <c r="C344" s="1"/>
      <c r="D344" s="1"/>
      <c r="E344" s="7"/>
      <c r="F344" s="7">
        <f>F342-F343</f>
        <v>32295.67</v>
      </c>
      <c r="G344" s="17"/>
      <c r="H344" s="1"/>
      <c r="I344" s="1"/>
      <c r="J344" s="1"/>
      <c r="K344" s="1"/>
      <c r="L344" s="1"/>
    </row>
    <row r="345" spans="1:12" hidden="1"/>
    <row r="346" spans="1:12" hidden="1">
      <c r="A346" s="3">
        <v>44409</v>
      </c>
      <c r="E346" s="2"/>
      <c r="F346" s="2"/>
    </row>
    <row r="347" spans="1:12" hidden="1">
      <c r="A347" s="6" t="s">
        <v>1</v>
      </c>
      <c r="B347" s="6" t="s">
        <v>2</v>
      </c>
      <c r="C347" s="6" t="s">
        <v>3</v>
      </c>
      <c r="D347" s="6" t="s">
        <v>4</v>
      </c>
      <c r="E347" s="6" t="s">
        <v>5</v>
      </c>
      <c r="F347" s="6" t="s">
        <v>6</v>
      </c>
      <c r="G347" s="6" t="s">
        <v>47</v>
      </c>
      <c r="H347" s="6" t="s">
        <v>12</v>
      </c>
      <c r="I347" s="6" t="s">
        <v>13</v>
      </c>
      <c r="J347" s="6" t="s">
        <v>14</v>
      </c>
      <c r="K347" s="6" t="s">
        <v>15</v>
      </c>
      <c r="L347" s="6" t="s">
        <v>16</v>
      </c>
    </row>
    <row r="348" spans="1:12" hidden="1">
      <c r="A348" s="1" t="s">
        <v>11</v>
      </c>
      <c r="B348" s="1">
        <f>C340</f>
        <v>108750</v>
      </c>
      <c r="C348" s="1">
        <v>137623</v>
      </c>
      <c r="D348" s="1">
        <f>C348-B348</f>
        <v>28873</v>
      </c>
      <c r="E348" s="7">
        <f>9835.95*1.15</f>
        <v>11311.342500000001</v>
      </c>
      <c r="F348" s="7">
        <f>39237.18*1.15</f>
        <v>45122.756999999998</v>
      </c>
      <c r="G348" s="16">
        <f>(169.29+683.14)*1.15</f>
        <v>980.29449999999986</v>
      </c>
      <c r="H348" s="1" t="s">
        <v>56</v>
      </c>
      <c r="I348" s="1">
        <v>35</v>
      </c>
      <c r="J348" s="7">
        <f>(E348+F348)/D348</f>
        <v>1.9545630693035014</v>
      </c>
      <c r="K348" s="1" t="s">
        <v>18</v>
      </c>
      <c r="L348" s="1">
        <f>D348/I348</f>
        <v>824.94285714285718</v>
      </c>
    </row>
    <row r="349" spans="1:12" hidden="1">
      <c r="A349" s="1" t="s">
        <v>7</v>
      </c>
      <c r="B349" s="1">
        <f>C341</f>
        <v>74327</v>
      </c>
      <c r="C349" s="1">
        <v>76013</v>
      </c>
      <c r="D349" s="1">
        <f>C349-B349</f>
        <v>1686</v>
      </c>
      <c r="E349" s="7"/>
      <c r="F349" s="7">
        <f>2752.35*1.15</f>
        <v>3165.2024999999999</v>
      </c>
      <c r="G349" s="17">
        <f>(169.29+683.14)*1.15</f>
        <v>980.29449999999986</v>
      </c>
      <c r="H349" s="1" t="s">
        <v>57</v>
      </c>
      <c r="I349" s="1">
        <v>32</v>
      </c>
      <c r="J349" s="17">
        <f>F349/D349</f>
        <v>1.8773443060498221</v>
      </c>
      <c r="K349" s="1" t="s">
        <v>34</v>
      </c>
      <c r="L349" s="1">
        <f>D349/I349</f>
        <v>52.6875</v>
      </c>
    </row>
    <row r="350" spans="1:12" hidden="1">
      <c r="A350" s="1" t="s">
        <v>8</v>
      </c>
      <c r="B350" s="1"/>
      <c r="C350" s="1"/>
      <c r="D350" s="1"/>
      <c r="E350" s="7"/>
      <c r="F350" s="7">
        <f>E348+F348+G348</f>
        <v>57414.393999999993</v>
      </c>
      <c r="G350" s="17"/>
      <c r="H350" s="1"/>
      <c r="I350" s="1"/>
      <c r="J350" s="1"/>
      <c r="K350" s="1"/>
      <c r="L350" s="1"/>
    </row>
    <row r="351" spans="1:12" hidden="1">
      <c r="A351" s="1" t="s">
        <v>9</v>
      </c>
      <c r="B351" s="1"/>
      <c r="C351" s="1"/>
      <c r="D351" s="1"/>
      <c r="E351" s="7"/>
      <c r="F351" s="7">
        <f>F349+G349</f>
        <v>4145.4969999999994</v>
      </c>
      <c r="G351" s="17"/>
      <c r="H351" s="1"/>
      <c r="I351" s="1"/>
      <c r="J351" s="1"/>
      <c r="K351" s="1"/>
      <c r="L351" s="1"/>
    </row>
    <row r="352" spans="1:12" hidden="1">
      <c r="A352" s="1" t="s">
        <v>10</v>
      </c>
      <c r="B352" s="1"/>
      <c r="C352" s="1"/>
      <c r="D352" s="1"/>
      <c r="E352" s="7"/>
      <c r="F352" s="7">
        <f>F350-F351</f>
        <v>53268.896999999997</v>
      </c>
      <c r="G352" s="17"/>
      <c r="H352" s="1"/>
      <c r="I352" s="1"/>
      <c r="J352" s="1"/>
      <c r="K352" s="1"/>
      <c r="L352" s="1"/>
    </row>
    <row r="353" spans="1:12" hidden="1"/>
    <row r="354" spans="1:12" hidden="1">
      <c r="A354" s="3">
        <v>44440</v>
      </c>
      <c r="E354" s="2"/>
      <c r="F354" s="2"/>
    </row>
    <row r="355" spans="1:12" hidden="1">
      <c r="A355" s="6" t="s">
        <v>1</v>
      </c>
      <c r="B355" s="6" t="s">
        <v>2</v>
      </c>
      <c r="C355" s="6" t="s">
        <v>3</v>
      </c>
      <c r="D355" s="6" t="s">
        <v>4</v>
      </c>
      <c r="E355" s="6" t="s">
        <v>5</v>
      </c>
      <c r="F355" s="6" t="s">
        <v>6</v>
      </c>
      <c r="G355" s="6" t="s">
        <v>47</v>
      </c>
      <c r="H355" s="6" t="s">
        <v>12</v>
      </c>
      <c r="I355" s="6" t="s">
        <v>13</v>
      </c>
      <c r="J355" s="6" t="s">
        <v>14</v>
      </c>
      <c r="K355" s="6" t="s">
        <v>15</v>
      </c>
      <c r="L355" s="6" t="s">
        <v>16</v>
      </c>
    </row>
    <row r="356" spans="1:12" hidden="1">
      <c r="A356" s="1" t="s">
        <v>11</v>
      </c>
      <c r="B356" s="1">
        <f>C348</f>
        <v>137623</v>
      </c>
      <c r="C356" s="1">
        <v>151836</v>
      </c>
      <c r="D356" s="1">
        <f>C356-B356</f>
        <v>14213</v>
      </c>
      <c r="E356" s="7">
        <f>242.63*1.15</f>
        <v>279.02449999999999</v>
      </c>
      <c r="F356" s="7">
        <f>21468.42+(951.4*1.15)</f>
        <v>22562.53</v>
      </c>
      <c r="G356" s="16">
        <f>(169.29+683.14)*1.15</f>
        <v>980.29449999999986</v>
      </c>
      <c r="H356" s="1" t="s">
        <v>58</v>
      </c>
      <c r="I356" s="1">
        <v>27</v>
      </c>
      <c r="J356" s="7">
        <f>(E356+F356)/D356</f>
        <v>1.6070888974882149</v>
      </c>
      <c r="K356" s="1" t="s">
        <v>18</v>
      </c>
      <c r="L356" s="1">
        <f>D356/I356</f>
        <v>526.40740740740739</v>
      </c>
    </row>
    <row r="357" spans="1:12" hidden="1">
      <c r="A357" s="1" t="s">
        <v>7</v>
      </c>
      <c r="B357" s="1">
        <f>C349</f>
        <v>76013</v>
      </c>
      <c r="C357" s="1">
        <v>77296</v>
      </c>
      <c r="D357" s="1">
        <f>C357-B357</f>
        <v>1283</v>
      </c>
      <c r="E357" s="7"/>
      <c r="F357" s="7">
        <f>2092.94*1.15</f>
        <v>2406.8809999999999</v>
      </c>
      <c r="G357" s="17">
        <f>(169.29+683.14)*1.15</f>
        <v>980.29449999999986</v>
      </c>
      <c r="H357" s="1" t="s">
        <v>59</v>
      </c>
      <c r="I357" s="1">
        <v>30</v>
      </c>
      <c r="J357" s="17">
        <f>F357/D357</f>
        <v>1.8759789555728759</v>
      </c>
      <c r="K357" s="1" t="s">
        <v>34</v>
      </c>
      <c r="L357" s="1">
        <f>D357/I357</f>
        <v>42.766666666666666</v>
      </c>
    </row>
    <row r="358" spans="1:12" hidden="1">
      <c r="A358" s="1" t="s">
        <v>8</v>
      </c>
      <c r="B358" s="1"/>
      <c r="C358" s="1"/>
      <c r="D358" s="1"/>
      <c r="E358" s="7"/>
      <c r="F358" s="7">
        <f>E356+F356+G356</f>
        <v>23821.848999999998</v>
      </c>
      <c r="G358" s="17"/>
      <c r="H358" s="1"/>
      <c r="I358" s="1"/>
      <c r="J358" s="1"/>
      <c r="K358" s="1"/>
      <c r="L358" s="1"/>
    </row>
    <row r="359" spans="1:12" hidden="1">
      <c r="A359" s="1" t="s">
        <v>9</v>
      </c>
      <c r="B359" s="1"/>
      <c r="C359" s="1"/>
      <c r="D359" s="1"/>
      <c r="E359" s="7"/>
      <c r="F359" s="7">
        <f>F357+G357</f>
        <v>3387.1754999999998</v>
      </c>
      <c r="G359" s="17"/>
      <c r="H359" s="1"/>
      <c r="I359" s="1"/>
      <c r="J359" s="1"/>
      <c r="K359" s="1"/>
      <c r="L359" s="1"/>
    </row>
    <row r="360" spans="1:12" hidden="1">
      <c r="A360" s="1" t="s">
        <v>10</v>
      </c>
      <c r="B360" s="1"/>
      <c r="C360" s="1"/>
      <c r="D360" s="1"/>
      <c r="E360" s="7"/>
      <c r="F360" s="7">
        <f>F358-F359</f>
        <v>20434.673499999997</v>
      </c>
      <c r="G360" s="17"/>
      <c r="H360" s="1"/>
      <c r="I360" s="1"/>
      <c r="J360" s="1"/>
      <c r="K360" s="1"/>
      <c r="L360" s="1"/>
    </row>
    <row r="361" spans="1:12" hidden="1"/>
    <row r="362" spans="1:12" hidden="1">
      <c r="A362" s="3">
        <v>44470</v>
      </c>
      <c r="E362" s="2"/>
      <c r="F362" s="2"/>
    </row>
    <row r="363" spans="1:12" hidden="1">
      <c r="A363" s="6" t="s">
        <v>1</v>
      </c>
      <c r="B363" s="6" t="s">
        <v>2</v>
      </c>
      <c r="C363" s="6" t="s">
        <v>3</v>
      </c>
      <c r="D363" s="6" t="s">
        <v>4</v>
      </c>
      <c r="E363" s="6" t="s">
        <v>5</v>
      </c>
      <c r="F363" s="6" t="s">
        <v>6</v>
      </c>
      <c r="G363" s="6" t="s">
        <v>47</v>
      </c>
      <c r="H363" s="6" t="s">
        <v>12</v>
      </c>
      <c r="I363" s="6" t="s">
        <v>13</v>
      </c>
      <c r="J363" s="6" t="s">
        <v>14</v>
      </c>
      <c r="K363" s="6" t="s">
        <v>15</v>
      </c>
      <c r="L363" s="6" t="s">
        <v>16</v>
      </c>
    </row>
    <row r="364" spans="1:12" hidden="1">
      <c r="A364" s="1" t="s">
        <v>11</v>
      </c>
      <c r="B364" s="1">
        <f>C356</f>
        <v>151836</v>
      </c>
      <c r="C364" s="1">
        <v>168495</v>
      </c>
      <c r="D364" s="1">
        <f>C364-B364</f>
        <v>16659</v>
      </c>
      <c r="E364" s="7">
        <f>5689.04*1.15</f>
        <v>6542.3959999999997</v>
      </c>
      <c r="F364" s="7">
        <f>19443.84+(886.1217*1.15)</f>
        <v>20462.879955</v>
      </c>
      <c r="G364" s="16">
        <f>(169.29+683.14)*1.15</f>
        <v>980.29449999999986</v>
      </c>
      <c r="H364" s="1" t="s">
        <v>60</v>
      </c>
      <c r="I364" s="1">
        <v>28</v>
      </c>
      <c r="J364" s="7">
        <f>(E364+F364)/D364</f>
        <v>1.6210622459331292</v>
      </c>
      <c r="K364" s="1" t="s">
        <v>18</v>
      </c>
      <c r="L364" s="1">
        <f>D364/I364</f>
        <v>594.96428571428567</v>
      </c>
    </row>
    <row r="365" spans="1:12" hidden="1">
      <c r="A365" s="1" t="s">
        <v>7</v>
      </c>
      <c r="B365" s="1">
        <f>C357</f>
        <v>77296</v>
      </c>
      <c r="C365" s="1">
        <v>78485</v>
      </c>
      <c r="D365" s="1">
        <f>C365-B365</f>
        <v>1189</v>
      </c>
      <c r="E365" s="7"/>
      <c r="F365" s="7">
        <f>1940.03*1.15</f>
        <v>2231.0344999999998</v>
      </c>
      <c r="G365" s="17">
        <f>(169.29+683.14)*1.15</f>
        <v>980.29449999999986</v>
      </c>
      <c r="H365" s="1" t="s">
        <v>61</v>
      </c>
      <c r="I365" s="1">
        <v>29</v>
      </c>
      <c r="J365" s="17">
        <f>F365/D365</f>
        <v>1.8763957106812446</v>
      </c>
      <c r="K365" s="1" t="s">
        <v>34</v>
      </c>
      <c r="L365" s="1">
        <f>D365/I365</f>
        <v>41</v>
      </c>
    </row>
    <row r="366" spans="1:12" hidden="1">
      <c r="A366" s="1" t="s">
        <v>8</v>
      </c>
      <c r="B366" s="1"/>
      <c r="C366" s="1"/>
      <c r="D366" s="1"/>
      <c r="E366" s="7"/>
      <c r="F366" s="7">
        <f>E364+F364+G364</f>
        <v>27985.570455000001</v>
      </c>
      <c r="G366" s="17"/>
      <c r="H366" s="1"/>
      <c r="I366" s="1"/>
      <c r="J366" s="1"/>
      <c r="K366" s="1"/>
      <c r="L366" s="1"/>
    </row>
    <row r="367" spans="1:12" hidden="1">
      <c r="A367" s="1" t="s">
        <v>9</v>
      </c>
      <c r="B367" s="1"/>
      <c r="C367" s="1"/>
      <c r="D367" s="1"/>
      <c r="E367" s="7"/>
      <c r="F367" s="7">
        <f>F365+G365</f>
        <v>3211.3289999999997</v>
      </c>
      <c r="G367" s="17"/>
      <c r="H367" s="1"/>
      <c r="I367" s="1"/>
      <c r="J367" s="1"/>
      <c r="K367" s="1"/>
      <c r="L367" s="1"/>
    </row>
    <row r="368" spans="1:12" hidden="1">
      <c r="A368" s="1" t="s">
        <v>10</v>
      </c>
      <c r="B368" s="1"/>
      <c r="C368" s="1"/>
      <c r="D368" s="1"/>
      <c r="E368" s="7"/>
      <c r="F368" s="7">
        <f>F366-F367</f>
        <v>24774.241455000003</v>
      </c>
      <c r="G368" s="17"/>
      <c r="H368" s="1"/>
      <c r="I368" s="1"/>
      <c r="J368" s="1"/>
      <c r="K368" s="1"/>
      <c r="L368" s="1"/>
    </row>
    <row r="369" spans="1:12" hidden="1"/>
    <row r="370" spans="1:12" hidden="1">
      <c r="A370" s="3">
        <v>44501</v>
      </c>
      <c r="E370" s="2"/>
      <c r="F370" s="2"/>
    </row>
    <row r="371" spans="1:12" hidden="1">
      <c r="A371" s="6" t="s">
        <v>1</v>
      </c>
      <c r="B371" s="6" t="s">
        <v>2</v>
      </c>
      <c r="C371" s="6" t="s">
        <v>3</v>
      </c>
      <c r="D371" s="6" t="s">
        <v>4</v>
      </c>
      <c r="E371" s="6" t="s">
        <v>5</v>
      </c>
      <c r="F371" s="6" t="s">
        <v>6</v>
      </c>
      <c r="G371" s="6" t="s">
        <v>47</v>
      </c>
      <c r="H371" s="6" t="s">
        <v>12</v>
      </c>
      <c r="I371" s="6" t="s">
        <v>13</v>
      </c>
      <c r="J371" s="6" t="s">
        <v>14</v>
      </c>
      <c r="K371" s="6" t="s">
        <v>15</v>
      </c>
      <c r="L371" s="6" t="s">
        <v>16</v>
      </c>
    </row>
    <row r="372" spans="1:12" hidden="1">
      <c r="A372" s="1" t="s">
        <v>11</v>
      </c>
      <c r="B372" s="1">
        <f>C364</f>
        <v>168495</v>
      </c>
      <c r="C372" s="1">
        <v>183615</v>
      </c>
      <c r="D372" s="1">
        <f>C372-B372</f>
        <v>15120</v>
      </c>
      <c r="E372" s="7">
        <f>904.68*1.15</f>
        <v>1040.3819999999998</v>
      </c>
      <c r="F372" s="7">
        <v>19937.48</v>
      </c>
      <c r="G372" s="16">
        <f>(169.29+683.14)*1.15</f>
        <v>980.29449999999986</v>
      </c>
      <c r="H372" s="1" t="s">
        <v>62</v>
      </c>
      <c r="I372" s="1">
        <v>35</v>
      </c>
      <c r="J372" s="7">
        <f>(E372+F372)/D372</f>
        <v>1.3874247354497355</v>
      </c>
      <c r="K372" s="1" t="s">
        <v>18</v>
      </c>
      <c r="L372" s="1">
        <f>D372/I372</f>
        <v>432</v>
      </c>
    </row>
    <row r="373" spans="1:12" hidden="1">
      <c r="A373" s="1" t="s">
        <v>7</v>
      </c>
      <c r="B373" s="1">
        <f>C365</f>
        <v>78485</v>
      </c>
      <c r="C373" s="1">
        <v>79684</v>
      </c>
      <c r="D373" s="1">
        <f>C373-B373</f>
        <v>1199</v>
      </c>
      <c r="E373" s="7"/>
      <c r="F373" s="7">
        <f>1957.23*1.15</f>
        <v>2250.8145</v>
      </c>
      <c r="G373" s="17">
        <f>(169.29+683.14)*1.15</f>
        <v>980.29449999999986</v>
      </c>
      <c r="H373" s="1" t="s">
        <v>63</v>
      </c>
      <c r="I373" s="1">
        <v>32</v>
      </c>
      <c r="J373" s="17">
        <f>F373/D373</f>
        <v>1.877243119266055</v>
      </c>
      <c r="K373" s="1" t="s">
        <v>34</v>
      </c>
      <c r="L373" s="1">
        <f>D373/I373</f>
        <v>37.46875</v>
      </c>
    </row>
    <row r="374" spans="1:12" hidden="1">
      <c r="A374" s="1" t="s">
        <v>8</v>
      </c>
      <c r="B374" s="1"/>
      <c r="C374" s="1"/>
      <c r="D374" s="1"/>
      <c r="E374" s="7"/>
      <c r="F374" s="7">
        <f>E372+F372+G372</f>
        <v>21958.156500000001</v>
      </c>
      <c r="G374" s="17"/>
      <c r="H374" s="1"/>
      <c r="I374" s="1"/>
      <c r="J374" s="1"/>
      <c r="K374" s="1"/>
      <c r="L374" s="1"/>
    </row>
    <row r="375" spans="1:12" hidden="1">
      <c r="A375" s="1" t="s">
        <v>9</v>
      </c>
      <c r="B375" s="1"/>
      <c r="C375" s="1"/>
      <c r="D375" s="1"/>
      <c r="E375" s="7"/>
      <c r="F375" s="7">
        <f>F373+G373</f>
        <v>3231.1089999999999</v>
      </c>
      <c r="G375" s="17"/>
      <c r="H375" s="1"/>
      <c r="I375" s="1"/>
      <c r="J375" s="1"/>
      <c r="K375" s="1"/>
      <c r="L375" s="1"/>
    </row>
    <row r="376" spans="1:12" hidden="1">
      <c r="A376" s="1" t="s">
        <v>10</v>
      </c>
      <c r="B376" s="1"/>
      <c r="C376" s="1"/>
      <c r="D376" s="1"/>
      <c r="E376" s="7"/>
      <c r="F376" s="7">
        <f>F374-F375</f>
        <v>18727.047500000001</v>
      </c>
      <c r="G376" s="17"/>
      <c r="H376" s="1"/>
      <c r="I376" s="1"/>
      <c r="J376" s="1"/>
      <c r="K376" s="1"/>
      <c r="L376" s="1"/>
    </row>
    <row r="377" spans="1:12" hidden="1"/>
    <row r="378" spans="1:12" hidden="1">
      <c r="A378" s="3">
        <v>44531</v>
      </c>
      <c r="E378" s="2"/>
      <c r="F378" s="2"/>
    </row>
    <row r="379" spans="1:12" hidden="1">
      <c r="A379" s="6" t="s">
        <v>1</v>
      </c>
      <c r="B379" s="6" t="s">
        <v>2</v>
      </c>
      <c r="C379" s="6" t="s">
        <v>3</v>
      </c>
      <c r="D379" s="6" t="s">
        <v>4</v>
      </c>
      <c r="E379" s="6" t="s">
        <v>5</v>
      </c>
      <c r="F379" s="6" t="s">
        <v>6</v>
      </c>
      <c r="G379" s="6" t="s">
        <v>47</v>
      </c>
      <c r="H379" s="6" t="s">
        <v>12</v>
      </c>
      <c r="I379" s="6" t="s">
        <v>13</v>
      </c>
      <c r="J379" s="6" t="s">
        <v>14</v>
      </c>
      <c r="K379" s="6" t="s">
        <v>15</v>
      </c>
      <c r="L379" s="6" t="s">
        <v>16</v>
      </c>
    </row>
    <row r="380" spans="1:12" hidden="1">
      <c r="A380" s="1" t="s">
        <v>11</v>
      </c>
      <c r="B380" s="1">
        <f>C372</f>
        <v>183615</v>
      </c>
      <c r="C380" s="1">
        <v>196143</v>
      </c>
      <c r="D380" s="1">
        <f>C380-B380</f>
        <v>12528</v>
      </c>
      <c r="E380" s="7">
        <f>423.42*1.15</f>
        <v>486.93299999999999</v>
      </c>
      <c r="F380" s="7">
        <v>19743.14</v>
      </c>
      <c r="G380" s="16">
        <f>(169.29+683.14)*1.15</f>
        <v>980.29449999999986</v>
      </c>
      <c r="H380" s="1" t="s">
        <v>64</v>
      </c>
      <c r="I380" s="1">
        <v>32</v>
      </c>
      <c r="J380" s="7">
        <f>(E380+F380)/D380</f>
        <v>1.6147887132822478</v>
      </c>
      <c r="K380" s="1" t="s">
        <v>18</v>
      </c>
      <c r="L380" s="1">
        <f>D380/I380</f>
        <v>391.5</v>
      </c>
    </row>
    <row r="381" spans="1:12" hidden="1">
      <c r="A381" s="1" t="s">
        <v>7</v>
      </c>
      <c r="B381" s="1">
        <f>C373</f>
        <v>79684</v>
      </c>
      <c r="C381" s="1">
        <v>80955</v>
      </c>
      <c r="D381" s="1">
        <f>C381-B381</f>
        <v>1271</v>
      </c>
      <c r="E381" s="7"/>
      <c r="F381" s="7">
        <f>2073.82*1.15</f>
        <v>2384.893</v>
      </c>
      <c r="G381" s="17">
        <f>(169.29+683.14)*1.15</f>
        <v>980.29449999999986</v>
      </c>
      <c r="H381" s="1" t="s">
        <v>65</v>
      </c>
      <c r="I381" s="1">
        <v>31</v>
      </c>
      <c r="J381" s="17">
        <f>F381/D381</f>
        <v>1.8763910306845004</v>
      </c>
      <c r="K381" s="1" t="s">
        <v>34</v>
      </c>
      <c r="L381" s="1">
        <f>D381/I381</f>
        <v>41</v>
      </c>
    </row>
    <row r="382" spans="1:12" hidden="1">
      <c r="A382" s="1" t="s">
        <v>8</v>
      </c>
      <c r="B382" s="1"/>
      <c r="C382" s="1"/>
      <c r="D382" s="1"/>
      <c r="E382" s="7"/>
      <c r="F382" s="7">
        <f>E380+F380+G380</f>
        <v>21210.3675</v>
      </c>
      <c r="G382" s="17"/>
      <c r="H382" s="1"/>
      <c r="I382" s="1"/>
      <c r="J382" s="1"/>
      <c r="K382" s="1"/>
      <c r="L382" s="1"/>
    </row>
    <row r="383" spans="1:12" hidden="1">
      <c r="A383" s="1" t="s">
        <v>9</v>
      </c>
      <c r="B383" s="1"/>
      <c r="C383" s="1"/>
      <c r="D383" s="1"/>
      <c r="E383" s="7"/>
      <c r="F383" s="7">
        <f>F381+G381</f>
        <v>3365.1875</v>
      </c>
      <c r="G383" s="17"/>
      <c r="H383" s="1"/>
      <c r="I383" s="1"/>
      <c r="J383" s="1"/>
      <c r="K383" s="1"/>
      <c r="L383" s="1"/>
    </row>
    <row r="384" spans="1:12" hidden="1">
      <c r="A384" s="1" t="s">
        <v>10</v>
      </c>
      <c r="B384" s="1"/>
      <c r="C384" s="1"/>
      <c r="D384" s="1"/>
      <c r="E384" s="7"/>
      <c r="F384" s="7">
        <f>F382-F383</f>
        <v>17845.18</v>
      </c>
      <c r="G384" s="17"/>
      <c r="H384" s="1"/>
      <c r="I384" s="1"/>
      <c r="J384" s="1"/>
      <c r="K384" s="1"/>
      <c r="L384" s="1"/>
    </row>
    <row r="386" spans="1:16">
      <c r="A386" s="14">
        <v>44562</v>
      </c>
      <c r="E386" s="2"/>
      <c r="F386" s="2"/>
    </row>
    <row r="387" spans="1:16">
      <c r="A387" s="6" t="s">
        <v>1</v>
      </c>
      <c r="B387" s="6" t="s">
        <v>2</v>
      </c>
      <c r="C387" s="6" t="s">
        <v>3</v>
      </c>
      <c r="D387" s="6" t="s">
        <v>4</v>
      </c>
      <c r="E387" s="6" t="s">
        <v>5</v>
      </c>
      <c r="F387" s="6" t="s">
        <v>6</v>
      </c>
      <c r="G387" s="6" t="s">
        <v>47</v>
      </c>
      <c r="H387" s="6" t="s">
        <v>12</v>
      </c>
      <c r="I387" s="6" t="s">
        <v>13</v>
      </c>
      <c r="J387" s="6" t="s">
        <v>14</v>
      </c>
      <c r="K387" s="6" t="s">
        <v>15</v>
      </c>
      <c r="L387" s="6" t="s">
        <v>16</v>
      </c>
    </row>
    <row r="388" spans="1:16">
      <c r="A388" s="1" t="s">
        <v>11</v>
      </c>
      <c r="B388" s="1">
        <f>C380</f>
        <v>196143</v>
      </c>
      <c r="C388" s="1">
        <v>205096</v>
      </c>
      <c r="D388" s="1">
        <f>C388-B388</f>
        <v>8953</v>
      </c>
      <c r="E388" s="7">
        <f>1790.19*1.15</f>
        <v>2058.7184999999999</v>
      </c>
      <c r="F388" s="7">
        <v>16273.72</v>
      </c>
      <c r="G388" s="16">
        <f>(169.29+683.14)*1.15</f>
        <v>980.29449999999986</v>
      </c>
      <c r="H388" s="1" t="s">
        <v>66</v>
      </c>
      <c r="I388" s="1">
        <v>25</v>
      </c>
      <c r="J388" s="7">
        <f>(E388+F388)/D388</f>
        <v>2.0476307941472132</v>
      </c>
      <c r="K388" s="1" t="s">
        <v>18</v>
      </c>
      <c r="L388" s="1">
        <f>D388/I388</f>
        <v>358.12</v>
      </c>
    </row>
    <row r="389" spans="1:16">
      <c r="A389" s="1" t="s">
        <v>7</v>
      </c>
      <c r="B389" s="1">
        <f>C381</f>
        <v>80955</v>
      </c>
      <c r="C389" s="1">
        <v>82207</v>
      </c>
      <c r="D389" s="1">
        <f>C389-B389</f>
        <v>1252</v>
      </c>
      <c r="E389" s="7"/>
      <c r="F389" s="7">
        <f>2044.2*1.15</f>
        <v>2350.83</v>
      </c>
      <c r="G389" s="17">
        <f>(169.29+683.14)*1.15</f>
        <v>980.29449999999986</v>
      </c>
      <c r="H389" s="1" t="s">
        <v>67</v>
      </c>
      <c r="I389" s="1">
        <v>31</v>
      </c>
      <c r="J389" s="17">
        <f>F389/D389</f>
        <v>1.8776597444089456</v>
      </c>
      <c r="K389" s="1" t="s">
        <v>34</v>
      </c>
      <c r="L389" s="1">
        <f>D389/I389</f>
        <v>40.387096774193552</v>
      </c>
    </row>
    <row r="390" spans="1:16">
      <c r="A390" s="1" t="s">
        <v>8</v>
      </c>
      <c r="B390" s="1"/>
      <c r="C390" s="1"/>
      <c r="D390" s="1"/>
      <c r="E390" s="7"/>
      <c r="F390" s="7">
        <f>E388+F388+G388</f>
        <v>19312.733</v>
      </c>
      <c r="G390" s="17"/>
      <c r="H390" s="1"/>
      <c r="I390" s="1"/>
      <c r="J390" s="1"/>
      <c r="K390" s="1"/>
      <c r="L390" s="1"/>
    </row>
    <row r="391" spans="1:16">
      <c r="A391" s="1" t="s">
        <v>9</v>
      </c>
      <c r="B391" s="1"/>
      <c r="C391" s="1"/>
      <c r="D391" s="1"/>
      <c r="E391" s="7"/>
      <c r="F391" s="7">
        <f>F389+G389</f>
        <v>3331.1244999999999</v>
      </c>
      <c r="G391" s="17"/>
      <c r="H391" s="1"/>
      <c r="I391" s="1"/>
      <c r="J391" s="1"/>
      <c r="K391" s="1"/>
      <c r="L391" s="1"/>
    </row>
    <row r="392" spans="1:16">
      <c r="A392" s="1" t="s">
        <v>10</v>
      </c>
      <c r="B392" s="1"/>
      <c r="C392" s="1"/>
      <c r="D392" s="1"/>
      <c r="E392" s="7"/>
      <c r="F392" s="7">
        <f>F390-F391</f>
        <v>15981.6085</v>
      </c>
      <c r="G392" s="17"/>
      <c r="H392" s="1"/>
      <c r="I392" s="1"/>
      <c r="J392" s="1"/>
      <c r="K392" s="1"/>
      <c r="L392" s="1"/>
    </row>
    <row r="394" spans="1:16">
      <c r="A394" s="14">
        <v>44593</v>
      </c>
      <c r="E394" s="2"/>
      <c r="F394" s="2"/>
    </row>
    <row r="395" spans="1:16">
      <c r="A395" s="6" t="s">
        <v>1</v>
      </c>
      <c r="B395" s="6" t="s">
        <v>2</v>
      </c>
      <c r="C395" s="6" t="s">
        <v>3</v>
      </c>
      <c r="D395" s="6" t="s">
        <v>4</v>
      </c>
      <c r="E395" s="6" t="s">
        <v>5</v>
      </c>
      <c r="F395" s="6" t="s">
        <v>6</v>
      </c>
      <c r="G395" s="6" t="s">
        <v>47</v>
      </c>
      <c r="H395" s="6" t="s">
        <v>12</v>
      </c>
      <c r="I395" s="6" t="s">
        <v>13</v>
      </c>
      <c r="J395" s="6" t="s">
        <v>14</v>
      </c>
      <c r="K395" s="6" t="s">
        <v>15</v>
      </c>
      <c r="L395" s="6" t="s">
        <v>16</v>
      </c>
    </row>
    <row r="396" spans="1:16">
      <c r="A396" s="1" t="s">
        <v>11</v>
      </c>
      <c r="B396" s="1">
        <f>C388</f>
        <v>205096</v>
      </c>
      <c r="C396" s="1">
        <v>216931</v>
      </c>
      <c r="D396" s="1">
        <f>C396-B396</f>
        <v>11835</v>
      </c>
      <c r="E396" s="7">
        <f>2863.98*1.15</f>
        <v>3293.5769999999998</v>
      </c>
      <c r="F396" s="7">
        <v>13261.86</v>
      </c>
      <c r="G396" s="16">
        <f>(169.29+683.14)*1.15</f>
        <v>980.29449999999986</v>
      </c>
      <c r="H396" s="1" t="s">
        <v>68</v>
      </c>
      <c r="I396" s="1">
        <v>29</v>
      </c>
      <c r="J396" s="7">
        <f>(E396+F396)/D396</f>
        <v>1.3988539923954375</v>
      </c>
      <c r="K396" s="1" t="s">
        <v>18</v>
      </c>
      <c r="L396" s="1">
        <f>D396/I396</f>
        <v>408.10344827586209</v>
      </c>
    </row>
    <row r="397" spans="1:16">
      <c r="A397" s="1" t="s">
        <v>7</v>
      </c>
      <c r="B397" s="1">
        <f>C389</f>
        <v>82207</v>
      </c>
      <c r="C397" s="1">
        <v>82652</v>
      </c>
      <c r="D397" s="1">
        <f>C397-B397</f>
        <v>445</v>
      </c>
      <c r="E397" s="7"/>
      <c r="F397" s="7">
        <f>725.36*1.15</f>
        <v>834.16399999999999</v>
      </c>
      <c r="G397" s="17">
        <f>(169.29+683.14)*1.15</f>
        <v>980.29449999999986</v>
      </c>
      <c r="H397" s="1" t="s">
        <v>69</v>
      </c>
      <c r="I397" s="1">
        <v>11</v>
      </c>
      <c r="J397" s="17">
        <f>F397/D397</f>
        <v>1.8745258426966291</v>
      </c>
      <c r="K397" s="1" t="s">
        <v>34</v>
      </c>
      <c r="L397" s="1">
        <f>D397/I397</f>
        <v>40.454545454545453</v>
      </c>
    </row>
    <row r="398" spans="1:16">
      <c r="A398" s="1" t="s">
        <v>8</v>
      </c>
      <c r="B398" s="1"/>
      <c r="C398" s="1"/>
      <c r="D398" s="1"/>
      <c r="E398" s="7"/>
      <c r="F398" s="7">
        <f>E396+F396+G396</f>
        <v>17535.731500000002</v>
      </c>
      <c r="G398" s="17"/>
      <c r="H398" s="1"/>
      <c r="I398" s="1"/>
      <c r="J398" s="1"/>
      <c r="K398" s="1"/>
      <c r="L398" s="1"/>
    </row>
    <row r="399" spans="1:16">
      <c r="A399" s="1" t="s">
        <v>9</v>
      </c>
      <c r="B399" s="1"/>
      <c r="C399" s="1"/>
      <c r="D399" s="1"/>
      <c r="E399" s="7"/>
      <c r="F399" s="7">
        <f>F397+G397</f>
        <v>1814.4584999999997</v>
      </c>
      <c r="G399" s="17"/>
      <c r="H399" s="1"/>
      <c r="I399" s="1"/>
      <c r="J399" s="1"/>
      <c r="K399" s="1"/>
      <c r="L399" s="1"/>
    </row>
    <row r="400" spans="1:16">
      <c r="A400" s="1" t="s">
        <v>10</v>
      </c>
      <c r="B400" s="1"/>
      <c r="C400" s="1"/>
      <c r="D400" s="1"/>
      <c r="E400" s="7"/>
      <c r="F400" s="7">
        <f>F398-F399</f>
        <v>15721.273000000001</v>
      </c>
      <c r="G400" s="17"/>
      <c r="H400" s="1"/>
      <c r="I400" s="1"/>
      <c r="J400" s="1"/>
      <c r="K400" s="1"/>
      <c r="L400" s="1"/>
      <c r="P400" s="25">
        <f>E388+E396+E404+E412+E420+E428</f>
        <v>9659.7929999999997</v>
      </c>
    </row>
    <row r="401" spans="1:16">
      <c r="P401">
        <f>P400/6</f>
        <v>1609.9655</v>
      </c>
    </row>
    <row r="402" spans="1:16">
      <c r="A402" s="14">
        <v>44621</v>
      </c>
      <c r="E402" s="2"/>
      <c r="F402" s="2"/>
      <c r="P402">
        <f>P401/53</f>
        <v>30.376707547169811</v>
      </c>
    </row>
    <row r="403" spans="1:16">
      <c r="A403" s="6" t="s">
        <v>1</v>
      </c>
      <c r="B403" s="6" t="s">
        <v>2</v>
      </c>
      <c r="C403" s="6" t="s">
        <v>3</v>
      </c>
      <c r="D403" s="6" t="s">
        <v>4</v>
      </c>
      <c r="E403" s="6" t="s">
        <v>5</v>
      </c>
      <c r="F403" s="6" t="s">
        <v>6</v>
      </c>
      <c r="G403" s="6" t="s">
        <v>47</v>
      </c>
      <c r="H403" s="6" t="s">
        <v>12</v>
      </c>
      <c r="I403" s="6" t="s">
        <v>13</v>
      </c>
      <c r="J403" s="6" t="s">
        <v>14</v>
      </c>
      <c r="K403" s="6" t="s">
        <v>15</v>
      </c>
      <c r="L403" s="6" t="s">
        <v>16</v>
      </c>
    </row>
    <row r="404" spans="1:16">
      <c r="A404" s="1" t="s">
        <v>11</v>
      </c>
      <c r="B404" s="1">
        <f>C396</f>
        <v>216931</v>
      </c>
      <c r="C404" s="1">
        <v>227424</v>
      </c>
      <c r="D404" s="1">
        <f>C404-B404</f>
        <v>10493</v>
      </c>
      <c r="E404" s="7">
        <v>0</v>
      </c>
      <c r="F404" s="7">
        <v>13261.86</v>
      </c>
      <c r="G404" s="16">
        <f>(169.29+683.14)*1.15</f>
        <v>980.29449999999986</v>
      </c>
      <c r="H404" s="1" t="s">
        <v>70</v>
      </c>
      <c r="I404" s="1">
        <v>34</v>
      </c>
      <c r="J404" s="7">
        <f>(E404+F404)/D404</f>
        <v>1.263876870294482</v>
      </c>
      <c r="K404" s="1" t="s">
        <v>18</v>
      </c>
      <c r="L404" s="1">
        <f>D404/I404</f>
        <v>308.61764705882354</v>
      </c>
    </row>
    <row r="405" spans="1:16">
      <c r="A405" s="1" t="s">
        <v>7</v>
      </c>
      <c r="B405" s="1">
        <f>C397</f>
        <v>82652</v>
      </c>
      <c r="C405" s="1">
        <v>105348</v>
      </c>
      <c r="D405" s="1">
        <f>C405-B405</f>
        <v>22696</v>
      </c>
      <c r="E405" s="7"/>
      <c r="F405" s="7">
        <f>37038.09*1.15</f>
        <v>42593.803499999995</v>
      </c>
      <c r="G405" s="17">
        <f>(169.29+683.14)*1.15</f>
        <v>980.29449999999986</v>
      </c>
      <c r="H405" s="1" t="s">
        <v>71</v>
      </c>
      <c r="I405" s="1">
        <v>48</v>
      </c>
      <c r="J405" s="17">
        <f>F405/D405</f>
        <v>1.876709706556221</v>
      </c>
      <c r="K405" s="1" t="s">
        <v>34</v>
      </c>
      <c r="L405" s="1">
        <f>D405/I405</f>
        <v>472.83333333333331</v>
      </c>
    </row>
    <row r="406" spans="1:16">
      <c r="A406" s="1" t="s">
        <v>8</v>
      </c>
      <c r="B406" s="1"/>
      <c r="C406" s="1"/>
      <c r="D406" s="1"/>
      <c r="E406" s="7"/>
      <c r="F406" s="7">
        <f>E404+F404+G404</f>
        <v>14242.154500000001</v>
      </c>
      <c r="G406" s="17"/>
      <c r="H406" s="1"/>
      <c r="I406" s="1"/>
      <c r="J406" s="1"/>
      <c r="K406" s="1"/>
      <c r="L406" s="1"/>
    </row>
    <row r="407" spans="1:16">
      <c r="A407" s="1" t="s">
        <v>9</v>
      </c>
      <c r="B407" s="1"/>
      <c r="C407" s="1"/>
      <c r="D407" s="1"/>
      <c r="E407" s="7"/>
      <c r="F407" s="7">
        <f>F405+G405</f>
        <v>43574.097999999991</v>
      </c>
      <c r="G407" s="17"/>
      <c r="H407" s="1"/>
      <c r="I407" s="1"/>
      <c r="J407" s="1"/>
      <c r="K407" s="1"/>
      <c r="L407" s="1"/>
    </row>
    <row r="408" spans="1:16">
      <c r="A408" s="1" t="s">
        <v>10</v>
      </c>
      <c r="B408" s="1"/>
      <c r="C408" s="1"/>
      <c r="D408" s="1"/>
      <c r="E408" s="7"/>
      <c r="F408" s="7">
        <f>F406-F407</f>
        <v>-29331.94349999999</v>
      </c>
      <c r="G408" s="17"/>
      <c r="H408" s="1"/>
      <c r="I408" s="1"/>
      <c r="J408" s="1"/>
      <c r="K408" s="1"/>
      <c r="L408" s="1"/>
    </row>
    <row r="409" spans="1:16">
      <c r="P409">
        <f>1000/53</f>
        <v>18.867924528301888</v>
      </c>
    </row>
    <row r="410" spans="1:16">
      <c r="A410" s="14">
        <v>44652</v>
      </c>
      <c r="E410" s="2"/>
      <c r="F410" s="2"/>
      <c r="P410">
        <f>3500/53</f>
        <v>66.037735849056602</v>
      </c>
    </row>
    <row r="411" spans="1:16">
      <c r="A411" s="6" t="s">
        <v>1</v>
      </c>
      <c r="B411" s="6" t="s">
        <v>2</v>
      </c>
      <c r="C411" s="6" t="s">
        <v>3</v>
      </c>
      <c r="D411" s="6" t="s">
        <v>4</v>
      </c>
      <c r="E411" s="6" t="s">
        <v>5</v>
      </c>
      <c r="F411" s="6" t="s">
        <v>6</v>
      </c>
      <c r="G411" s="6" t="s">
        <v>47</v>
      </c>
      <c r="H411" s="6" t="s">
        <v>12</v>
      </c>
      <c r="I411" s="6" t="s">
        <v>13</v>
      </c>
      <c r="J411" s="6" t="s">
        <v>14</v>
      </c>
      <c r="K411" s="6" t="s">
        <v>15</v>
      </c>
      <c r="L411" s="6" t="s">
        <v>16</v>
      </c>
    </row>
    <row r="412" spans="1:16">
      <c r="A412" s="1" t="s">
        <v>11</v>
      </c>
      <c r="B412" s="1">
        <f>C404</f>
        <v>227424</v>
      </c>
      <c r="C412" s="1">
        <v>243152</v>
      </c>
      <c r="D412" s="1">
        <f>C412-B412</f>
        <v>15728</v>
      </c>
      <c r="E412" s="7">
        <f>2991.89*1.15</f>
        <v>3440.6734999999994</v>
      </c>
      <c r="F412" s="7">
        <f>22674.63*1.15</f>
        <v>26075.824499999999</v>
      </c>
      <c r="G412" s="16">
        <f>(169.29+683.14)*1.15</f>
        <v>980.29449999999986</v>
      </c>
      <c r="H412" s="1" t="s">
        <v>72</v>
      </c>
      <c r="I412" s="1">
        <v>28</v>
      </c>
      <c r="J412" s="7">
        <f>(E412+F412)/D412</f>
        <v>1.8766847660223804</v>
      </c>
      <c r="K412" s="1" t="s">
        <v>18</v>
      </c>
      <c r="L412" s="1">
        <f>D412/I412</f>
        <v>561.71428571428567</v>
      </c>
    </row>
    <row r="413" spans="1:16">
      <c r="A413" s="1" t="s">
        <v>7</v>
      </c>
      <c r="B413" s="1">
        <f>C405</f>
        <v>105348</v>
      </c>
      <c r="C413" s="1">
        <v>124165</v>
      </c>
      <c r="D413" s="1">
        <f>C413-B413</f>
        <v>18817</v>
      </c>
      <c r="E413" s="7"/>
      <c r="F413" s="7">
        <f>30706.79*1.15</f>
        <v>35312.808499999999</v>
      </c>
      <c r="G413" s="17">
        <f>(169.29+683.14)*1.15</f>
        <v>980.29449999999986</v>
      </c>
      <c r="H413" s="1" t="s">
        <v>73</v>
      </c>
      <c r="I413" s="1">
        <v>32</v>
      </c>
      <c r="J413" s="17">
        <f>F413/D413</f>
        <v>1.8766439124196206</v>
      </c>
      <c r="K413" s="1" t="s">
        <v>34</v>
      </c>
      <c r="L413" s="1">
        <f>D413/I413</f>
        <v>588.03125</v>
      </c>
    </row>
    <row r="414" spans="1:16">
      <c r="A414" s="1" t="s">
        <v>8</v>
      </c>
      <c r="B414" s="1"/>
      <c r="C414" s="1"/>
      <c r="D414" s="1"/>
      <c r="E414" s="7"/>
      <c r="F414" s="7">
        <f>E412+F412+G412</f>
        <v>30496.7925</v>
      </c>
      <c r="G414" s="17"/>
      <c r="H414" s="1"/>
      <c r="I414" s="1"/>
      <c r="J414" s="1"/>
      <c r="K414" s="1"/>
      <c r="L414" s="1"/>
    </row>
    <row r="415" spans="1:16">
      <c r="A415" s="1" t="s">
        <v>9</v>
      </c>
      <c r="B415" s="1"/>
      <c r="C415" s="1"/>
      <c r="D415" s="1"/>
      <c r="E415" s="7"/>
      <c r="F415" s="7">
        <f>F413+G413</f>
        <v>36293.102999999996</v>
      </c>
      <c r="G415" s="17"/>
      <c r="H415" s="1"/>
      <c r="I415" s="1"/>
      <c r="J415" s="1"/>
      <c r="K415" s="1"/>
      <c r="L415" s="1"/>
    </row>
    <row r="416" spans="1:16">
      <c r="A416" s="1" t="s">
        <v>10</v>
      </c>
      <c r="B416" s="1"/>
      <c r="C416" s="1"/>
      <c r="D416" s="1"/>
      <c r="E416" s="7"/>
      <c r="F416" s="7">
        <f>F414-F415</f>
        <v>-5796.310499999996</v>
      </c>
      <c r="G416" s="17"/>
      <c r="H416" s="1"/>
      <c r="I416" s="1"/>
      <c r="J416" s="1"/>
      <c r="K416" s="1"/>
      <c r="L416" s="1"/>
    </row>
    <row r="418" spans="1:16">
      <c r="A418" s="14">
        <v>44682</v>
      </c>
      <c r="E418" s="2"/>
      <c r="F418" s="2"/>
    </row>
    <row r="419" spans="1:16">
      <c r="A419" s="6" t="s">
        <v>1</v>
      </c>
      <c r="B419" s="6" t="s">
        <v>2</v>
      </c>
      <c r="C419" s="6" t="s">
        <v>3</v>
      </c>
      <c r="D419" s="6" t="s">
        <v>4</v>
      </c>
      <c r="E419" s="6" t="s">
        <v>5</v>
      </c>
      <c r="F419" s="6" t="s">
        <v>6</v>
      </c>
      <c r="G419" s="6" t="s">
        <v>47</v>
      </c>
      <c r="H419" s="6" t="s">
        <v>12</v>
      </c>
      <c r="I419" s="6" t="s">
        <v>13</v>
      </c>
      <c r="J419" s="6" t="s">
        <v>14</v>
      </c>
      <c r="K419" s="6" t="s">
        <v>15</v>
      </c>
      <c r="L419" s="6" t="s">
        <v>16</v>
      </c>
    </row>
    <row r="420" spans="1:16">
      <c r="A420" s="1" t="s">
        <v>11</v>
      </c>
      <c r="B420" s="1">
        <f>C412</f>
        <v>243152</v>
      </c>
      <c r="C420" s="1">
        <v>261406</v>
      </c>
      <c r="D420" s="1">
        <f>C420-B420</f>
        <v>18254</v>
      </c>
      <c r="E420" s="7">
        <v>0</v>
      </c>
      <c r="F420" s="7">
        <f>31824.96*1.15</f>
        <v>36598.703999999998</v>
      </c>
      <c r="G420" s="16">
        <f>(169.29+683.14)*1.15</f>
        <v>980.29449999999986</v>
      </c>
      <c r="H420" s="1" t="s">
        <v>74</v>
      </c>
      <c r="I420" s="1">
        <v>35</v>
      </c>
      <c r="J420" s="7">
        <f>(E420+F420)/D420</f>
        <v>2.0049689930974033</v>
      </c>
      <c r="K420" s="1" t="s">
        <v>18</v>
      </c>
      <c r="L420" s="1">
        <f>D420/I420</f>
        <v>521.54285714285709</v>
      </c>
    </row>
    <row r="421" spans="1:16">
      <c r="A421" s="1" t="s">
        <v>7</v>
      </c>
      <c r="B421" s="1">
        <f>C413</f>
        <v>124165</v>
      </c>
      <c r="C421" s="1">
        <v>144169</v>
      </c>
      <c r="D421" s="1">
        <f>C421-B421</f>
        <v>20004</v>
      </c>
      <c r="E421" s="7"/>
      <c r="F421" s="7">
        <f>32645.75*1.15</f>
        <v>37542.612499999996</v>
      </c>
      <c r="G421" s="17">
        <f>(169.29+683.14)*1.15</f>
        <v>980.29449999999986</v>
      </c>
      <c r="H421" s="1" t="s">
        <v>75</v>
      </c>
      <c r="I421" s="1">
        <v>30</v>
      </c>
      <c r="J421" s="17">
        <f>F421/D421</f>
        <v>1.8767552739452107</v>
      </c>
      <c r="K421" s="1" t="s">
        <v>34</v>
      </c>
      <c r="L421" s="1">
        <f>D421/I421</f>
        <v>666.8</v>
      </c>
    </row>
    <row r="422" spans="1:16">
      <c r="A422" s="1" t="s">
        <v>8</v>
      </c>
      <c r="B422" s="1"/>
      <c r="C422" s="1"/>
      <c r="D422" s="1"/>
      <c r="E422" s="7"/>
      <c r="F422" s="7">
        <f>E420+F420+G420</f>
        <v>37578.998499999994</v>
      </c>
      <c r="G422" s="17"/>
      <c r="H422" s="1"/>
      <c r="I422" s="1"/>
      <c r="J422" s="1"/>
      <c r="K422" s="1"/>
      <c r="L422" s="1"/>
    </row>
    <row r="423" spans="1:16">
      <c r="A423" s="1" t="s">
        <v>9</v>
      </c>
      <c r="B423" s="1"/>
      <c r="C423" s="1"/>
      <c r="D423" s="1"/>
      <c r="E423" s="7"/>
      <c r="F423" s="7">
        <f>F421+G421</f>
        <v>38522.906999999992</v>
      </c>
      <c r="G423" s="17"/>
      <c r="H423" s="1"/>
      <c r="I423" s="1"/>
      <c r="J423" s="1"/>
      <c r="K423" s="1"/>
      <c r="L423" s="1"/>
    </row>
    <row r="424" spans="1:16">
      <c r="A424" s="1" t="s">
        <v>10</v>
      </c>
      <c r="B424" s="1"/>
      <c r="C424" s="1"/>
      <c r="D424" s="1"/>
      <c r="E424" s="7"/>
      <c r="F424" s="7">
        <f>F422-F423</f>
        <v>-943.90849999999773</v>
      </c>
      <c r="G424" s="17"/>
      <c r="H424" s="1"/>
      <c r="I424" s="1"/>
      <c r="J424" s="1"/>
      <c r="K424" s="1"/>
      <c r="L424" s="1"/>
    </row>
    <row r="426" spans="1:16">
      <c r="A426" s="14">
        <v>44713</v>
      </c>
      <c r="E426" s="2"/>
      <c r="F426" s="2"/>
    </row>
    <row r="427" spans="1:16">
      <c r="A427" s="6" t="s">
        <v>1</v>
      </c>
      <c r="B427" s="6" t="s">
        <v>2</v>
      </c>
      <c r="C427" s="6" t="s">
        <v>3</v>
      </c>
      <c r="D427" s="6" t="s">
        <v>4</v>
      </c>
      <c r="E427" s="6" t="s">
        <v>5</v>
      </c>
      <c r="F427" s="6" t="s">
        <v>6</v>
      </c>
      <c r="G427" s="6" t="s">
        <v>47</v>
      </c>
      <c r="H427" s="6" t="s">
        <v>12</v>
      </c>
      <c r="I427" s="6" t="s">
        <v>13</v>
      </c>
      <c r="J427" s="6" t="s">
        <v>14</v>
      </c>
      <c r="K427" s="6" t="s">
        <v>15</v>
      </c>
      <c r="L427" s="6" t="s">
        <v>16</v>
      </c>
      <c r="P427">
        <f>E428/53</f>
        <v>16.355169811320753</v>
      </c>
    </row>
    <row r="428" spans="1:16">
      <c r="A428" s="1" t="s">
        <v>11</v>
      </c>
      <c r="B428" s="1">
        <f>C420</f>
        <v>261406</v>
      </c>
      <c r="C428" s="1">
        <v>282611</v>
      </c>
      <c r="D428" s="1">
        <f>C428-B428</f>
        <v>21205</v>
      </c>
      <c r="E428" s="7">
        <f>753.76*1.15</f>
        <v>866.82399999999996</v>
      </c>
      <c r="F428" s="7">
        <f>33850.68*1.15</f>
        <v>38928.281999999999</v>
      </c>
      <c r="G428" s="16">
        <f>(181.94+734.17)*1.15</f>
        <v>1053.5264999999997</v>
      </c>
      <c r="H428" s="1" t="s">
        <v>76</v>
      </c>
      <c r="I428" s="1">
        <v>28</v>
      </c>
      <c r="J428" s="7">
        <f>(E428+F428)/D428</f>
        <v>1.8766850271162461</v>
      </c>
      <c r="K428" s="1" t="s">
        <v>18</v>
      </c>
      <c r="L428" s="1">
        <f>D428/I428</f>
        <v>757.32142857142856</v>
      </c>
    </row>
    <row r="429" spans="1:16">
      <c r="A429" s="1" t="s">
        <v>7</v>
      </c>
      <c r="B429" s="1">
        <f>C421</f>
        <v>144169</v>
      </c>
      <c r="C429" s="1">
        <v>144489</v>
      </c>
      <c r="D429" s="1">
        <f>C429-B429</f>
        <v>320</v>
      </c>
      <c r="E429" s="7"/>
      <c r="F429" s="7">
        <f>(382.43+149.45)*1.15</f>
        <v>611.66199999999992</v>
      </c>
      <c r="G429" s="17">
        <f>(181.94+734.17)*1.15</f>
        <v>1053.5264999999997</v>
      </c>
      <c r="H429" s="1" t="s">
        <v>77</v>
      </c>
      <c r="I429" s="1">
        <v>30</v>
      </c>
      <c r="J429" s="17">
        <f>F429/D429</f>
        <v>1.9114437499999997</v>
      </c>
      <c r="K429" s="1" t="s">
        <v>34</v>
      </c>
      <c r="L429" s="1">
        <f>D429/I429</f>
        <v>10.666666666666666</v>
      </c>
    </row>
    <row r="430" spans="1:16">
      <c r="A430" s="1" t="s">
        <v>8</v>
      </c>
      <c r="B430" s="1"/>
      <c r="C430" s="1"/>
      <c r="D430" s="1"/>
      <c r="E430" s="7"/>
      <c r="F430" s="7">
        <f>E428+F428+G428</f>
        <v>40848.6325</v>
      </c>
      <c r="G430" s="17"/>
      <c r="H430" s="1"/>
      <c r="I430" s="1"/>
      <c r="J430" s="1"/>
      <c r="K430" s="1"/>
      <c r="L430" s="1"/>
    </row>
    <row r="431" spans="1:16">
      <c r="A431" s="1" t="s">
        <v>9</v>
      </c>
      <c r="B431" s="1"/>
      <c r="C431" s="1"/>
      <c r="D431" s="1"/>
      <c r="E431" s="7"/>
      <c r="F431" s="7">
        <f>F429+G429</f>
        <v>1665.1884999999997</v>
      </c>
      <c r="G431" s="17"/>
      <c r="H431" s="1"/>
      <c r="I431" s="1"/>
      <c r="J431" s="1"/>
      <c r="K431" s="1"/>
      <c r="L431" s="1"/>
    </row>
    <row r="432" spans="1:16">
      <c r="A432" s="1" t="s">
        <v>10</v>
      </c>
      <c r="B432" s="1"/>
      <c r="C432" s="1"/>
      <c r="D432" s="1"/>
      <c r="E432" s="7"/>
      <c r="F432" s="7">
        <f>F430-F431</f>
        <v>39183.444000000003</v>
      </c>
      <c r="G432" s="17"/>
      <c r="H432" s="1"/>
      <c r="I432" s="1"/>
      <c r="J432" s="1"/>
      <c r="K432" s="1"/>
      <c r="L432" s="1"/>
    </row>
    <row r="434" spans="1:12">
      <c r="A434" s="14">
        <v>44743</v>
      </c>
      <c r="E434" s="2"/>
      <c r="F434" s="2"/>
    </row>
    <row r="435" spans="1:12">
      <c r="A435" s="6" t="s">
        <v>1</v>
      </c>
      <c r="B435" s="6" t="s">
        <v>2</v>
      </c>
      <c r="C435" s="6" t="s">
        <v>3</v>
      </c>
      <c r="D435" s="6" t="s">
        <v>4</v>
      </c>
      <c r="E435" s="6" t="s">
        <v>5</v>
      </c>
      <c r="F435" s="6" t="s">
        <v>6</v>
      </c>
      <c r="G435" s="6" t="s">
        <v>47</v>
      </c>
      <c r="H435" s="6" t="s">
        <v>12</v>
      </c>
      <c r="I435" s="6" t="s">
        <v>13</v>
      </c>
      <c r="J435" s="6" t="s">
        <v>14</v>
      </c>
      <c r="K435" s="6" t="s">
        <v>15</v>
      </c>
      <c r="L435" s="6" t="s">
        <v>16</v>
      </c>
    </row>
    <row r="436" spans="1:12">
      <c r="A436" s="1" t="s">
        <v>11</v>
      </c>
      <c r="B436" s="1">
        <f>C428</f>
        <v>282611</v>
      </c>
      <c r="C436" s="1">
        <v>302877</v>
      </c>
      <c r="D436" s="1">
        <f>C436-B436</f>
        <v>20266</v>
      </c>
      <c r="E436" s="7">
        <f>9303.93*1.15</f>
        <v>10699.5195</v>
      </c>
      <c r="F436" s="7">
        <f>26238.58*1.15</f>
        <v>30174.366999999998</v>
      </c>
      <c r="G436" s="16">
        <f>(181.94+734.17)*1.15</f>
        <v>1053.5264999999997</v>
      </c>
      <c r="H436" s="1" t="s">
        <v>78</v>
      </c>
      <c r="I436" s="1">
        <v>28</v>
      </c>
      <c r="J436" s="7">
        <f>(E436+F436)/D436</f>
        <v>2.0168699546037701</v>
      </c>
      <c r="K436" s="1" t="s">
        <v>18</v>
      </c>
      <c r="L436" s="1">
        <f>D436/I436</f>
        <v>723.78571428571433</v>
      </c>
    </row>
    <row r="437" spans="1:12">
      <c r="A437" s="1" t="s">
        <v>7</v>
      </c>
      <c r="B437" s="1">
        <f>C429</f>
        <v>144489</v>
      </c>
      <c r="C437" s="1">
        <v>144753</v>
      </c>
      <c r="D437" s="1">
        <f>C437-B437</f>
        <v>264</v>
      </c>
      <c r="E437" s="7"/>
      <c r="F437" s="7">
        <f>463.23*1.15</f>
        <v>532.71449999999993</v>
      </c>
      <c r="G437" s="17">
        <f>(181.94+734.17)*1.15</f>
        <v>1053.5264999999997</v>
      </c>
      <c r="H437" s="1" t="s">
        <v>79</v>
      </c>
      <c r="I437" s="1">
        <v>26</v>
      </c>
      <c r="J437" s="17">
        <f>F437/D437</f>
        <v>2.0178579545454545</v>
      </c>
      <c r="K437" s="1" t="s">
        <v>34</v>
      </c>
      <c r="L437" s="1">
        <f>D437/I437</f>
        <v>10.153846153846153</v>
      </c>
    </row>
    <row r="438" spans="1:12">
      <c r="A438" s="1" t="s">
        <v>8</v>
      </c>
      <c r="B438" s="1"/>
      <c r="C438" s="1"/>
      <c r="D438" s="1"/>
      <c r="E438" s="7"/>
      <c r="F438" s="7">
        <f>E436+F436+G436</f>
        <v>41927.413</v>
      </c>
      <c r="G438" s="17"/>
      <c r="H438" s="1"/>
      <c r="I438" s="1"/>
      <c r="J438" s="1"/>
      <c r="K438" s="1"/>
      <c r="L438" s="1"/>
    </row>
    <row r="439" spans="1:12">
      <c r="A439" s="1" t="s">
        <v>9</v>
      </c>
      <c r="B439" s="1"/>
      <c r="C439" s="1"/>
      <c r="D439" s="1"/>
      <c r="E439" s="7"/>
      <c r="F439" s="7">
        <f>F437+G437</f>
        <v>1586.2409999999995</v>
      </c>
      <c r="G439" s="17"/>
      <c r="H439" s="1"/>
      <c r="I439" s="1"/>
      <c r="J439" s="1"/>
      <c r="K439" s="1"/>
      <c r="L439" s="1"/>
    </row>
    <row r="440" spans="1:12">
      <c r="A440" s="1" t="s">
        <v>10</v>
      </c>
      <c r="B440" s="1"/>
      <c r="C440" s="1"/>
      <c r="D440" s="1"/>
      <c r="E440" s="7"/>
      <c r="F440" s="7">
        <f>F438-F439</f>
        <v>40341.171999999999</v>
      </c>
      <c r="G440" s="17"/>
      <c r="H440" s="1"/>
      <c r="I440" s="1"/>
      <c r="J440" s="1"/>
      <c r="K440" s="1"/>
      <c r="L440" s="1"/>
    </row>
    <row r="442" spans="1:12">
      <c r="A442" s="14">
        <v>44774</v>
      </c>
      <c r="E442" s="2"/>
      <c r="F442" s="2"/>
    </row>
    <row r="443" spans="1:12">
      <c r="A443" s="6" t="s">
        <v>1</v>
      </c>
      <c r="B443" s="6" t="s">
        <v>2</v>
      </c>
      <c r="C443" s="6" t="s">
        <v>3</v>
      </c>
      <c r="D443" s="6" t="s">
        <v>4</v>
      </c>
      <c r="E443" s="6" t="s">
        <v>5</v>
      </c>
      <c r="F443" s="6" t="s">
        <v>6</v>
      </c>
      <c r="G443" s="6" t="s">
        <v>47</v>
      </c>
      <c r="H443" s="6" t="s">
        <v>12</v>
      </c>
      <c r="I443" s="6" t="s">
        <v>13</v>
      </c>
      <c r="J443" s="6" t="s">
        <v>14</v>
      </c>
      <c r="K443" s="6" t="s">
        <v>15</v>
      </c>
      <c r="L443" s="6" t="s">
        <v>16</v>
      </c>
    </row>
    <row r="444" spans="1:12">
      <c r="A444" s="1" t="s">
        <v>11</v>
      </c>
      <c r="B444" s="1">
        <f>C436</f>
        <v>302877</v>
      </c>
      <c r="C444" s="1">
        <v>324365</v>
      </c>
      <c r="D444" s="1">
        <f>C444-B444</f>
        <v>21488</v>
      </c>
      <c r="E444" s="7">
        <f>650.82*1.15</f>
        <v>748.44299999999998</v>
      </c>
      <c r="F444" s="7">
        <f>37034.83*1.15</f>
        <v>42590.054499999998</v>
      </c>
      <c r="G444" s="16">
        <f>(181.94+734.17)*1.15</f>
        <v>1053.5264999999997</v>
      </c>
      <c r="H444" s="1" t="s">
        <v>80</v>
      </c>
      <c r="I444" s="1">
        <v>34</v>
      </c>
      <c r="J444" s="7">
        <f>(E444+F444)/D444</f>
        <v>2.0168697645197318</v>
      </c>
      <c r="K444" s="1" t="s">
        <v>18</v>
      </c>
      <c r="L444" s="1">
        <f>D444/I444</f>
        <v>632</v>
      </c>
    </row>
    <row r="445" spans="1:12">
      <c r="A445" s="1" t="s">
        <v>7</v>
      </c>
      <c r="B445" s="1">
        <f>C437</f>
        <v>144753</v>
      </c>
      <c r="C445" s="1">
        <v>145064</v>
      </c>
      <c r="D445" s="1">
        <f>C445-B445</f>
        <v>311</v>
      </c>
      <c r="E445" s="7"/>
      <c r="F445" s="7">
        <f>544.88*1.15</f>
        <v>626.61199999999997</v>
      </c>
      <c r="G445" s="17">
        <f>(181.94+734.17)*1.15</f>
        <v>1053.5264999999997</v>
      </c>
      <c r="H445" s="1" t="s">
        <v>81</v>
      </c>
      <c r="I445" s="1">
        <v>35</v>
      </c>
      <c r="J445" s="17">
        <f>F445/D445</f>
        <v>2.0148295819935691</v>
      </c>
      <c r="K445" s="1" t="s">
        <v>34</v>
      </c>
      <c r="L445" s="1">
        <f>D445/I445</f>
        <v>8.8857142857142861</v>
      </c>
    </row>
    <row r="446" spans="1:12">
      <c r="A446" s="1" t="s">
        <v>8</v>
      </c>
      <c r="B446" s="1"/>
      <c r="C446" s="1"/>
      <c r="D446" s="1"/>
      <c r="E446" s="7"/>
      <c r="F446" s="7">
        <f>E444+F444+G444</f>
        <v>44392.023999999998</v>
      </c>
      <c r="G446" s="17"/>
      <c r="H446" s="1"/>
      <c r="I446" s="1"/>
      <c r="J446" s="1"/>
      <c r="K446" s="1"/>
      <c r="L446" s="1"/>
    </row>
    <row r="447" spans="1:12">
      <c r="A447" s="1" t="s">
        <v>9</v>
      </c>
      <c r="B447" s="1"/>
      <c r="C447" s="1"/>
      <c r="D447" s="1"/>
      <c r="E447" s="7"/>
      <c r="F447" s="7">
        <f>F445+G445</f>
        <v>1680.1384999999996</v>
      </c>
      <c r="G447" s="17"/>
      <c r="H447" s="1"/>
      <c r="I447" s="1"/>
      <c r="J447" s="1"/>
      <c r="K447" s="1"/>
      <c r="L447" s="1"/>
    </row>
    <row r="448" spans="1:12">
      <c r="A448" s="1" t="s">
        <v>10</v>
      </c>
      <c r="B448" s="1"/>
      <c r="C448" s="1"/>
      <c r="D448" s="1"/>
      <c r="E448" s="7"/>
      <c r="F448" s="7">
        <f>F446-F447</f>
        <v>42711.885499999997</v>
      </c>
      <c r="G448" s="17"/>
      <c r="H448" s="1"/>
      <c r="I448" s="1"/>
      <c r="J448" s="1"/>
      <c r="K448" s="1"/>
      <c r="L448" s="1"/>
    </row>
    <row r="450" spans="1:12">
      <c r="A450" s="14">
        <v>44805</v>
      </c>
      <c r="E450" s="2"/>
      <c r="F450" s="2"/>
    </row>
    <row r="451" spans="1:12">
      <c r="A451" s="6" t="s">
        <v>1</v>
      </c>
      <c r="B451" s="6" t="s">
        <v>2</v>
      </c>
      <c r="C451" s="6" t="s">
        <v>3</v>
      </c>
      <c r="D451" s="6" t="s">
        <v>4</v>
      </c>
      <c r="E451" s="6" t="s">
        <v>5</v>
      </c>
      <c r="F451" s="6" t="s">
        <v>6</v>
      </c>
      <c r="G451" s="6" t="s">
        <v>47</v>
      </c>
      <c r="H451" s="6" t="s">
        <v>12</v>
      </c>
      <c r="I451" s="6" t="s">
        <v>13</v>
      </c>
      <c r="J451" s="6" t="s">
        <v>14</v>
      </c>
      <c r="K451" s="6" t="s">
        <v>15</v>
      </c>
      <c r="L451" s="6" t="s">
        <v>16</v>
      </c>
    </row>
    <row r="452" spans="1:12">
      <c r="A452" s="1" t="s">
        <v>11</v>
      </c>
      <c r="B452" s="1">
        <f>C444</f>
        <v>324365</v>
      </c>
      <c r="C452" s="1">
        <v>340210</v>
      </c>
      <c r="D452" s="1">
        <f>C452-B452</f>
        <v>15845</v>
      </c>
      <c r="E452" s="7">
        <f>6076.31*1.15</f>
        <v>6987.7564999999995</v>
      </c>
      <c r="F452" s="7">
        <f>21712.65*1.15</f>
        <v>24969.547500000001</v>
      </c>
      <c r="G452" s="16">
        <f>(181.94+734.17)*1.15</f>
        <v>1053.5264999999997</v>
      </c>
      <c r="H452" s="1" t="s">
        <v>82</v>
      </c>
      <c r="I452" s="1">
        <v>29</v>
      </c>
      <c r="J452" s="7">
        <f>(E452+F452)/D452</f>
        <v>2.0168699274218995</v>
      </c>
      <c r="K452" s="1" t="s">
        <v>18</v>
      </c>
      <c r="L452" s="1">
        <f>D452/I452</f>
        <v>546.37931034482756</v>
      </c>
    </row>
    <row r="453" spans="1:12">
      <c r="A453" s="1" t="s">
        <v>7</v>
      </c>
      <c r="B453" s="1">
        <f>C445</f>
        <v>145064</v>
      </c>
      <c r="C453" s="1">
        <v>145280</v>
      </c>
      <c r="D453" s="1">
        <f>C453-B453</f>
        <v>216</v>
      </c>
      <c r="E453" s="7"/>
      <c r="F453" s="7">
        <f>378.82*1.15</f>
        <v>435.64299999999997</v>
      </c>
      <c r="G453" s="17">
        <f>(181.94+734.17)*1.15</f>
        <v>1053.5264999999997</v>
      </c>
      <c r="H453" s="1" t="s">
        <v>83</v>
      </c>
      <c r="I453" s="1">
        <v>30</v>
      </c>
      <c r="J453" s="17">
        <f>F453/D453</f>
        <v>2.0168657407407404</v>
      </c>
      <c r="K453" s="1" t="s">
        <v>34</v>
      </c>
      <c r="L453" s="1">
        <f>D453/I453</f>
        <v>7.2</v>
      </c>
    </row>
    <row r="454" spans="1:12">
      <c r="A454" s="1" t="s">
        <v>8</v>
      </c>
      <c r="B454" s="1"/>
      <c r="C454" s="1"/>
      <c r="D454" s="1"/>
      <c r="E454" s="7"/>
      <c r="F454" s="7">
        <f>E452+F452+G452</f>
        <v>33010.830499999996</v>
      </c>
      <c r="G454" s="17"/>
      <c r="H454" s="1"/>
      <c r="I454" s="1"/>
      <c r="J454" s="1"/>
      <c r="K454" s="1"/>
      <c r="L454" s="1"/>
    </row>
    <row r="455" spans="1:12">
      <c r="A455" s="1" t="s">
        <v>9</v>
      </c>
      <c r="B455" s="1"/>
      <c r="C455" s="1"/>
      <c r="D455" s="1"/>
      <c r="E455" s="7"/>
      <c r="F455" s="7">
        <f>F453+G453</f>
        <v>1489.1694999999997</v>
      </c>
      <c r="G455" s="17"/>
      <c r="H455" s="1"/>
      <c r="I455" s="1"/>
      <c r="J455" s="1"/>
      <c r="K455" s="1"/>
      <c r="L455" s="1"/>
    </row>
    <row r="456" spans="1:12">
      <c r="A456" s="1" t="s">
        <v>10</v>
      </c>
      <c r="B456" s="1"/>
      <c r="C456" s="1"/>
      <c r="D456" s="1"/>
      <c r="E456" s="7"/>
      <c r="F456" s="7">
        <f>F454-F455</f>
        <v>31521.660999999996</v>
      </c>
      <c r="G456" s="17"/>
      <c r="H456" s="1"/>
      <c r="I456" s="1"/>
      <c r="J456" s="1"/>
      <c r="K456" s="1"/>
      <c r="L456" s="1"/>
    </row>
    <row r="458" spans="1:12">
      <c r="A458" s="14">
        <v>44835</v>
      </c>
      <c r="E458" s="2"/>
      <c r="F458" s="2"/>
    </row>
    <row r="459" spans="1:12">
      <c r="A459" s="6" t="s">
        <v>1</v>
      </c>
      <c r="B459" s="6" t="s">
        <v>2</v>
      </c>
      <c r="C459" s="6" t="s">
        <v>3</v>
      </c>
      <c r="D459" s="6" t="s">
        <v>4</v>
      </c>
      <c r="E459" s="6" t="s">
        <v>5</v>
      </c>
      <c r="F459" s="6" t="s">
        <v>6</v>
      </c>
      <c r="G459" s="6" t="s">
        <v>47</v>
      </c>
      <c r="H459" s="6" t="s">
        <v>12</v>
      </c>
      <c r="I459" s="6" t="s">
        <v>13</v>
      </c>
      <c r="J459" s="6" t="s">
        <v>14</v>
      </c>
      <c r="K459" s="6" t="s">
        <v>15</v>
      </c>
      <c r="L459" s="6" t="s">
        <v>16</v>
      </c>
    </row>
    <row r="460" spans="1:12">
      <c r="A460" s="1" t="s">
        <v>11</v>
      </c>
      <c r="B460" s="1">
        <f>C452</f>
        <v>340210</v>
      </c>
      <c r="C460" s="1">
        <v>354049</v>
      </c>
      <c r="D460" s="1">
        <f>C460-B460</f>
        <v>13839</v>
      </c>
      <c r="E460" s="7">
        <f>3476.89*1.15</f>
        <v>3998.4234999999994</v>
      </c>
      <c r="F460" s="7">
        <f>20793.95*1.15</f>
        <v>23913.0425</v>
      </c>
      <c r="G460" s="16">
        <f>(181.94+734.17)*1.15</f>
        <v>1053.5264999999997</v>
      </c>
      <c r="H460" s="1" t="s">
        <v>84</v>
      </c>
      <c r="I460" s="1">
        <v>28</v>
      </c>
      <c r="J460" s="7">
        <f>(E460+F460)/D460</f>
        <v>2.0168701495772816</v>
      </c>
      <c r="K460" s="1" t="s">
        <v>18</v>
      </c>
      <c r="L460" s="1">
        <f>D460/I460</f>
        <v>494.25</v>
      </c>
    </row>
    <row r="461" spans="1:12">
      <c r="A461" s="1" t="s">
        <v>7</v>
      </c>
      <c r="B461" s="1">
        <f>C453</f>
        <v>145280</v>
      </c>
      <c r="C461" s="1">
        <v>314745</v>
      </c>
      <c r="D461" s="1">
        <f>C461-B461</f>
        <v>169465</v>
      </c>
      <c r="E461" s="7"/>
      <c r="F461" s="7">
        <f>(47334.59+54322.24+116660.42+123083.98+18003.59)*1.15</f>
        <v>413315.54300000001</v>
      </c>
      <c r="G461" s="17">
        <f>(181.94+734.17+8548.48)*1.15</f>
        <v>10884.278499999999</v>
      </c>
      <c r="H461" s="1" t="s">
        <v>85</v>
      </c>
      <c r="I461" s="1">
        <v>31</v>
      </c>
      <c r="J461" s="17">
        <f>F461/D461</f>
        <v>2.4389433983418405</v>
      </c>
      <c r="K461" s="1" t="s">
        <v>34</v>
      </c>
      <c r="L461" s="1">
        <f>D461/I461</f>
        <v>5466.6129032258068</v>
      </c>
    </row>
    <row r="462" spans="1:12">
      <c r="A462" s="1" t="s">
        <v>8</v>
      </c>
      <c r="B462" s="1"/>
      <c r="C462" s="1"/>
      <c r="D462" s="1"/>
      <c r="E462" s="7"/>
      <c r="F462" s="7">
        <f>E460+F460+G460</f>
        <v>28964.9925</v>
      </c>
      <c r="G462" s="17"/>
      <c r="H462" s="1"/>
      <c r="I462" s="1"/>
      <c r="J462" s="1"/>
      <c r="K462" s="1"/>
      <c r="L462" s="1"/>
    </row>
    <row r="463" spans="1:12">
      <c r="A463" s="1" t="s">
        <v>9</v>
      </c>
      <c r="B463" s="1"/>
      <c r="C463" s="1"/>
      <c r="D463" s="1"/>
      <c r="E463" s="7"/>
      <c r="F463" s="7">
        <f>F461+G461</f>
        <v>424199.82150000002</v>
      </c>
      <c r="G463" s="17"/>
      <c r="H463" s="1"/>
      <c r="I463" s="1"/>
      <c r="J463" s="1"/>
      <c r="K463" s="1"/>
      <c r="L463" s="1"/>
    </row>
    <row r="464" spans="1:12">
      <c r="A464" s="1" t="s">
        <v>10</v>
      </c>
      <c r="B464" s="1"/>
      <c r="C464" s="1"/>
      <c r="D464" s="1"/>
      <c r="E464" s="7"/>
      <c r="F464" s="7">
        <f>F462-F463</f>
        <v>-395234.82900000003</v>
      </c>
      <c r="G464" s="17"/>
      <c r="H464" s="1"/>
      <c r="I464" s="1"/>
      <c r="J464" s="1"/>
      <c r="K464" s="1"/>
      <c r="L464" s="1"/>
    </row>
    <row r="466" spans="1:12">
      <c r="A466" s="14">
        <v>44866</v>
      </c>
      <c r="E466" s="2"/>
      <c r="F466" s="2"/>
    </row>
    <row r="467" spans="1:12">
      <c r="A467" s="6" t="s">
        <v>1</v>
      </c>
      <c r="B467" s="6" t="s">
        <v>2</v>
      </c>
      <c r="C467" s="6" t="s">
        <v>3</v>
      </c>
      <c r="D467" s="6" t="s">
        <v>4</v>
      </c>
      <c r="E467" s="6" t="s">
        <v>5</v>
      </c>
      <c r="F467" s="6" t="s">
        <v>6</v>
      </c>
      <c r="G467" s="6" t="s">
        <v>47</v>
      </c>
      <c r="H467" s="6" t="s">
        <v>12</v>
      </c>
      <c r="I467" s="6" t="s">
        <v>13</v>
      </c>
      <c r="J467" s="6" t="s">
        <v>14</v>
      </c>
      <c r="K467" s="6" t="s">
        <v>15</v>
      </c>
      <c r="L467" s="6" t="s">
        <v>16</v>
      </c>
    </row>
    <row r="468" spans="1:12">
      <c r="A468" s="1" t="s">
        <v>11</v>
      </c>
      <c r="B468" s="1">
        <f>C460</f>
        <v>354049</v>
      </c>
      <c r="C468" s="1">
        <v>370305</v>
      </c>
      <c r="D468" s="1">
        <f>C468-B468</f>
        <v>16256</v>
      </c>
      <c r="E468" s="7">
        <v>0</v>
      </c>
      <c r="F468" s="7">
        <f>29604.97*1.15</f>
        <v>34045.715499999998</v>
      </c>
      <c r="G468" s="16">
        <f>(181.94+734.17)*1.15</f>
        <v>1053.5264999999997</v>
      </c>
      <c r="H468" s="1" t="s">
        <v>86</v>
      </c>
      <c r="I468" s="1">
        <v>34</v>
      </c>
      <c r="J468" s="7">
        <f>(E468+F468)/D468</f>
        <v>2.0943476562500001</v>
      </c>
      <c r="K468" s="1" t="s">
        <v>18</v>
      </c>
      <c r="L468" s="1">
        <f>D468/I468</f>
        <v>478.11764705882354</v>
      </c>
    </row>
    <row r="469" spans="1:12">
      <c r="A469" s="1" t="s">
        <v>7</v>
      </c>
      <c r="B469" s="1">
        <v>70226</v>
      </c>
      <c r="C469" s="1">
        <v>370305</v>
      </c>
      <c r="D469" s="1">
        <f>C469-B469</f>
        <v>300079</v>
      </c>
      <c r="E469" s="7"/>
      <c r="F469" s="7">
        <f>(19451.22+280520.36+200851.04-2612.23-118058.42-48870.97-54322.24-116660.42-123083.98-18003.59-8548.48)*1.15</f>
        <v>12261.633500000033</v>
      </c>
      <c r="G469" s="17">
        <f>(181.94+734.17)*1.15</f>
        <v>1053.5264999999997</v>
      </c>
      <c r="H469" s="1" t="s">
        <v>87</v>
      </c>
      <c r="I469" s="1">
        <v>554</v>
      </c>
      <c r="J469" s="17">
        <f>F469/D469</f>
        <v>4.0861351510768938E-2</v>
      </c>
      <c r="K469" s="1" t="s">
        <v>18</v>
      </c>
      <c r="L469" s="1">
        <f>D469/I469</f>
        <v>541.65884476534291</v>
      </c>
    </row>
    <row r="470" spans="1:12">
      <c r="A470" s="1" t="s">
        <v>8</v>
      </c>
      <c r="B470" s="1"/>
      <c r="C470" s="1"/>
      <c r="D470" s="1"/>
      <c r="E470" s="7"/>
      <c r="F470" s="7">
        <f>E468+F468+G468</f>
        <v>35099.241999999998</v>
      </c>
      <c r="G470" s="17"/>
      <c r="H470" s="1"/>
      <c r="I470" s="1"/>
      <c r="J470" s="1"/>
      <c r="K470" s="1"/>
      <c r="L470" s="1"/>
    </row>
    <row r="471" spans="1:12">
      <c r="A471" s="1" t="s">
        <v>9</v>
      </c>
      <c r="B471" s="1"/>
      <c r="C471" s="1"/>
      <c r="D471" s="1"/>
      <c r="E471" s="7"/>
      <c r="F471" s="7">
        <f>F469+G469</f>
        <v>13315.160000000033</v>
      </c>
      <c r="G471" s="17"/>
      <c r="H471" s="1"/>
      <c r="I471" s="1"/>
      <c r="J471" s="1"/>
      <c r="K471" s="1"/>
      <c r="L471" s="1"/>
    </row>
    <row r="472" spans="1:12">
      <c r="A472" s="1" t="s">
        <v>10</v>
      </c>
      <c r="B472" s="1"/>
      <c r="C472" s="1"/>
      <c r="D472" s="1"/>
      <c r="E472" s="7"/>
      <c r="F472" s="7">
        <f>F470-F471</f>
        <v>21784.081999999966</v>
      </c>
      <c r="G472" s="17"/>
      <c r="H472" s="1"/>
      <c r="I472" s="1"/>
      <c r="J472" s="1"/>
      <c r="K472" s="1"/>
      <c r="L472" s="1"/>
    </row>
    <row r="474" spans="1:12">
      <c r="A474" s="14">
        <v>44896</v>
      </c>
      <c r="E474" s="2"/>
      <c r="F474" s="2"/>
    </row>
    <row r="475" spans="1:12">
      <c r="A475" s="6" t="s">
        <v>1</v>
      </c>
      <c r="B475" s="6" t="s">
        <v>2</v>
      </c>
      <c r="C475" s="6" t="s">
        <v>3</v>
      </c>
      <c r="D475" s="6" t="s">
        <v>4</v>
      </c>
      <c r="E475" s="6" t="s">
        <v>5</v>
      </c>
      <c r="F475" s="6" t="s">
        <v>6</v>
      </c>
      <c r="G475" s="6" t="s">
        <v>47</v>
      </c>
      <c r="H475" s="6" t="s">
        <v>12</v>
      </c>
      <c r="I475" s="6" t="s">
        <v>13</v>
      </c>
      <c r="J475" s="6" t="s">
        <v>14</v>
      </c>
      <c r="K475" s="6" t="s">
        <v>15</v>
      </c>
      <c r="L475" s="6" t="s">
        <v>16</v>
      </c>
    </row>
    <row r="476" spans="1:12">
      <c r="A476" s="1" t="s">
        <v>11</v>
      </c>
      <c r="B476" s="1">
        <f>C468</f>
        <v>370305</v>
      </c>
      <c r="C476" s="1">
        <v>383267</v>
      </c>
      <c r="D476" s="1">
        <f>C476-B476</f>
        <v>12962</v>
      </c>
      <c r="E476" s="7">
        <f>0.47*1.15</f>
        <v>0.54049999999999998</v>
      </c>
      <c r="F476" s="7">
        <f>22732.29*1.15</f>
        <v>26142.1335</v>
      </c>
      <c r="G476" s="16">
        <f>(181.94+734.17)*1.15</f>
        <v>1053.5264999999997</v>
      </c>
      <c r="H476" s="1" t="s">
        <v>88</v>
      </c>
      <c r="I476" s="1">
        <v>36</v>
      </c>
      <c r="J476" s="7">
        <f>(E476+F476)/D476</f>
        <v>2.0168703903718561</v>
      </c>
      <c r="K476" s="1" t="s">
        <v>18</v>
      </c>
      <c r="L476" s="1">
        <f>D476/I476</f>
        <v>360.05555555555554</v>
      </c>
    </row>
    <row r="477" spans="1:12">
      <c r="A477" s="1" t="s">
        <v>7</v>
      </c>
      <c r="B477" s="1">
        <v>370305</v>
      </c>
      <c r="C477" s="1">
        <v>385774</v>
      </c>
      <c r="D477" s="1">
        <f>C477-B477</f>
        <v>15469</v>
      </c>
      <c r="E477" s="7"/>
      <c r="F477" s="7">
        <f>27130.89*1.15</f>
        <v>31200.523499999996</v>
      </c>
      <c r="G477" s="17">
        <f>(181.94+734.17)*1.15</f>
        <v>1053.5264999999997</v>
      </c>
      <c r="H477" s="1" t="s">
        <v>89</v>
      </c>
      <c r="I477" s="1">
        <v>34</v>
      </c>
      <c r="J477" s="17">
        <f>F477/D477</f>
        <v>2.0169709418837671</v>
      </c>
      <c r="K477" s="1" t="s">
        <v>34</v>
      </c>
      <c r="L477" s="1">
        <f>D477/I477</f>
        <v>454.97058823529414</v>
      </c>
    </row>
    <row r="478" spans="1:12">
      <c r="A478" s="1" t="s">
        <v>8</v>
      </c>
      <c r="B478" s="1"/>
      <c r="C478" s="1"/>
      <c r="D478" s="1"/>
      <c r="E478" s="7"/>
      <c r="F478" s="7">
        <f>E476+F476+G476</f>
        <v>27196.200499999999</v>
      </c>
      <c r="G478" s="17"/>
      <c r="H478" s="1"/>
      <c r="I478" s="1"/>
      <c r="J478" s="1"/>
      <c r="K478" s="1"/>
      <c r="L478" s="1"/>
    </row>
    <row r="479" spans="1:12">
      <c r="A479" s="1" t="s">
        <v>9</v>
      </c>
      <c r="B479" s="1"/>
      <c r="C479" s="1"/>
      <c r="D479" s="1"/>
      <c r="E479" s="7"/>
      <c r="F479" s="7">
        <f>F477+G477</f>
        <v>32254.049999999996</v>
      </c>
      <c r="G479" s="17"/>
      <c r="H479" s="1"/>
      <c r="I479" s="1"/>
      <c r="J479" s="1"/>
      <c r="K479" s="1"/>
      <c r="L479" s="1"/>
    </row>
    <row r="480" spans="1:12">
      <c r="A480" s="1" t="s">
        <v>10</v>
      </c>
      <c r="B480" s="1"/>
      <c r="C480" s="1"/>
      <c r="D480" s="1"/>
      <c r="E480" s="7"/>
      <c r="F480" s="7">
        <f>F478-F479</f>
        <v>-5057.8494999999966</v>
      </c>
      <c r="G480" s="17"/>
      <c r="H480" s="1"/>
      <c r="I480" s="1"/>
      <c r="J480" s="1"/>
      <c r="K480" s="1"/>
      <c r="L480" s="1"/>
    </row>
  </sheetData>
  <pageMargins left="0.25" right="0.25" top="0.75" bottom="0.75" header="0.3" footer="0.3"/>
  <pageSetup paperSize="9" scale="78" fitToHeight="2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E6808-8801-4305-B91D-B3E871FBE653}">
  <dimension ref="A1:AF17"/>
  <sheetViews>
    <sheetView topLeftCell="B1" workbookViewId="0">
      <selection activeCell="AF11" sqref="AF11"/>
    </sheetView>
  </sheetViews>
  <sheetFormatPr defaultRowHeight="15"/>
  <cols>
    <col min="12" max="12" width="2" customWidth="1"/>
    <col min="14" max="15" width="12.5703125" hidden="1" customWidth="1"/>
    <col min="16" max="16" width="17.42578125" hidden="1" customWidth="1"/>
    <col min="17" max="17" width="8.5703125" customWidth="1"/>
    <col min="18" max="18" width="12.5703125" hidden="1" customWidth="1"/>
    <col min="19" max="19" width="9.140625" hidden="1" customWidth="1"/>
    <col min="20" max="20" width="17.42578125" hidden="1" customWidth="1"/>
    <col min="22" max="23" width="12.7109375" hidden="1" customWidth="1"/>
    <col min="24" max="24" width="20.7109375" hidden="1" customWidth="1"/>
    <col min="26" max="27" width="13.28515625" hidden="1" customWidth="1"/>
    <col min="28" max="28" width="17.42578125" hidden="1" customWidth="1"/>
    <col min="30" max="31" width="13.28515625" bestFit="1" customWidth="1"/>
    <col min="32" max="32" width="23.7109375" customWidth="1"/>
  </cols>
  <sheetData>
    <row r="1" spans="1:32" ht="18.75">
      <c r="A1" s="5" t="s">
        <v>90</v>
      </c>
    </row>
    <row r="2" spans="1:32">
      <c r="N2" t="s">
        <v>91</v>
      </c>
      <c r="O2" t="s">
        <v>92</v>
      </c>
      <c r="P2" t="s">
        <v>93</v>
      </c>
      <c r="R2" t="s">
        <v>91</v>
      </c>
      <c r="S2" t="s">
        <v>92</v>
      </c>
      <c r="T2" t="s">
        <v>93</v>
      </c>
      <c r="V2" t="s">
        <v>91</v>
      </c>
      <c r="W2" t="s">
        <v>92</v>
      </c>
      <c r="X2" t="s">
        <v>93</v>
      </c>
      <c r="Z2" s="4" t="s">
        <v>91</v>
      </c>
      <c r="AA2" s="4" t="s">
        <v>92</v>
      </c>
      <c r="AB2" s="4" t="s">
        <v>93</v>
      </c>
      <c r="AD2" s="4" t="s">
        <v>91</v>
      </c>
      <c r="AE2" s="4" t="s">
        <v>92</v>
      </c>
      <c r="AF2" s="4" t="s">
        <v>93</v>
      </c>
    </row>
    <row r="3" spans="1:32">
      <c r="M3" s="3">
        <v>43466</v>
      </c>
      <c r="N3" s="10">
        <v>1920.2999999999988</v>
      </c>
      <c r="O3" s="10">
        <v>0</v>
      </c>
      <c r="P3" s="13" t="s">
        <v>94</v>
      </c>
      <c r="Q3" s="3">
        <v>43586</v>
      </c>
      <c r="R3" s="10">
        <v>8670.91</v>
      </c>
      <c r="S3" s="10">
        <v>0</v>
      </c>
      <c r="T3" s="13" t="s">
        <v>94</v>
      </c>
      <c r="U3" s="3">
        <v>43952</v>
      </c>
      <c r="V3" s="10">
        <v>25807.159999999996</v>
      </c>
      <c r="W3" s="10">
        <v>0</v>
      </c>
      <c r="X3" s="13" t="s">
        <v>95</v>
      </c>
      <c r="Y3" s="3">
        <v>44317</v>
      </c>
      <c r="Z3" s="16">
        <v>27480.100000000002</v>
      </c>
      <c r="AA3" s="16">
        <v>29276.504499999999</v>
      </c>
      <c r="AB3" s="18" t="s">
        <v>94</v>
      </c>
      <c r="AC3" s="3">
        <v>44682</v>
      </c>
      <c r="AD3" s="16">
        <v>37578.998499999994</v>
      </c>
      <c r="AE3" s="16">
        <v>38522.906999999992</v>
      </c>
      <c r="AF3" s="18" t="s">
        <v>95</v>
      </c>
    </row>
    <row r="4" spans="1:32">
      <c r="M4" s="3">
        <v>43497</v>
      </c>
      <c r="N4" s="10">
        <v>3988.4800000000005</v>
      </c>
      <c r="O4" s="10">
        <v>0</v>
      </c>
      <c r="P4" s="13" t="s">
        <v>94</v>
      </c>
      <c r="Q4" s="3">
        <v>43617</v>
      </c>
      <c r="R4" s="10">
        <v>8895.77</v>
      </c>
      <c r="S4" s="10">
        <v>0</v>
      </c>
      <c r="T4" s="13" t="s">
        <v>94</v>
      </c>
      <c r="U4" s="3">
        <v>43983</v>
      </c>
      <c r="V4" s="10">
        <v>28825.490439999998</v>
      </c>
      <c r="W4" s="10">
        <v>0</v>
      </c>
      <c r="X4" s="13" t="s">
        <v>95</v>
      </c>
      <c r="Y4" s="3">
        <v>44348</v>
      </c>
      <c r="Z4" s="16">
        <v>29986.309999999998</v>
      </c>
      <c r="AA4" s="16">
        <v>5408.7029999999995</v>
      </c>
      <c r="AB4" s="18" t="s">
        <v>95</v>
      </c>
      <c r="AC4" s="3">
        <v>44713</v>
      </c>
      <c r="AD4" s="16">
        <v>40848.6325</v>
      </c>
      <c r="AE4" s="16">
        <v>1665.1884999999997</v>
      </c>
      <c r="AF4" s="18" t="s">
        <v>95</v>
      </c>
    </row>
    <row r="5" spans="1:32">
      <c r="M5" s="20">
        <v>43525</v>
      </c>
      <c r="N5" s="21">
        <v>4769.5399999999963</v>
      </c>
      <c r="O5" s="21">
        <v>0</v>
      </c>
      <c r="P5" s="22" t="s">
        <v>94</v>
      </c>
      <c r="Q5" s="3">
        <v>43647</v>
      </c>
      <c r="R5" s="10">
        <v>6132.19</v>
      </c>
      <c r="S5" s="10">
        <v>0</v>
      </c>
      <c r="T5" s="13" t="s">
        <v>94</v>
      </c>
      <c r="U5" s="3">
        <v>44013</v>
      </c>
      <c r="V5" s="10">
        <v>36448.614024999988</v>
      </c>
      <c r="W5" s="10">
        <v>0</v>
      </c>
      <c r="X5" s="13" t="s">
        <v>94</v>
      </c>
      <c r="Y5" s="3">
        <v>44378</v>
      </c>
      <c r="Z5" s="16">
        <v>36105.964999999997</v>
      </c>
      <c r="AA5" s="16">
        <v>3810.2949999999996</v>
      </c>
      <c r="AB5" s="18" t="s">
        <v>95</v>
      </c>
      <c r="AC5" s="3">
        <v>44743</v>
      </c>
      <c r="AD5" s="16">
        <v>41927.413</v>
      </c>
      <c r="AE5" s="16">
        <v>1586.2409999999995</v>
      </c>
      <c r="AF5" s="18" t="s">
        <v>95</v>
      </c>
    </row>
    <row r="6" spans="1:32">
      <c r="M6" s="3">
        <v>43556</v>
      </c>
      <c r="N6" s="10">
        <v>5530.3699999999981</v>
      </c>
      <c r="O6" s="10">
        <v>0</v>
      </c>
      <c r="P6" s="13" t="s">
        <v>94</v>
      </c>
      <c r="Q6" s="3">
        <v>43678</v>
      </c>
      <c r="R6" s="10">
        <v>17114.98</v>
      </c>
      <c r="S6" s="10">
        <v>0</v>
      </c>
      <c r="T6" s="13" t="s">
        <v>94</v>
      </c>
      <c r="U6" s="3">
        <v>44044</v>
      </c>
      <c r="V6" s="10">
        <v>29970.25</v>
      </c>
      <c r="W6" s="10">
        <v>0</v>
      </c>
      <c r="X6" s="13" t="s">
        <v>94</v>
      </c>
      <c r="Y6" s="3">
        <v>44409</v>
      </c>
      <c r="Z6" s="16">
        <v>57414.393999999993</v>
      </c>
      <c r="AA6" s="16">
        <v>4145.4969999999994</v>
      </c>
      <c r="AB6" s="18" t="s">
        <v>95</v>
      </c>
      <c r="AC6" s="3">
        <v>44774</v>
      </c>
      <c r="AD6" s="16">
        <v>44392.023999999998</v>
      </c>
      <c r="AE6" s="16">
        <v>1680.1384999999996</v>
      </c>
      <c r="AF6" s="18" t="s">
        <v>95</v>
      </c>
    </row>
    <row r="7" spans="1:32">
      <c r="Q7" s="3">
        <v>43709</v>
      </c>
      <c r="R7" s="10">
        <v>18630.84</v>
      </c>
      <c r="S7" s="10">
        <v>0</v>
      </c>
      <c r="T7" s="13" t="s">
        <v>94</v>
      </c>
      <c r="U7" s="3">
        <v>44075</v>
      </c>
      <c r="V7" s="10">
        <v>32996.421000000002</v>
      </c>
      <c r="W7" s="10">
        <v>0</v>
      </c>
      <c r="X7" s="13" t="s">
        <v>94</v>
      </c>
      <c r="Y7" s="3">
        <v>44440</v>
      </c>
      <c r="Z7" s="16">
        <v>23821.848999999998</v>
      </c>
      <c r="AA7" s="16">
        <v>3387.1754999999998</v>
      </c>
      <c r="AB7" s="18" t="s">
        <v>95</v>
      </c>
      <c r="AC7" s="3">
        <v>44805</v>
      </c>
      <c r="AD7" s="16">
        <v>33010.830499999996</v>
      </c>
      <c r="AE7" s="16">
        <v>1489.1694999999997</v>
      </c>
      <c r="AF7" s="18" t="s">
        <v>95</v>
      </c>
    </row>
    <row r="8" spans="1:32" ht="60.75">
      <c r="Q8" s="3">
        <v>43739</v>
      </c>
      <c r="R8" s="10">
        <v>3835.1809999999996</v>
      </c>
      <c r="S8" s="10">
        <v>0</v>
      </c>
      <c r="T8" s="13" t="s">
        <v>94</v>
      </c>
      <c r="U8" s="3">
        <v>44105</v>
      </c>
      <c r="V8" s="10">
        <v>22415.284500000002</v>
      </c>
      <c r="W8" s="10">
        <v>0</v>
      </c>
      <c r="X8" s="13" t="s">
        <v>94</v>
      </c>
      <c r="Y8" s="3">
        <v>44470</v>
      </c>
      <c r="Z8" s="16">
        <v>27985.570455000001</v>
      </c>
      <c r="AA8" s="16">
        <v>3211.3289999999997</v>
      </c>
      <c r="AB8" s="18" t="s">
        <v>95</v>
      </c>
      <c r="AC8" s="3">
        <v>44835</v>
      </c>
      <c r="AD8" s="16">
        <v>28964.9925</v>
      </c>
      <c r="AE8" s="16">
        <v>424199.82150000002</v>
      </c>
      <c r="AF8" s="19" t="s">
        <v>96</v>
      </c>
    </row>
    <row r="9" spans="1:32">
      <c r="Q9" s="3">
        <v>43770</v>
      </c>
      <c r="R9" s="10">
        <v>10274.452000000001</v>
      </c>
      <c r="S9" s="10">
        <v>0</v>
      </c>
      <c r="T9" s="13" t="s">
        <v>94</v>
      </c>
      <c r="U9" s="3">
        <v>44136</v>
      </c>
      <c r="V9" s="10">
        <v>20976.670000000002</v>
      </c>
      <c r="W9" s="10">
        <v>0</v>
      </c>
      <c r="X9" s="13" t="s">
        <v>94</v>
      </c>
      <c r="Y9" s="3">
        <v>44501</v>
      </c>
      <c r="Z9" s="16">
        <v>21958.156500000001</v>
      </c>
      <c r="AA9" s="16">
        <v>3231.1089999999999</v>
      </c>
      <c r="AB9" s="18" t="s">
        <v>95</v>
      </c>
      <c r="AC9" s="3">
        <v>44866</v>
      </c>
      <c r="AD9" s="16">
        <v>35099.241999999998</v>
      </c>
      <c r="AE9" s="16">
        <v>13315.160000000033</v>
      </c>
      <c r="AF9" s="18" t="s">
        <v>97</v>
      </c>
    </row>
    <row r="10" spans="1:32">
      <c r="Q10" s="3">
        <v>43800</v>
      </c>
      <c r="R10" s="10">
        <v>16886.155999999999</v>
      </c>
      <c r="S10" s="10">
        <v>0</v>
      </c>
      <c r="T10" s="13" t="s">
        <v>94</v>
      </c>
      <c r="U10" s="3">
        <v>44166</v>
      </c>
      <c r="V10" s="10">
        <v>30284.086575000001</v>
      </c>
      <c r="W10" s="10">
        <v>0</v>
      </c>
      <c r="X10" s="13" t="s">
        <v>94</v>
      </c>
      <c r="Y10" s="3">
        <v>44531</v>
      </c>
      <c r="Z10" s="16">
        <v>21210.3675</v>
      </c>
      <c r="AA10" s="16">
        <v>3365.1875</v>
      </c>
      <c r="AB10" s="18" t="s">
        <v>95</v>
      </c>
      <c r="AC10" s="3">
        <v>44896</v>
      </c>
      <c r="AD10" s="16">
        <v>27196.200499999999</v>
      </c>
      <c r="AE10" s="16">
        <v>32254.049999999996</v>
      </c>
      <c r="AF10" s="18" t="s">
        <v>95</v>
      </c>
    </row>
    <row r="11" spans="1:32">
      <c r="Q11" s="3">
        <v>43831</v>
      </c>
      <c r="R11" s="10">
        <f>729.35+1700.92+14218.96</f>
        <v>16649.23</v>
      </c>
      <c r="S11" s="10">
        <v>0</v>
      </c>
      <c r="T11" s="13" t="s">
        <v>94</v>
      </c>
      <c r="U11" s="3">
        <v>44197</v>
      </c>
      <c r="V11" s="16">
        <v>27568.030574999997</v>
      </c>
      <c r="W11" s="16"/>
      <c r="Y11" s="3">
        <v>44562</v>
      </c>
      <c r="Z11" s="16">
        <v>19312.733</v>
      </c>
      <c r="AA11" s="16">
        <v>3331.1244999999999</v>
      </c>
      <c r="AB11" s="18" t="s">
        <v>95</v>
      </c>
      <c r="AC11" s="3">
        <v>44927</v>
      </c>
      <c r="AD11" s="16"/>
      <c r="AE11" s="16"/>
      <c r="AF11" s="18"/>
    </row>
    <row r="12" spans="1:32">
      <c r="Q12" s="3">
        <v>43862</v>
      </c>
      <c r="R12" s="10">
        <v>15587.628999999999</v>
      </c>
      <c r="S12" s="10">
        <v>0</v>
      </c>
      <c r="T12" s="13" t="s">
        <v>94</v>
      </c>
      <c r="U12" s="3">
        <v>44228</v>
      </c>
      <c r="V12" s="16">
        <v>18549.120500000001</v>
      </c>
      <c r="W12" s="16"/>
      <c r="Y12" s="3">
        <v>44593</v>
      </c>
      <c r="Z12" s="16">
        <v>17535.731500000002</v>
      </c>
      <c r="AA12" s="16">
        <v>1814.4584999999997</v>
      </c>
      <c r="AB12" s="18" t="s">
        <v>95</v>
      </c>
      <c r="AC12" s="3">
        <v>44958</v>
      </c>
      <c r="AD12" s="16"/>
      <c r="AE12" s="16"/>
      <c r="AF12" s="18"/>
    </row>
    <row r="13" spans="1:32" ht="30">
      <c r="Q13" s="20">
        <v>43891</v>
      </c>
      <c r="R13" s="21">
        <v>22022.223999999998</v>
      </c>
      <c r="S13" s="21">
        <v>0</v>
      </c>
      <c r="T13" s="22" t="s">
        <v>94</v>
      </c>
      <c r="U13" s="20">
        <v>44256</v>
      </c>
      <c r="V13" s="23">
        <v>18328.504499999999</v>
      </c>
      <c r="W13" s="23">
        <v>72674.95</v>
      </c>
      <c r="X13" s="19" t="s">
        <v>98</v>
      </c>
      <c r="Y13" s="20">
        <v>44621</v>
      </c>
      <c r="Z13" s="16">
        <v>14242.154500000001</v>
      </c>
      <c r="AA13" s="16">
        <v>43574.097999999991</v>
      </c>
      <c r="AB13" s="18" t="s">
        <v>95</v>
      </c>
      <c r="AC13" s="3">
        <v>44986</v>
      </c>
      <c r="AD13" s="16"/>
      <c r="AE13" s="16"/>
      <c r="AF13" s="18"/>
    </row>
    <row r="14" spans="1:32">
      <c r="Q14" s="3">
        <v>43922</v>
      </c>
      <c r="R14" s="10">
        <v>23866.111999999997</v>
      </c>
      <c r="S14" s="10">
        <v>0</v>
      </c>
      <c r="T14" s="13" t="s">
        <v>95</v>
      </c>
      <c r="U14" s="3">
        <v>44287</v>
      </c>
      <c r="V14" s="16">
        <v>20710.479374999999</v>
      </c>
      <c r="W14" s="16">
        <v>1873.7639999999999</v>
      </c>
      <c r="X14" s="18" t="s">
        <v>95</v>
      </c>
      <c r="Y14" s="3">
        <v>44652</v>
      </c>
      <c r="Z14" s="16">
        <v>30496.7925</v>
      </c>
      <c r="AA14" s="16">
        <v>36293.102999999996</v>
      </c>
      <c r="AB14" s="18" t="s">
        <v>95</v>
      </c>
      <c r="AC14" s="3">
        <v>45017</v>
      </c>
      <c r="AD14" s="16"/>
      <c r="AE14" s="16"/>
      <c r="AF14" s="18"/>
    </row>
    <row r="15" spans="1:32">
      <c r="N15" s="11">
        <f>SUM(N3:N14)</f>
        <v>16208.689999999995</v>
      </c>
      <c r="O15" s="11">
        <f>SUM(O3:O14)</f>
        <v>0</v>
      </c>
      <c r="P15" s="11">
        <f>N15-O15</f>
        <v>16208.689999999995</v>
      </c>
      <c r="R15" s="11">
        <f>SUM(R3:R14)</f>
        <v>168565.674</v>
      </c>
      <c r="S15" s="11">
        <f>SUM(S3:S14)</f>
        <v>0</v>
      </c>
      <c r="T15" s="11">
        <f>R15-S15</f>
        <v>168565.674</v>
      </c>
      <c r="V15" s="11">
        <f>SUM(V3:V14)</f>
        <v>312880.11148999998</v>
      </c>
      <c r="W15" s="11">
        <f>SUM(W3:W14)</f>
        <v>74548.713999999993</v>
      </c>
      <c r="X15" s="11">
        <f>V15-W15</f>
        <v>238331.39749</v>
      </c>
      <c r="Z15" s="11">
        <f>SUM(Z3:Z14)</f>
        <v>327550.12395499996</v>
      </c>
      <c r="AA15" s="11">
        <f>SUM(AA3:AA14)</f>
        <v>140848.58449999997</v>
      </c>
      <c r="AB15" s="11">
        <f>Z15-AA15</f>
        <v>186701.53945499999</v>
      </c>
      <c r="AD15" s="11">
        <f>SUM(AD3:AD14)</f>
        <v>289018.33350000001</v>
      </c>
      <c r="AE15" s="11">
        <f>SUM(AE3:AE14)</f>
        <v>514712.67600000004</v>
      </c>
      <c r="AF15" s="11">
        <f>AD15-AE15</f>
        <v>-225694.34250000003</v>
      </c>
    </row>
    <row r="17" spans="13:13" ht="21">
      <c r="M17" s="9" t="s">
        <v>99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073FB-58D8-4A22-92E5-AC77676C52D8}">
  <dimension ref="A1:Y37"/>
  <sheetViews>
    <sheetView topLeftCell="A5" workbookViewId="0">
      <selection activeCell="Y36" sqref="Y36"/>
    </sheetView>
  </sheetViews>
  <sheetFormatPr defaultRowHeight="15"/>
  <cols>
    <col min="12" max="13" width="9.140625" hidden="1" customWidth="1"/>
    <col min="15" max="16" width="9.140625" hidden="1" customWidth="1"/>
    <col min="18" max="19" width="9.140625" hidden="1" customWidth="1"/>
    <col min="21" max="22" width="0" hidden="1" customWidth="1"/>
  </cols>
  <sheetData>
    <row r="1" spans="1:25" ht="18.75">
      <c r="A1" s="5" t="s">
        <v>100</v>
      </c>
    </row>
    <row r="2" spans="1:25">
      <c r="L2" t="s">
        <v>91</v>
      </c>
      <c r="M2" t="s">
        <v>92</v>
      </c>
      <c r="O2" t="s">
        <v>91</v>
      </c>
      <c r="P2" t="s">
        <v>92</v>
      </c>
      <c r="R2" t="s">
        <v>91</v>
      </c>
      <c r="S2" t="s">
        <v>92</v>
      </c>
      <c r="U2" t="s">
        <v>91</v>
      </c>
      <c r="V2" t="s">
        <v>92</v>
      </c>
      <c r="X2" t="s">
        <v>91</v>
      </c>
      <c r="Y2" t="s">
        <v>92</v>
      </c>
    </row>
    <row r="3" spans="1:25">
      <c r="K3" s="3">
        <v>43466</v>
      </c>
      <c r="L3">
        <v>8164</v>
      </c>
      <c r="M3">
        <v>0</v>
      </c>
      <c r="N3" s="3">
        <v>43586</v>
      </c>
      <c r="O3">
        <v>211</v>
      </c>
      <c r="P3">
        <v>0</v>
      </c>
      <c r="Q3" s="3">
        <v>43952</v>
      </c>
      <c r="R3" s="12">
        <v>11013</v>
      </c>
      <c r="T3" s="3">
        <v>44317</v>
      </c>
      <c r="U3">
        <v>14983</v>
      </c>
      <c r="V3">
        <v>15974</v>
      </c>
      <c r="W3" s="3">
        <v>44682</v>
      </c>
      <c r="X3">
        <v>18254</v>
      </c>
      <c r="Y3">
        <v>20004</v>
      </c>
    </row>
    <row r="4" spans="1:25">
      <c r="K4" s="3">
        <v>43497</v>
      </c>
      <c r="L4">
        <v>10839</v>
      </c>
      <c r="M4">
        <v>0</v>
      </c>
      <c r="N4" s="3">
        <v>43617</v>
      </c>
      <c r="O4">
        <v>34411</v>
      </c>
      <c r="P4">
        <v>0</v>
      </c>
      <c r="Q4" s="3">
        <v>43983</v>
      </c>
      <c r="R4" s="12">
        <v>9947</v>
      </c>
      <c r="T4" s="3">
        <v>44348</v>
      </c>
      <c r="U4">
        <v>22096</v>
      </c>
      <c r="V4">
        <v>2593</v>
      </c>
      <c r="W4" s="3">
        <v>44713</v>
      </c>
      <c r="X4">
        <v>21205</v>
      </c>
      <c r="Y4">
        <v>320</v>
      </c>
    </row>
    <row r="5" spans="1:25">
      <c r="K5" s="3">
        <v>43525</v>
      </c>
      <c r="L5">
        <v>9952</v>
      </c>
      <c r="M5">
        <v>0</v>
      </c>
      <c r="N5" s="3">
        <v>43647</v>
      </c>
      <c r="O5">
        <v>0</v>
      </c>
      <c r="P5">
        <v>0</v>
      </c>
      <c r="Q5" s="3">
        <v>44013</v>
      </c>
      <c r="R5" s="12">
        <v>44768</v>
      </c>
      <c r="T5" s="3">
        <v>44378</v>
      </c>
      <c r="U5">
        <v>19067</v>
      </c>
      <c r="V5">
        <v>1508</v>
      </c>
      <c r="W5" s="3">
        <v>44743</v>
      </c>
      <c r="X5">
        <v>20266</v>
      </c>
      <c r="Y5">
        <v>264</v>
      </c>
    </row>
    <row r="6" spans="1:25">
      <c r="K6" s="3">
        <v>43556</v>
      </c>
      <c r="L6">
        <v>15833</v>
      </c>
      <c r="M6">
        <v>0</v>
      </c>
      <c r="N6" s="3">
        <v>43678</v>
      </c>
      <c r="O6">
        <v>35148</v>
      </c>
      <c r="P6">
        <v>0</v>
      </c>
      <c r="Q6" s="3">
        <v>44044</v>
      </c>
      <c r="R6" s="12">
        <v>10786</v>
      </c>
      <c r="T6" s="3">
        <v>44409</v>
      </c>
      <c r="U6">
        <v>28873</v>
      </c>
      <c r="V6">
        <v>1686</v>
      </c>
      <c r="W6" s="3">
        <v>44774</v>
      </c>
      <c r="X6">
        <v>21488</v>
      </c>
      <c r="Y6">
        <v>311</v>
      </c>
    </row>
    <row r="7" spans="1:25">
      <c r="N7" s="3">
        <v>43709</v>
      </c>
      <c r="O7">
        <v>13161</v>
      </c>
      <c r="P7">
        <v>0</v>
      </c>
      <c r="Q7" s="3">
        <v>44075</v>
      </c>
      <c r="R7" s="12">
        <v>27696</v>
      </c>
      <c r="T7" s="3">
        <v>44440</v>
      </c>
      <c r="U7">
        <v>14213</v>
      </c>
      <c r="V7">
        <v>1283</v>
      </c>
      <c r="W7" s="3">
        <v>44805</v>
      </c>
      <c r="X7">
        <v>15845</v>
      </c>
      <c r="Y7">
        <v>216</v>
      </c>
    </row>
    <row r="8" spans="1:25">
      <c r="N8" s="3">
        <v>43739</v>
      </c>
      <c r="O8">
        <v>9381</v>
      </c>
      <c r="P8">
        <v>0</v>
      </c>
      <c r="Q8" s="3">
        <v>44105</v>
      </c>
      <c r="R8" s="12">
        <v>12811</v>
      </c>
      <c r="T8" s="3">
        <v>44470</v>
      </c>
      <c r="U8">
        <v>16659</v>
      </c>
      <c r="V8">
        <v>1189</v>
      </c>
      <c r="W8" s="3">
        <v>44835</v>
      </c>
      <c r="X8">
        <v>13839</v>
      </c>
      <c r="Y8">
        <v>169465</v>
      </c>
    </row>
    <row r="9" spans="1:25">
      <c r="N9" s="3">
        <v>43770</v>
      </c>
      <c r="O9">
        <v>10028</v>
      </c>
      <c r="P9">
        <v>0</v>
      </c>
      <c r="Q9" s="3">
        <v>44136</v>
      </c>
      <c r="R9" s="12">
        <v>18049</v>
      </c>
      <c r="T9" s="3">
        <v>44501</v>
      </c>
      <c r="U9">
        <v>15120</v>
      </c>
      <c r="V9">
        <v>1199</v>
      </c>
      <c r="W9" s="3">
        <v>44866</v>
      </c>
      <c r="X9">
        <v>16256</v>
      </c>
      <c r="Y9">
        <v>300079</v>
      </c>
    </row>
    <row r="10" spans="1:25">
      <c r="N10" s="3">
        <v>43800</v>
      </c>
      <c r="O10">
        <v>14968</v>
      </c>
      <c r="P10">
        <v>0</v>
      </c>
      <c r="Q10" s="3">
        <v>44166</v>
      </c>
      <c r="R10" s="12">
        <v>19648</v>
      </c>
      <c r="T10" s="3">
        <v>44531</v>
      </c>
      <c r="U10">
        <v>12528</v>
      </c>
      <c r="V10">
        <v>1271</v>
      </c>
      <c r="W10" s="3">
        <v>44896</v>
      </c>
      <c r="X10">
        <v>12962</v>
      </c>
      <c r="Y10">
        <v>15469</v>
      </c>
    </row>
    <row r="11" spans="1:25">
      <c r="N11" s="3">
        <v>43831</v>
      </c>
      <c r="O11" s="12">
        <v>8335</v>
      </c>
      <c r="Q11" s="3">
        <v>44197</v>
      </c>
      <c r="R11">
        <v>8675</v>
      </c>
      <c r="T11" s="3">
        <v>44562</v>
      </c>
      <c r="U11">
        <v>8953</v>
      </c>
      <c r="V11">
        <v>1252</v>
      </c>
      <c r="W11" s="3">
        <v>44927</v>
      </c>
    </row>
    <row r="12" spans="1:25">
      <c r="N12" s="3">
        <v>43862</v>
      </c>
      <c r="O12" s="12">
        <v>9268</v>
      </c>
      <c r="Q12" s="3">
        <v>44228</v>
      </c>
      <c r="R12">
        <v>11594</v>
      </c>
      <c r="T12" s="3">
        <v>44593</v>
      </c>
      <c r="U12">
        <v>11835</v>
      </c>
      <c r="V12">
        <v>445</v>
      </c>
      <c r="W12" s="3">
        <v>44958</v>
      </c>
    </row>
    <row r="13" spans="1:25">
      <c r="N13" s="3">
        <v>43891</v>
      </c>
      <c r="O13" s="12">
        <v>11536</v>
      </c>
      <c r="Q13" s="20">
        <v>44256</v>
      </c>
      <c r="R13">
        <v>15175</v>
      </c>
      <c r="S13">
        <v>26395</v>
      </c>
      <c r="T13" s="20">
        <v>44621</v>
      </c>
      <c r="U13">
        <v>10493</v>
      </c>
      <c r="V13">
        <v>22696</v>
      </c>
      <c r="W13" s="3">
        <v>44986</v>
      </c>
    </row>
    <row r="14" spans="1:25">
      <c r="N14" s="3">
        <v>43922</v>
      </c>
      <c r="O14" s="12">
        <v>10649</v>
      </c>
      <c r="Q14" s="3">
        <v>44287</v>
      </c>
      <c r="R14">
        <v>10658</v>
      </c>
      <c r="S14">
        <v>622</v>
      </c>
      <c r="T14" s="3">
        <v>44652</v>
      </c>
      <c r="U14">
        <v>15728</v>
      </c>
      <c r="V14">
        <v>18817</v>
      </c>
      <c r="W14" s="3">
        <v>45017</v>
      </c>
    </row>
    <row r="24" spans="11:25">
      <c r="K24" s="15" t="s">
        <v>101</v>
      </c>
    </row>
    <row r="25" spans="11:25">
      <c r="L25" t="s">
        <v>91</v>
      </c>
      <c r="M25" t="s">
        <v>92</v>
      </c>
      <c r="O25" t="s">
        <v>91</v>
      </c>
      <c r="P25" t="s">
        <v>92</v>
      </c>
      <c r="R25" t="s">
        <v>91</v>
      </c>
      <c r="S25" t="s">
        <v>92</v>
      </c>
      <c r="U25" t="s">
        <v>91</v>
      </c>
      <c r="V25" t="s">
        <v>92</v>
      </c>
      <c r="X25" t="s">
        <v>91</v>
      </c>
      <c r="Y25" t="s">
        <v>92</v>
      </c>
    </row>
    <row r="26" spans="11:25">
      <c r="K26" s="3">
        <v>43466</v>
      </c>
      <c r="L26" s="12">
        <v>388.76190476190476</v>
      </c>
      <c r="M26">
        <v>0</v>
      </c>
      <c r="N26" s="3">
        <v>43586</v>
      </c>
      <c r="O26" s="12">
        <v>7.0333333333333332</v>
      </c>
      <c r="P26">
        <v>0</v>
      </c>
      <c r="Q26" s="3">
        <v>43952</v>
      </c>
      <c r="R26" s="12">
        <v>380</v>
      </c>
      <c r="T26" s="3">
        <v>44317</v>
      </c>
      <c r="U26" s="12">
        <v>516.65517241379314</v>
      </c>
      <c r="V26" s="12">
        <v>1597.4</v>
      </c>
      <c r="W26" s="3">
        <v>44682</v>
      </c>
      <c r="X26" s="12">
        <v>521.54285714285709</v>
      </c>
      <c r="Y26" s="12">
        <v>666.8</v>
      </c>
    </row>
    <row r="27" spans="11:25">
      <c r="K27" s="3">
        <v>43497</v>
      </c>
      <c r="L27" s="12">
        <v>401.44444444444446</v>
      </c>
      <c r="M27">
        <v>0</v>
      </c>
      <c r="N27" s="3">
        <v>43617</v>
      </c>
      <c r="O27" s="12">
        <v>1228.9642857142858</v>
      </c>
      <c r="P27">
        <v>0</v>
      </c>
      <c r="Q27" s="3">
        <v>43983</v>
      </c>
      <c r="R27" s="12">
        <v>321</v>
      </c>
      <c r="T27" s="3">
        <v>44348</v>
      </c>
      <c r="U27" s="12">
        <v>649.88235294117646</v>
      </c>
      <c r="V27" s="12">
        <v>63.243902439024389</v>
      </c>
      <c r="W27" s="3">
        <v>44713</v>
      </c>
      <c r="X27" s="12">
        <v>757.32142857142856</v>
      </c>
      <c r="Y27" s="12">
        <v>10.666666666666666</v>
      </c>
    </row>
    <row r="28" spans="11:25">
      <c r="K28" s="3">
        <v>43525</v>
      </c>
      <c r="L28" s="12">
        <v>321.03225806451616</v>
      </c>
      <c r="M28">
        <v>0</v>
      </c>
      <c r="N28" s="3">
        <v>43647</v>
      </c>
      <c r="O28" s="12">
        <v>0</v>
      </c>
      <c r="P28">
        <v>0</v>
      </c>
      <c r="Q28" s="3">
        <v>44013</v>
      </c>
      <c r="R28" s="12">
        <v>1444</v>
      </c>
      <c r="T28" s="3">
        <v>44378</v>
      </c>
      <c r="U28" s="12">
        <v>680.96428571428567</v>
      </c>
      <c r="V28" s="12">
        <v>60.32</v>
      </c>
      <c r="W28" s="3">
        <v>44743</v>
      </c>
      <c r="X28" s="12">
        <v>723.78571428571433</v>
      </c>
      <c r="Y28" s="12">
        <v>10</v>
      </c>
    </row>
    <row r="29" spans="11:25">
      <c r="K29" s="3">
        <v>43556</v>
      </c>
      <c r="L29" s="12">
        <v>510.74193548387098</v>
      </c>
      <c r="M29">
        <v>0</v>
      </c>
      <c r="N29" s="3">
        <v>43678</v>
      </c>
      <c r="O29" s="12">
        <v>1033.7647058823529</v>
      </c>
      <c r="P29">
        <v>0</v>
      </c>
      <c r="Q29" s="3">
        <v>44044</v>
      </c>
      <c r="R29" s="12">
        <v>348</v>
      </c>
      <c r="T29" s="3">
        <v>44409</v>
      </c>
      <c r="U29" s="12">
        <v>824.94285714285718</v>
      </c>
      <c r="V29" s="12">
        <v>52.6875</v>
      </c>
      <c r="W29" s="3">
        <v>44774</v>
      </c>
      <c r="X29" s="12">
        <v>632</v>
      </c>
      <c r="Y29" s="12">
        <v>8.8857142857142861</v>
      </c>
    </row>
    <row r="30" spans="11:25">
      <c r="N30" s="3">
        <v>43709</v>
      </c>
      <c r="O30" s="12">
        <v>572.21739130434787</v>
      </c>
      <c r="P30">
        <v>0</v>
      </c>
      <c r="Q30" s="3">
        <v>44075</v>
      </c>
      <c r="R30" s="12">
        <v>923</v>
      </c>
      <c r="T30" s="3">
        <v>44440</v>
      </c>
      <c r="U30" s="12">
        <v>526.40740740740739</v>
      </c>
      <c r="V30" s="12">
        <v>42.766666666666666</v>
      </c>
      <c r="W30" s="3">
        <v>44805</v>
      </c>
      <c r="X30" s="12">
        <v>546.37931034482756</v>
      </c>
      <c r="Y30" s="12">
        <v>7.2</v>
      </c>
    </row>
    <row r="31" spans="11:25">
      <c r="N31" s="3">
        <v>43739</v>
      </c>
      <c r="O31" s="12">
        <v>275.91176470588238</v>
      </c>
      <c r="P31">
        <v>0</v>
      </c>
      <c r="Q31" s="3">
        <v>44105</v>
      </c>
      <c r="R31" s="12">
        <v>413</v>
      </c>
      <c r="T31" s="3">
        <v>44470</v>
      </c>
      <c r="U31" s="12">
        <v>594.96428571428567</v>
      </c>
      <c r="V31" s="12">
        <v>41</v>
      </c>
      <c r="W31" s="3">
        <v>44835</v>
      </c>
      <c r="X31" s="12">
        <v>494.25</v>
      </c>
      <c r="Y31" s="12">
        <v>5456</v>
      </c>
    </row>
    <row r="32" spans="11:25">
      <c r="N32" s="3">
        <v>43770</v>
      </c>
      <c r="O32" s="12">
        <v>345.79310344827587</v>
      </c>
      <c r="P32">
        <v>0</v>
      </c>
      <c r="Q32" s="3">
        <v>44136</v>
      </c>
      <c r="R32" s="12">
        <v>722</v>
      </c>
      <c r="T32" s="3">
        <v>44501</v>
      </c>
      <c r="U32" s="12">
        <v>432</v>
      </c>
      <c r="V32" s="12">
        <v>37.46875</v>
      </c>
      <c r="W32" s="3">
        <v>44866</v>
      </c>
      <c r="X32" s="12">
        <v>478.11764705882354</v>
      </c>
      <c r="Y32" s="12">
        <v>541.65884476534291</v>
      </c>
    </row>
    <row r="33" spans="14:25">
      <c r="N33" s="3">
        <v>43800</v>
      </c>
      <c r="O33" s="12">
        <v>384</v>
      </c>
      <c r="P33">
        <v>0</v>
      </c>
      <c r="Q33" s="3">
        <v>44166</v>
      </c>
      <c r="R33" s="12">
        <v>457</v>
      </c>
      <c r="T33" s="3">
        <v>44531</v>
      </c>
      <c r="U33" s="12">
        <v>391.5</v>
      </c>
      <c r="V33" s="12">
        <v>41</v>
      </c>
      <c r="W33" s="3">
        <v>44896</v>
      </c>
      <c r="X33" s="12">
        <v>360.05555555555554</v>
      </c>
      <c r="Y33" s="12">
        <v>454.97058823529414</v>
      </c>
    </row>
    <row r="34" spans="14:25">
      <c r="N34" s="3">
        <v>43831</v>
      </c>
      <c r="O34" s="12">
        <v>326</v>
      </c>
      <c r="Q34" s="3">
        <v>44197</v>
      </c>
      <c r="R34" s="12">
        <v>413.09523809523807</v>
      </c>
      <c r="S34" s="12"/>
      <c r="T34" s="3">
        <v>44562</v>
      </c>
      <c r="U34" s="12">
        <v>358.12</v>
      </c>
      <c r="V34" s="12">
        <v>40.387096774193552</v>
      </c>
      <c r="W34" s="3">
        <v>44927</v>
      </c>
      <c r="X34" s="12"/>
      <c r="Y34" s="12"/>
    </row>
    <row r="35" spans="14:25">
      <c r="N35" s="3">
        <v>43862</v>
      </c>
      <c r="O35" s="12">
        <v>309</v>
      </c>
      <c r="Q35" s="3">
        <v>44228</v>
      </c>
      <c r="R35" s="12">
        <v>374</v>
      </c>
      <c r="S35" s="12"/>
      <c r="T35" s="3">
        <v>44593</v>
      </c>
      <c r="U35" s="12">
        <v>408</v>
      </c>
      <c r="V35" s="12">
        <v>41</v>
      </c>
      <c r="W35" s="3">
        <v>44958</v>
      </c>
      <c r="X35" s="12"/>
      <c r="Y35" s="12"/>
    </row>
    <row r="36" spans="14:25">
      <c r="N36" s="3">
        <v>43891</v>
      </c>
      <c r="O36" s="12">
        <v>461</v>
      </c>
      <c r="Q36" s="20">
        <v>44256</v>
      </c>
      <c r="R36" s="12">
        <v>421.52777777777777</v>
      </c>
      <c r="S36" s="12">
        <v>19.044011544011543</v>
      </c>
      <c r="T36" s="20">
        <v>44621</v>
      </c>
      <c r="U36" s="12">
        <v>308.61764705882354</v>
      </c>
      <c r="V36" s="12">
        <v>472.83333333333331</v>
      </c>
      <c r="W36" s="3">
        <v>44986</v>
      </c>
      <c r="X36" s="12"/>
      <c r="Y36" s="12"/>
    </row>
    <row r="37" spans="14:25">
      <c r="N37" s="3">
        <v>43922</v>
      </c>
      <c r="O37" s="12">
        <v>313</v>
      </c>
      <c r="Q37" s="3">
        <v>44287</v>
      </c>
      <c r="R37" s="12">
        <v>463.39130434782606</v>
      </c>
      <c r="S37" s="12">
        <v>22.214285714285715</v>
      </c>
      <c r="T37" s="3">
        <v>44652</v>
      </c>
      <c r="U37" s="12">
        <v>561.71428571428567</v>
      </c>
      <c r="V37" s="12">
        <v>588.03125</v>
      </c>
      <c r="W37" s="3">
        <v>45017</v>
      </c>
      <c r="X37" s="12"/>
      <c r="Y37" s="1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5434E-DD76-451B-A562-DCFC93A0277C}">
  <dimension ref="A1:AA18"/>
  <sheetViews>
    <sheetView workbookViewId="0">
      <selection activeCell="AA16" sqref="AA16"/>
    </sheetView>
  </sheetViews>
  <sheetFormatPr defaultRowHeight="15"/>
  <cols>
    <col min="2" max="2" width="10.7109375" bestFit="1" customWidth="1"/>
    <col min="10" max="10" width="6.140625" customWidth="1"/>
    <col min="11" max="11" width="3.28515625" customWidth="1"/>
    <col min="12" max="12" width="9.140625" customWidth="1"/>
    <col min="13" max="14" width="9.140625" hidden="1" customWidth="1"/>
    <col min="15" max="15" width="9.140625" customWidth="1"/>
    <col min="16" max="17" width="9.140625" hidden="1" customWidth="1"/>
    <col min="18" max="18" width="9.140625" customWidth="1"/>
    <col min="19" max="20" width="9.140625" hidden="1" customWidth="1"/>
    <col min="22" max="23" width="0" hidden="1" customWidth="1"/>
    <col min="27" max="27" width="18.140625" customWidth="1"/>
  </cols>
  <sheetData>
    <row r="1" spans="1:27" ht="18.75">
      <c r="A1" s="5" t="s">
        <v>102</v>
      </c>
    </row>
    <row r="4" spans="1:27">
      <c r="M4" t="s">
        <v>91</v>
      </c>
      <c r="N4" t="s">
        <v>92</v>
      </c>
      <c r="P4" t="s">
        <v>91</v>
      </c>
      <c r="Q4" t="s">
        <v>92</v>
      </c>
      <c r="S4" t="s">
        <v>91</v>
      </c>
      <c r="T4" t="s">
        <v>92</v>
      </c>
      <c r="V4" t="s">
        <v>91</v>
      </c>
      <c r="W4" t="s">
        <v>92</v>
      </c>
      <c r="Y4" t="s">
        <v>91</v>
      </c>
      <c r="Z4" t="s">
        <v>92</v>
      </c>
    </row>
    <row r="5" spans="1:27">
      <c r="L5" s="3">
        <v>43466</v>
      </c>
      <c r="M5" s="10">
        <v>1.92</v>
      </c>
      <c r="N5" s="10"/>
      <c r="O5" s="3">
        <v>43586</v>
      </c>
      <c r="P5" s="10">
        <v>1.92</v>
      </c>
      <c r="Q5" s="10"/>
      <c r="R5" s="3">
        <v>43952</v>
      </c>
      <c r="S5" s="10">
        <v>2.34</v>
      </c>
      <c r="T5" s="10"/>
      <c r="U5" s="3">
        <v>44317</v>
      </c>
      <c r="V5" s="16">
        <v>1.8340852966695589</v>
      </c>
      <c r="W5" s="16">
        <v>1.747809221234506</v>
      </c>
      <c r="X5" s="3">
        <v>44682</v>
      </c>
      <c r="Y5" s="16">
        <v>2</v>
      </c>
      <c r="Z5" s="16">
        <v>1.88</v>
      </c>
    </row>
    <row r="6" spans="1:27" ht="45.75">
      <c r="L6" s="20">
        <v>43497</v>
      </c>
      <c r="M6" s="21">
        <v>1.92</v>
      </c>
      <c r="N6" s="21"/>
      <c r="O6" s="20">
        <v>43617</v>
      </c>
      <c r="P6" s="21">
        <v>1.92</v>
      </c>
      <c r="Q6" s="21"/>
      <c r="R6" s="20">
        <v>43983</v>
      </c>
      <c r="S6" s="21">
        <v>2.9</v>
      </c>
      <c r="T6" s="21"/>
      <c r="U6" s="20">
        <v>44348</v>
      </c>
      <c r="V6" s="23">
        <v>1.3570922338884865</v>
      </c>
      <c r="W6" s="23">
        <v>1.7078320478210565</v>
      </c>
      <c r="X6" s="20">
        <v>44713</v>
      </c>
      <c r="Y6" s="23">
        <v>1.8766850271162461</v>
      </c>
      <c r="Z6" s="23">
        <v>1.9114437499999997</v>
      </c>
      <c r="AA6" s="24" t="s">
        <v>103</v>
      </c>
    </row>
    <row r="7" spans="1:27">
      <c r="L7" s="3">
        <v>43525</v>
      </c>
      <c r="M7" s="10">
        <v>1.92</v>
      </c>
      <c r="N7" s="10"/>
      <c r="O7" s="3">
        <v>43647</v>
      </c>
      <c r="P7" s="10">
        <v>2.16</v>
      </c>
      <c r="Q7" s="10"/>
      <c r="R7" s="3">
        <v>44013</v>
      </c>
      <c r="S7" s="10">
        <v>0.81416668211669019</v>
      </c>
      <c r="T7" s="10"/>
      <c r="U7" s="3">
        <v>44378</v>
      </c>
      <c r="V7" s="16">
        <v>1.8936363874757431</v>
      </c>
      <c r="W7" s="16">
        <v>1.8766581564986735</v>
      </c>
      <c r="X7" s="3">
        <v>44743</v>
      </c>
      <c r="Y7" s="16">
        <v>2.0168699546037701</v>
      </c>
      <c r="Z7" s="16">
        <v>2.0168699546037701</v>
      </c>
    </row>
    <row r="8" spans="1:27">
      <c r="L8" s="3">
        <v>43556</v>
      </c>
      <c r="M8" s="10">
        <v>1.92</v>
      </c>
      <c r="N8" s="10"/>
      <c r="O8" s="3">
        <v>43678</v>
      </c>
      <c r="P8" s="10">
        <v>2.16</v>
      </c>
      <c r="Q8" s="10"/>
      <c r="R8" s="3">
        <v>44044</v>
      </c>
      <c r="S8" s="10">
        <v>2.78</v>
      </c>
      <c r="T8" s="10"/>
      <c r="U8" s="3">
        <v>44409</v>
      </c>
      <c r="V8" s="16">
        <v>1.9545630693035014</v>
      </c>
      <c r="W8" s="16">
        <v>1.8773443060498221</v>
      </c>
      <c r="X8" s="3">
        <v>44774</v>
      </c>
      <c r="Y8" s="16">
        <v>2.0168697645197318</v>
      </c>
      <c r="Z8" s="16">
        <v>2.0148295819935691</v>
      </c>
    </row>
    <row r="9" spans="1:27">
      <c r="O9" s="3">
        <v>43709</v>
      </c>
      <c r="P9" s="10">
        <v>1.4156097560975609</v>
      </c>
      <c r="Q9" s="10"/>
      <c r="R9" s="3">
        <v>44075</v>
      </c>
      <c r="S9" s="10">
        <v>1.19</v>
      </c>
      <c r="T9" s="10"/>
      <c r="U9" s="3">
        <v>44440</v>
      </c>
      <c r="V9" s="16">
        <v>1.6070888974882149</v>
      </c>
      <c r="W9" s="16">
        <v>1.8759789555728759</v>
      </c>
      <c r="X9" s="3">
        <v>44805</v>
      </c>
      <c r="Y9" s="16">
        <v>2.02</v>
      </c>
      <c r="Z9" s="16">
        <v>2.02</v>
      </c>
    </row>
    <row r="10" spans="1:27">
      <c r="O10" s="3">
        <v>43739</v>
      </c>
      <c r="P10" s="10">
        <v>0.41</v>
      </c>
      <c r="Q10" s="10"/>
      <c r="R10" s="3">
        <v>44105</v>
      </c>
      <c r="S10" s="10">
        <v>1.75</v>
      </c>
      <c r="T10" s="10"/>
      <c r="U10" s="3">
        <v>44470</v>
      </c>
      <c r="V10" s="16">
        <v>1.6210622459331292</v>
      </c>
      <c r="W10" s="16">
        <v>1.8763957106812446</v>
      </c>
      <c r="X10" s="3">
        <v>44835</v>
      </c>
      <c r="Y10" s="16">
        <v>2.0168701495772816</v>
      </c>
      <c r="Z10" s="16">
        <v>2.44</v>
      </c>
      <c r="AA10" t="s">
        <v>104</v>
      </c>
    </row>
    <row r="11" spans="1:27">
      <c r="O11" s="3">
        <v>43770</v>
      </c>
      <c r="P11" s="10">
        <v>1.02</v>
      </c>
      <c r="Q11" s="10"/>
      <c r="R11" s="3">
        <v>44136</v>
      </c>
      <c r="S11" s="10">
        <v>1.1622067704581973</v>
      </c>
      <c r="T11" s="10"/>
      <c r="U11" s="3">
        <v>44501</v>
      </c>
      <c r="V11" s="16">
        <v>1.3874247354497355</v>
      </c>
      <c r="W11" s="16">
        <v>1.877243119266055</v>
      </c>
      <c r="X11" s="3">
        <v>44866</v>
      </c>
      <c r="Y11" s="16">
        <v>2.0943476562500001</v>
      </c>
      <c r="Z11" s="16">
        <v>4.0861351510768938E-2</v>
      </c>
      <c r="AA11" t="s">
        <v>105</v>
      </c>
    </row>
    <row r="12" spans="1:27">
      <c r="O12" s="3">
        <v>43800</v>
      </c>
      <c r="P12" s="10">
        <v>1.128150454302512</v>
      </c>
      <c r="Q12" s="10"/>
      <c r="R12" s="3">
        <v>44166</v>
      </c>
      <c r="S12" s="10">
        <v>1.54</v>
      </c>
      <c r="T12" s="10"/>
      <c r="U12" s="3">
        <v>44531</v>
      </c>
      <c r="V12" s="16">
        <v>1.6147887132822478</v>
      </c>
      <c r="W12" s="16">
        <v>1.8763910306845004</v>
      </c>
      <c r="X12" s="3">
        <v>44896</v>
      </c>
      <c r="Y12" s="16">
        <v>2.0168703903718561</v>
      </c>
      <c r="Z12" s="16">
        <v>2.0169709418837671</v>
      </c>
    </row>
    <row r="13" spans="1:27">
      <c r="O13" s="3">
        <v>43831</v>
      </c>
      <c r="P13" s="10">
        <v>2</v>
      </c>
      <c r="Q13" s="10"/>
      <c r="R13" s="3">
        <v>44197</v>
      </c>
      <c r="S13" s="16">
        <v>3.1778709596541783</v>
      </c>
      <c r="T13" s="16"/>
      <c r="U13" s="3">
        <v>44562</v>
      </c>
      <c r="V13" s="16">
        <v>2.0499999999999998</v>
      </c>
      <c r="W13" s="16">
        <v>1.88</v>
      </c>
      <c r="X13" s="3">
        <v>44927</v>
      </c>
      <c r="Y13" s="16"/>
      <c r="Z13" s="16"/>
    </row>
    <row r="14" spans="1:27">
      <c r="O14" s="3">
        <v>43862</v>
      </c>
      <c r="P14" s="10">
        <v>1.6818762408286576</v>
      </c>
      <c r="Q14" s="10"/>
      <c r="R14" s="3">
        <v>44228</v>
      </c>
      <c r="S14" s="16">
        <v>1.5998896411937209</v>
      </c>
      <c r="T14" s="16"/>
      <c r="U14" s="3">
        <v>44593</v>
      </c>
      <c r="V14" s="16">
        <v>1.3988539923954375</v>
      </c>
      <c r="W14" s="16">
        <v>1.8745258426966291</v>
      </c>
      <c r="X14" s="3">
        <v>44958</v>
      </c>
      <c r="Y14" s="16"/>
      <c r="Z14" s="16"/>
    </row>
    <row r="15" spans="1:27">
      <c r="O15" s="3">
        <v>43891</v>
      </c>
      <c r="P15" s="10">
        <v>1.9089999999999998</v>
      </c>
      <c r="Q15" s="10"/>
      <c r="R15" s="20">
        <v>44256</v>
      </c>
      <c r="S15" s="16">
        <v>1.2078091927512355</v>
      </c>
      <c r="T15" s="16">
        <v>2.7533604849403295</v>
      </c>
      <c r="U15" s="20">
        <v>44621</v>
      </c>
      <c r="V15" s="16">
        <v>1.26</v>
      </c>
      <c r="W15" s="16">
        <v>1.876709706556221</v>
      </c>
      <c r="X15" s="3">
        <v>44986</v>
      </c>
      <c r="Y15" s="16"/>
      <c r="Z15" s="16"/>
    </row>
    <row r="16" spans="1:27">
      <c r="O16" s="3">
        <v>43922</v>
      </c>
      <c r="P16" s="10">
        <v>2.2400000000000002</v>
      </c>
      <c r="Q16" s="10"/>
      <c r="R16" s="3">
        <v>44287</v>
      </c>
      <c r="S16" s="16">
        <v>1.9431862802589603</v>
      </c>
      <c r="T16" s="16">
        <v>1.6370675241157555</v>
      </c>
      <c r="U16" s="3">
        <v>44652</v>
      </c>
      <c r="V16" s="16">
        <v>1.88</v>
      </c>
      <c r="W16" s="16">
        <v>1.88</v>
      </c>
      <c r="X16" s="3">
        <v>45017</v>
      </c>
      <c r="Y16" s="16"/>
      <c r="Z16" s="16"/>
    </row>
    <row r="17" spans="13:14">
      <c r="M17" s="10"/>
      <c r="N17" s="10"/>
    </row>
    <row r="18" spans="13:14">
      <c r="M18" s="10"/>
      <c r="N18" s="1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3" ma:contentTypeDescription="Create a new document." ma:contentTypeScope="" ma:versionID="d598c60eba24d11febc9cfa4b16b717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f5811d9df039ed1de00da0905aeac536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A56C6C-96B8-4A27-9C96-37C60C4E34DB}"/>
</file>

<file path=customXml/itemProps2.xml><?xml version="1.0" encoding="utf-8"?>
<ds:datastoreItem xmlns:ds="http://schemas.openxmlformats.org/officeDocument/2006/customXml" ds:itemID="{5BE49016-B17A-4B6E-B275-E173457BAD78}"/>
</file>

<file path=customXml/itemProps3.xml><?xml version="1.0" encoding="utf-8"?>
<ds:datastoreItem xmlns:ds="http://schemas.openxmlformats.org/officeDocument/2006/customXml" ds:itemID="{A71BD396-4567-4710-9626-75B9BF7DC1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 .</dc:creator>
  <cp:keywords/>
  <dc:description/>
  <cp:lastModifiedBy>Zerilda</cp:lastModifiedBy>
  <cp:revision/>
  <dcterms:created xsi:type="dcterms:W3CDTF">2019-06-04T09:08:15Z</dcterms:created>
  <dcterms:modified xsi:type="dcterms:W3CDTF">2023-01-20T10:13:51Z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