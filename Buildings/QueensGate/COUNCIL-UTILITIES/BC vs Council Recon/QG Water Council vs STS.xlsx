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QG\Utilities Back Date\"/>
    </mc:Choice>
  </mc:AlternateContent>
  <xr:revisionPtr revIDLastSave="344" documentId="13_ncr:1_{E11C5212-DE09-4DE2-ACA8-CDB1ACD94B51}" xr6:coauthVersionLast="47" xr6:coauthVersionMax="47" xr10:uidLastSave="{C021E043-01B0-469F-A6A6-D64860FAA8C5}"/>
  <bookViews>
    <workbookView xWindow="-28920" yWindow="-3765" windowWidth="29040" windowHeight="15840" xr2:uid="{BD9C18B0-C16E-4AA3-81CB-3A8BF868F4DA}"/>
  </bookViews>
  <sheets>
    <sheet name="Data" sheetId="1" r:id="rId1"/>
    <sheet name="Graph" sheetId="2" r:id="rId2"/>
    <sheet name="QG Cons Graph" sheetId="3" r:id="rId3"/>
    <sheet name="QG 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0" i="1" l="1"/>
  <c r="E538" i="1"/>
  <c r="D541" i="1"/>
  <c r="F540" i="1"/>
  <c r="D540" i="1"/>
  <c r="D543" i="1" s="1"/>
  <c r="J540" i="1" s="1"/>
  <c r="B539" i="1"/>
  <c r="D539" i="1" s="1"/>
  <c r="F538" i="1"/>
  <c r="B538" i="1"/>
  <c r="D538" i="1" s="1"/>
  <c r="E528" i="1"/>
  <c r="B529" i="1"/>
  <c r="B528" i="1"/>
  <c r="D531" i="1"/>
  <c r="F530" i="1"/>
  <c r="E530" i="1"/>
  <c r="B530" i="1"/>
  <c r="D530" i="1" s="1"/>
  <c r="D533" i="1" s="1"/>
  <c r="J530" i="1" s="1"/>
  <c r="D529" i="1"/>
  <c r="F528" i="1"/>
  <c r="D528" i="1"/>
  <c r="D523" i="1"/>
  <c r="D521" i="1"/>
  <c r="E518" i="1"/>
  <c r="F520" i="1"/>
  <c r="E520" i="1"/>
  <c r="B520" i="1"/>
  <c r="D520" i="1" s="1"/>
  <c r="J520" i="1" s="1"/>
  <c r="B519" i="1"/>
  <c r="D519" i="1" s="1"/>
  <c r="F518" i="1"/>
  <c r="B518" i="1"/>
  <c r="D518" i="1" s="1"/>
  <c r="E509" i="1"/>
  <c r="F511" i="1"/>
  <c r="E511" i="1"/>
  <c r="B511" i="1"/>
  <c r="D511" i="1" s="1"/>
  <c r="D513" i="1" s="1"/>
  <c r="J511" i="1" s="1"/>
  <c r="B510" i="1"/>
  <c r="D510" i="1" s="1"/>
  <c r="F509" i="1"/>
  <c r="B509" i="1"/>
  <c r="D509" i="1" s="1"/>
  <c r="E500" i="1"/>
  <c r="F502" i="1"/>
  <c r="E502" i="1"/>
  <c r="B502" i="1"/>
  <c r="D502" i="1" s="1"/>
  <c r="D504" i="1" s="1"/>
  <c r="J502" i="1" s="1"/>
  <c r="B501" i="1"/>
  <c r="D501" i="1" s="1"/>
  <c r="F500" i="1"/>
  <c r="B500" i="1"/>
  <c r="D500" i="1" s="1"/>
  <c r="E491" i="1"/>
  <c r="F493" i="1"/>
  <c r="E493" i="1"/>
  <c r="B493" i="1"/>
  <c r="D493" i="1" s="1"/>
  <c r="D495" i="1" s="1"/>
  <c r="J493" i="1" s="1"/>
  <c r="B492" i="1"/>
  <c r="D492" i="1" s="1"/>
  <c r="F491" i="1"/>
  <c r="B491" i="1"/>
  <c r="D491" i="1" s="1"/>
  <c r="F484" i="1"/>
  <c r="F482" i="1"/>
  <c r="E482" i="1"/>
  <c r="E484" i="1"/>
  <c r="B484" i="1"/>
  <c r="D484" i="1" s="1"/>
  <c r="D486" i="1" s="1"/>
  <c r="J484" i="1" s="1"/>
  <c r="B483" i="1"/>
  <c r="D483" i="1" s="1"/>
  <c r="B482" i="1"/>
  <c r="D482" i="1" s="1"/>
  <c r="E473" i="1"/>
  <c r="F475" i="1"/>
  <c r="E475" i="1"/>
  <c r="B475" i="1"/>
  <c r="D475" i="1" s="1"/>
  <c r="D477" i="1" s="1"/>
  <c r="J475" i="1" s="1"/>
  <c r="B474" i="1"/>
  <c r="D474" i="1" s="1"/>
  <c r="F473" i="1"/>
  <c r="B473" i="1"/>
  <c r="D473" i="1" s="1"/>
  <c r="E464" i="1"/>
  <c r="F466" i="1"/>
  <c r="E466" i="1"/>
  <c r="B466" i="1"/>
  <c r="D466" i="1" s="1"/>
  <c r="D468" i="1" s="1"/>
  <c r="J466" i="1" s="1"/>
  <c r="B465" i="1"/>
  <c r="D465" i="1" s="1"/>
  <c r="F464" i="1"/>
  <c r="B464" i="1"/>
  <c r="D464" i="1" s="1"/>
  <c r="AD15" i="2"/>
  <c r="AC15" i="2"/>
  <c r="AE15" i="2" s="1"/>
  <c r="E455" i="1"/>
  <c r="F457" i="1"/>
  <c r="E457" i="1"/>
  <c r="B457" i="1"/>
  <c r="D457" i="1" s="1"/>
  <c r="D459" i="1" s="1"/>
  <c r="J457" i="1" s="1"/>
  <c r="B456" i="1"/>
  <c r="D456" i="1" s="1"/>
  <c r="F455" i="1"/>
  <c r="B455" i="1"/>
  <c r="D455" i="1" s="1"/>
  <c r="E446" i="1"/>
  <c r="F448" i="1"/>
  <c r="E448" i="1"/>
  <c r="B448" i="1"/>
  <c r="D448" i="1" s="1"/>
  <c r="D450" i="1" s="1"/>
  <c r="J448" i="1" s="1"/>
  <c r="B447" i="1"/>
  <c r="D447" i="1" s="1"/>
  <c r="F446" i="1"/>
  <c r="B446" i="1"/>
  <c r="D446" i="1" s="1"/>
  <c r="E437" i="1"/>
  <c r="F439" i="1"/>
  <c r="E439" i="1"/>
  <c r="E441" i="1" s="1"/>
  <c r="B439" i="1"/>
  <c r="D439" i="1" s="1"/>
  <c r="D441" i="1" s="1"/>
  <c r="J439" i="1" s="1"/>
  <c r="B438" i="1"/>
  <c r="D438" i="1" s="1"/>
  <c r="F437" i="1"/>
  <c r="B437" i="1"/>
  <c r="D437" i="1" s="1"/>
  <c r="E428" i="1"/>
  <c r="F430" i="1"/>
  <c r="E430" i="1"/>
  <c r="E432" i="1" s="1"/>
  <c r="B430" i="1"/>
  <c r="D430" i="1" s="1"/>
  <c r="D432" i="1" s="1"/>
  <c r="B429" i="1"/>
  <c r="D429" i="1" s="1"/>
  <c r="F428" i="1"/>
  <c r="E431" i="1"/>
  <c r="B428" i="1"/>
  <c r="D428" i="1" s="1"/>
  <c r="E419" i="1"/>
  <c r="F421" i="1"/>
  <c r="E421" i="1"/>
  <c r="E423" i="1" s="1"/>
  <c r="B421" i="1"/>
  <c r="D421" i="1" s="1"/>
  <c r="D423" i="1" s="1"/>
  <c r="J421" i="1" s="1"/>
  <c r="B420" i="1"/>
  <c r="D420" i="1" s="1"/>
  <c r="F419" i="1"/>
  <c r="B419" i="1"/>
  <c r="D419" i="1" s="1"/>
  <c r="E410" i="1"/>
  <c r="F412" i="1"/>
  <c r="E412" i="1"/>
  <c r="E414" i="1" s="1"/>
  <c r="B412" i="1"/>
  <c r="D412" i="1" s="1"/>
  <c r="D414" i="1" s="1"/>
  <c r="J412" i="1" s="1"/>
  <c r="B411" i="1"/>
  <c r="D411" i="1" s="1"/>
  <c r="F410" i="1"/>
  <c r="B410" i="1"/>
  <c r="D410" i="1" s="1"/>
  <c r="E401" i="1"/>
  <c r="F403" i="1"/>
  <c r="E403" i="1"/>
  <c r="E405" i="1" s="1"/>
  <c r="B403" i="1"/>
  <c r="D403" i="1" s="1"/>
  <c r="D405" i="1" s="1"/>
  <c r="J403" i="1" s="1"/>
  <c r="B402" i="1"/>
  <c r="D402" i="1" s="1"/>
  <c r="F401" i="1"/>
  <c r="B401" i="1"/>
  <c r="D401" i="1" s="1"/>
  <c r="E392" i="1"/>
  <c r="B393" i="1"/>
  <c r="D393" i="1" s="1"/>
  <c r="B394" i="1"/>
  <c r="B392" i="1"/>
  <c r="F394" i="1"/>
  <c r="E394" i="1"/>
  <c r="D394" i="1"/>
  <c r="D396" i="1" s="1"/>
  <c r="J394" i="1" s="1"/>
  <c r="F392" i="1"/>
  <c r="D392" i="1"/>
  <c r="E383" i="1"/>
  <c r="F385" i="1"/>
  <c r="E385" i="1"/>
  <c r="E387" i="1" s="1"/>
  <c r="B385" i="1"/>
  <c r="D385" i="1" s="1"/>
  <c r="D387" i="1" s="1"/>
  <c r="J385" i="1" s="1"/>
  <c r="D384" i="1"/>
  <c r="F383" i="1"/>
  <c r="D383" i="1"/>
  <c r="F376" i="1"/>
  <c r="F374" i="1"/>
  <c r="E374" i="1"/>
  <c r="E376" i="1"/>
  <c r="E378" i="1" s="1"/>
  <c r="B376" i="1"/>
  <c r="D376" i="1" s="1"/>
  <c r="D378" i="1" s="1"/>
  <c r="J376" i="1" s="1"/>
  <c r="D375" i="1"/>
  <c r="D374" i="1"/>
  <c r="E365" i="1"/>
  <c r="B366" i="1"/>
  <c r="F367" i="1"/>
  <c r="E367" i="1"/>
  <c r="B367" i="1"/>
  <c r="D367" i="1" s="1"/>
  <c r="D369" i="1" s="1"/>
  <c r="J367" i="1" s="1"/>
  <c r="D366" i="1"/>
  <c r="F365" i="1"/>
  <c r="B365" i="1"/>
  <c r="D365" i="1" s="1"/>
  <c r="Z15" i="2"/>
  <c r="Y15" i="2"/>
  <c r="F270" i="1"/>
  <c r="F266" i="1"/>
  <c r="F356" i="1"/>
  <c r="E340" i="1"/>
  <c r="F340" i="1"/>
  <c r="D349" i="1"/>
  <c r="D351" i="1" s="1"/>
  <c r="J349" i="1" s="1"/>
  <c r="B358" i="1"/>
  <c r="D358" i="1" s="1"/>
  <c r="D360" i="1" s="1"/>
  <c r="J358" i="1" s="1"/>
  <c r="E356" i="1"/>
  <c r="E359" i="1"/>
  <c r="F358" i="1"/>
  <c r="E358" i="1"/>
  <c r="D357" i="1"/>
  <c r="B356" i="1"/>
  <c r="D356" i="1" s="1"/>
  <c r="E349" i="1"/>
  <c r="E347" i="1"/>
  <c r="F349" i="1"/>
  <c r="D348" i="1"/>
  <c r="F347" i="1"/>
  <c r="B347" i="1"/>
  <c r="D347" i="1" s="1"/>
  <c r="E342" i="1"/>
  <c r="E338" i="1"/>
  <c r="D340" i="1"/>
  <c r="D342" i="1" s="1"/>
  <c r="J340" i="1" s="1"/>
  <c r="D339" i="1"/>
  <c r="F338" i="1"/>
  <c r="B338" i="1"/>
  <c r="D338" i="1" s="1"/>
  <c r="E331" i="1"/>
  <c r="E329" i="1"/>
  <c r="F331" i="1"/>
  <c r="B331" i="1"/>
  <c r="D331" i="1" s="1"/>
  <c r="D333" i="1" s="1"/>
  <c r="J331" i="1" s="1"/>
  <c r="D330" i="1"/>
  <c r="F329" i="1"/>
  <c r="B329" i="1"/>
  <c r="D329" i="1" s="1"/>
  <c r="F320" i="1"/>
  <c r="E320" i="1"/>
  <c r="E322" i="1"/>
  <c r="B320" i="1"/>
  <c r="D320" i="1" s="1"/>
  <c r="F322" i="1"/>
  <c r="E324" i="1" s="1"/>
  <c r="B322" i="1"/>
  <c r="D322" i="1" s="1"/>
  <c r="D324" i="1" s="1"/>
  <c r="J322" i="1" s="1"/>
  <c r="D321" i="1"/>
  <c r="F311" i="1"/>
  <c r="E311" i="1"/>
  <c r="E314" i="1" s="1"/>
  <c r="F313" i="1"/>
  <c r="E315" i="1" s="1"/>
  <c r="B313" i="1"/>
  <c r="D313" i="1" s="1"/>
  <c r="D315" i="1" s="1"/>
  <c r="J313" i="1" s="1"/>
  <c r="D312" i="1"/>
  <c r="D311" i="1"/>
  <c r="D542" i="1" l="1"/>
  <c r="J538" i="1"/>
  <c r="E542" i="1"/>
  <c r="K538" i="1"/>
  <c r="E543" i="1"/>
  <c r="K540" i="1"/>
  <c r="D532" i="1"/>
  <c r="J528" i="1"/>
  <c r="E532" i="1"/>
  <c r="K528" i="1"/>
  <c r="E533" i="1"/>
  <c r="K530" i="1"/>
  <c r="D323" i="1"/>
  <c r="E351" i="1"/>
  <c r="E360" i="1"/>
  <c r="E369" i="1"/>
  <c r="E396" i="1"/>
  <c r="E395" i="1"/>
  <c r="D522" i="1"/>
  <c r="J518" i="1"/>
  <c r="E522" i="1"/>
  <c r="K518" i="1"/>
  <c r="E523" i="1"/>
  <c r="K520" i="1"/>
  <c r="D512" i="1"/>
  <c r="J509" i="1"/>
  <c r="E512" i="1"/>
  <c r="K509" i="1"/>
  <c r="E513" i="1"/>
  <c r="K511" i="1"/>
  <c r="D503" i="1"/>
  <c r="J500" i="1"/>
  <c r="E503" i="1"/>
  <c r="K500" i="1"/>
  <c r="E504" i="1"/>
  <c r="K502" i="1"/>
  <c r="D494" i="1"/>
  <c r="J491" i="1"/>
  <c r="E494" i="1"/>
  <c r="K491" i="1"/>
  <c r="E495" i="1"/>
  <c r="K493" i="1"/>
  <c r="D485" i="1"/>
  <c r="J482" i="1"/>
  <c r="E485" i="1"/>
  <c r="K482" i="1"/>
  <c r="E486" i="1"/>
  <c r="K484" i="1"/>
  <c r="D476" i="1"/>
  <c r="J473" i="1"/>
  <c r="E476" i="1"/>
  <c r="K473" i="1"/>
  <c r="E477" i="1"/>
  <c r="K475" i="1"/>
  <c r="D467" i="1"/>
  <c r="J464" i="1"/>
  <c r="E467" i="1"/>
  <c r="K464" i="1"/>
  <c r="E468" i="1"/>
  <c r="K466" i="1"/>
  <c r="D458" i="1"/>
  <c r="J455" i="1"/>
  <c r="E458" i="1"/>
  <c r="K455" i="1"/>
  <c r="E459" i="1"/>
  <c r="K457" i="1"/>
  <c r="D449" i="1"/>
  <c r="J446" i="1"/>
  <c r="E449" i="1"/>
  <c r="K446" i="1"/>
  <c r="E450" i="1"/>
  <c r="K448" i="1"/>
  <c r="K421" i="1"/>
  <c r="K437" i="1"/>
  <c r="D440" i="1"/>
  <c r="J437" i="1"/>
  <c r="E440" i="1"/>
  <c r="E442" i="1" s="1"/>
  <c r="K439" i="1"/>
  <c r="D431" i="1"/>
  <c r="K428" i="1"/>
  <c r="J428" i="1"/>
  <c r="E433" i="1"/>
  <c r="K430" i="1"/>
  <c r="J430" i="1"/>
  <c r="D422" i="1"/>
  <c r="J419" i="1"/>
  <c r="K419" i="1"/>
  <c r="E422" i="1"/>
  <c r="E424" i="1" s="1"/>
  <c r="J410" i="1"/>
  <c r="D413" i="1"/>
  <c r="K410" i="1"/>
  <c r="K412" i="1"/>
  <c r="E413" i="1"/>
  <c r="E415" i="1" s="1"/>
  <c r="K403" i="1"/>
  <c r="K401" i="1"/>
  <c r="D404" i="1"/>
  <c r="J401" i="1"/>
  <c r="E404" i="1"/>
  <c r="E406" i="1" s="1"/>
  <c r="D395" i="1"/>
  <c r="K392" i="1"/>
  <c r="J392" i="1"/>
  <c r="K394" i="1"/>
  <c r="E397" i="1"/>
  <c r="D386" i="1"/>
  <c r="K383" i="1"/>
  <c r="K385" i="1"/>
  <c r="E386" i="1"/>
  <c r="E388" i="1" s="1"/>
  <c r="J383" i="1"/>
  <c r="E377" i="1"/>
  <c r="E379" i="1" s="1"/>
  <c r="D377" i="1"/>
  <c r="K374" i="1"/>
  <c r="J374" i="1"/>
  <c r="K376" i="1"/>
  <c r="E316" i="1"/>
  <c r="D368" i="1"/>
  <c r="J365" i="1"/>
  <c r="K365" i="1"/>
  <c r="K367" i="1"/>
  <c r="E368" i="1"/>
  <c r="E370" i="1" s="1"/>
  <c r="AA15" i="2"/>
  <c r="K358" i="1"/>
  <c r="D359" i="1"/>
  <c r="E361" i="1"/>
  <c r="K356" i="1"/>
  <c r="J356" i="1"/>
  <c r="E350" i="1"/>
  <c r="E352" i="1" s="1"/>
  <c r="K347" i="1"/>
  <c r="D350" i="1"/>
  <c r="J347" i="1"/>
  <c r="K349" i="1"/>
  <c r="K338" i="1"/>
  <c r="D341" i="1"/>
  <c r="J338" i="1"/>
  <c r="K340" i="1"/>
  <c r="E341" i="1"/>
  <c r="E343" i="1" s="1"/>
  <c r="E333" i="1"/>
  <c r="D332" i="1"/>
  <c r="J329" i="1"/>
  <c r="K329" i="1"/>
  <c r="K331" i="1"/>
  <c r="E332" i="1"/>
  <c r="E323" i="1"/>
  <c r="E325" i="1" s="1"/>
  <c r="K322" i="1"/>
  <c r="K320" i="1"/>
  <c r="J320" i="1"/>
  <c r="K313" i="1"/>
  <c r="J311" i="1"/>
  <c r="K311" i="1"/>
  <c r="D314" i="1"/>
  <c r="F302" i="1"/>
  <c r="E302" i="1"/>
  <c r="F304" i="1"/>
  <c r="E306" i="1" s="1"/>
  <c r="B304" i="1"/>
  <c r="D304" i="1" s="1"/>
  <c r="D306" i="1" s="1"/>
  <c r="J304" i="1" s="1"/>
  <c r="B303" i="1"/>
  <c r="D303" i="1" s="1"/>
  <c r="B302" i="1"/>
  <c r="D302" i="1" s="1"/>
  <c r="E544" i="1" l="1"/>
  <c r="E534" i="1"/>
  <c r="E524" i="1"/>
  <c r="E514" i="1"/>
  <c r="E505" i="1"/>
  <c r="E496" i="1"/>
  <c r="E487" i="1"/>
  <c r="E478" i="1"/>
  <c r="E469" i="1"/>
  <c r="E460" i="1"/>
  <c r="E451" i="1"/>
  <c r="E334" i="1"/>
  <c r="D305" i="1"/>
  <c r="J302" i="1"/>
  <c r="K302" i="1"/>
  <c r="K304" i="1"/>
  <c r="E305" i="1"/>
  <c r="E307" i="1" s="1"/>
  <c r="F293" i="1"/>
  <c r="E293" i="1"/>
  <c r="F295" i="1"/>
  <c r="E297" i="1" s="1"/>
  <c r="B295" i="1"/>
  <c r="D295" i="1" s="1"/>
  <c r="D297" i="1" s="1"/>
  <c r="J295" i="1" s="1"/>
  <c r="B294" i="1"/>
  <c r="D294" i="1" s="1"/>
  <c r="B293" i="1"/>
  <c r="D293" i="1" s="1"/>
  <c r="D296" i="1" l="1"/>
  <c r="J293" i="1"/>
  <c r="K293" i="1"/>
  <c r="K295" i="1"/>
  <c r="E296" i="1"/>
  <c r="E298" i="1" s="1"/>
  <c r="F284" i="1"/>
  <c r="E284" i="1"/>
  <c r="F286" i="1"/>
  <c r="E288" i="1" s="1"/>
  <c r="B286" i="1"/>
  <c r="D286" i="1" s="1"/>
  <c r="D288" i="1" s="1"/>
  <c r="J286" i="1" s="1"/>
  <c r="B285" i="1"/>
  <c r="D285" i="1" s="1"/>
  <c r="B284" i="1"/>
  <c r="D284" i="1" s="1"/>
  <c r="E287" i="1" l="1"/>
  <c r="E289" i="1" s="1"/>
  <c r="D287" i="1"/>
  <c r="J284" i="1"/>
  <c r="K284" i="1"/>
  <c r="K286" i="1"/>
  <c r="F277" i="1"/>
  <c r="E277" i="1"/>
  <c r="F268" i="1"/>
  <c r="F271" i="1" s="1"/>
  <c r="E268" i="1"/>
  <c r="F259" i="1"/>
  <c r="E259" i="1"/>
  <c r="F275" i="1"/>
  <c r="E275" i="1"/>
  <c r="B277" i="1"/>
  <c r="D277" i="1" s="1"/>
  <c r="D279" i="1" s="1"/>
  <c r="B276" i="1"/>
  <c r="D276" i="1" s="1"/>
  <c r="B275" i="1"/>
  <c r="D275" i="1" s="1"/>
  <c r="E279" i="1" l="1"/>
  <c r="K277" i="1" s="1"/>
  <c r="J277" i="1"/>
  <c r="D278" i="1"/>
  <c r="J275" i="1"/>
  <c r="K275" i="1"/>
  <c r="E278" i="1"/>
  <c r="E280" i="1" l="1"/>
  <c r="E266" i="1" l="1"/>
  <c r="E270" i="1"/>
  <c r="B268" i="1"/>
  <c r="D268" i="1" s="1"/>
  <c r="D270" i="1" s="1"/>
  <c r="B267" i="1"/>
  <c r="D267" i="1" s="1"/>
  <c r="B266" i="1"/>
  <c r="D266" i="1" s="1"/>
  <c r="D269" i="1" l="1"/>
  <c r="J266" i="1"/>
  <c r="K266" i="1"/>
  <c r="J268" i="1"/>
  <c r="K268" i="1"/>
  <c r="E269" i="1"/>
  <c r="E271" i="1" s="1"/>
  <c r="F257" i="1"/>
  <c r="E257" i="1"/>
  <c r="E261" i="1"/>
  <c r="D259" i="1"/>
  <c r="D261" i="1" s="1"/>
  <c r="J259" i="1" s="1"/>
  <c r="B258" i="1"/>
  <c r="D258" i="1" s="1"/>
  <c r="B257" i="1"/>
  <c r="D257" i="1" s="1"/>
  <c r="K257" i="1" l="1"/>
  <c r="K259" i="1"/>
  <c r="D260" i="1"/>
  <c r="J257" i="1"/>
  <c r="E260" i="1"/>
  <c r="E262" i="1" s="1"/>
  <c r="E250" i="1"/>
  <c r="F248" i="1" l="1"/>
  <c r="E248" i="1"/>
  <c r="E251" i="1" s="1"/>
  <c r="F250" i="1"/>
  <c r="E252" i="1"/>
  <c r="B250" i="1"/>
  <c r="D250" i="1" s="1"/>
  <c r="D252" i="1" s="1"/>
  <c r="J250" i="1" s="1"/>
  <c r="F249" i="1"/>
  <c r="B249" i="1"/>
  <c r="D249" i="1" s="1"/>
  <c r="B248" i="1"/>
  <c r="D248" i="1" s="1"/>
  <c r="K248" i="1" s="1"/>
  <c r="E253" i="1" l="1"/>
  <c r="D251" i="1"/>
  <c r="J248" i="1"/>
  <c r="K250" i="1"/>
  <c r="E241" i="1"/>
  <c r="E240" i="1" l="1"/>
  <c r="F241" i="1"/>
  <c r="E243" i="1"/>
  <c r="B241" i="1"/>
  <c r="D241" i="1" s="1"/>
  <c r="D243" i="1" s="1"/>
  <c r="J241" i="1" s="1"/>
  <c r="F240" i="1"/>
  <c r="E242" i="1" s="1"/>
  <c r="B240" i="1"/>
  <c r="D240" i="1" s="1"/>
  <c r="B239" i="1"/>
  <c r="D239" i="1" s="1"/>
  <c r="E231" i="1"/>
  <c r="E232" i="1"/>
  <c r="B232" i="1"/>
  <c r="F232" i="1"/>
  <c r="D232" i="1"/>
  <c r="D234" i="1" s="1"/>
  <c r="J232" i="1" s="1"/>
  <c r="F231" i="1"/>
  <c r="B231" i="1"/>
  <c r="D231" i="1" s="1"/>
  <c r="B230" i="1"/>
  <c r="D230" i="1" s="1"/>
  <c r="E234" i="1" l="1"/>
  <c r="E244" i="1"/>
  <c r="D242" i="1"/>
  <c r="J239" i="1"/>
  <c r="K239" i="1"/>
  <c r="K241" i="1"/>
  <c r="K232" i="1"/>
  <c r="D233" i="1"/>
  <c r="J230" i="1"/>
  <c r="K230" i="1"/>
  <c r="E233" i="1"/>
  <c r="E235" i="1" s="1"/>
  <c r="V15" i="2"/>
  <c r="U15" i="2"/>
  <c r="E223" i="1"/>
  <c r="E222" i="1"/>
  <c r="F223" i="1"/>
  <c r="D223" i="1"/>
  <c r="D225" i="1" s="1"/>
  <c r="J223" i="1" s="1"/>
  <c r="F222" i="1"/>
  <c r="B222" i="1"/>
  <c r="D222" i="1" s="1"/>
  <c r="B221" i="1"/>
  <c r="D221" i="1" s="1"/>
  <c r="E225" i="1" l="1"/>
  <c r="W15" i="2"/>
  <c r="E224" i="1"/>
  <c r="K223" i="1"/>
  <c r="E226" i="1"/>
  <c r="D224" i="1"/>
  <c r="J221" i="1"/>
  <c r="K221" i="1"/>
  <c r="F214" i="1"/>
  <c r="E214" i="1"/>
  <c r="E216" i="1" s="1"/>
  <c r="F205" i="1"/>
  <c r="E205" i="1"/>
  <c r="E207" i="1" s="1"/>
  <c r="E213" i="1"/>
  <c r="B214" i="1"/>
  <c r="D214" i="1" s="1"/>
  <c r="D216" i="1" s="1"/>
  <c r="F213" i="1"/>
  <c r="B213" i="1"/>
  <c r="D213" i="1" s="1"/>
  <c r="B212" i="1"/>
  <c r="D212" i="1" s="1"/>
  <c r="E215" i="1" l="1"/>
  <c r="E217" i="1"/>
  <c r="K212" i="1"/>
  <c r="J212" i="1"/>
  <c r="D215" i="1"/>
  <c r="K214" i="1"/>
  <c r="J214" i="1"/>
  <c r="E204" i="1"/>
  <c r="B205" i="1"/>
  <c r="D205" i="1" s="1"/>
  <c r="D207" i="1" s="1"/>
  <c r="F204" i="1"/>
  <c r="B204" i="1"/>
  <c r="D204" i="1" s="1"/>
  <c r="B203" i="1"/>
  <c r="D203" i="1" s="1"/>
  <c r="K203" i="1" l="1"/>
  <c r="J203" i="1"/>
  <c r="D206" i="1"/>
  <c r="K205" i="1"/>
  <c r="J205" i="1"/>
  <c r="E206" i="1"/>
  <c r="E208" i="1" s="1"/>
  <c r="P7" i="3"/>
  <c r="D187" i="1"/>
  <c r="E195" i="1"/>
  <c r="B196" i="1"/>
  <c r="D196" i="1" s="1"/>
  <c r="D198" i="1" s="1"/>
  <c r="K196" i="1" s="1"/>
  <c r="F195" i="1"/>
  <c r="B195" i="1"/>
  <c r="D195" i="1" s="1"/>
  <c r="B194" i="1"/>
  <c r="D194" i="1" s="1"/>
  <c r="E197" i="1" l="1"/>
  <c r="E199" i="1" s="1"/>
  <c r="J196" i="1"/>
  <c r="J194" i="1"/>
  <c r="D197" i="1"/>
  <c r="K194" i="1"/>
  <c r="P6" i="3"/>
  <c r="N15" i="2"/>
  <c r="M15" i="2"/>
  <c r="E180" i="1"/>
  <c r="E189" i="1" s="1"/>
  <c r="B187" i="1"/>
  <c r="F186" i="1"/>
  <c r="E186" i="1"/>
  <c r="B186" i="1"/>
  <c r="D186" i="1" s="1"/>
  <c r="B185" i="1"/>
  <c r="D185" i="1" s="1"/>
  <c r="K185" i="1" l="1"/>
  <c r="E188" i="1"/>
  <c r="E190" i="1"/>
  <c r="D189" i="1"/>
  <c r="J185" i="1"/>
  <c r="D188" i="1"/>
  <c r="E152" i="1"/>
  <c r="K142" i="1"/>
  <c r="K133" i="1"/>
  <c r="K124" i="1"/>
  <c r="K115" i="1"/>
  <c r="D180" i="1"/>
  <c r="D144" i="1"/>
  <c r="D143" i="1"/>
  <c r="D135" i="1"/>
  <c r="D134" i="1"/>
  <c r="D126" i="1"/>
  <c r="D125" i="1"/>
  <c r="D117" i="1"/>
  <c r="D116" i="1"/>
  <c r="K140" i="1"/>
  <c r="K131" i="1"/>
  <c r="K122" i="1"/>
  <c r="K113" i="1"/>
  <c r="J140" i="1"/>
  <c r="J131" i="1"/>
  <c r="J122" i="1"/>
  <c r="J113" i="1"/>
  <c r="O15" i="2" l="1"/>
  <c r="E168" i="1"/>
  <c r="E159" i="1"/>
  <c r="E154" i="1"/>
  <c r="F169" i="1"/>
  <c r="E169" i="1" s="1"/>
  <c r="F160" i="1"/>
  <c r="E160" i="1"/>
  <c r="F151" i="1"/>
  <c r="E151" i="1"/>
  <c r="B177" i="1"/>
  <c r="B176" i="1"/>
  <c r="D176" i="1" s="1"/>
  <c r="B168" i="1"/>
  <c r="D168" i="1" s="1"/>
  <c r="B169" i="1"/>
  <c r="D169" i="1" s="1"/>
  <c r="D171" i="1" s="1"/>
  <c r="B167" i="1"/>
  <c r="D167" i="1" s="1"/>
  <c r="B159" i="1"/>
  <c r="D159" i="1" s="1"/>
  <c r="B160" i="1"/>
  <c r="D160" i="1" s="1"/>
  <c r="D162" i="1" s="1"/>
  <c r="B158" i="1"/>
  <c r="D158" i="1" s="1"/>
  <c r="E181" i="1"/>
  <c r="D177" i="1"/>
  <c r="E172" i="1"/>
  <c r="E163" i="1"/>
  <c r="D150" i="1"/>
  <c r="D151" i="1"/>
  <c r="D153" i="1" s="1"/>
  <c r="D149" i="1"/>
  <c r="K160" i="1" l="1"/>
  <c r="K151" i="1"/>
  <c r="K169" i="1"/>
  <c r="D170" i="1"/>
  <c r="J167" i="1"/>
  <c r="K158" i="1"/>
  <c r="K167" i="1"/>
  <c r="K176" i="1"/>
  <c r="D179" i="1"/>
  <c r="J176" i="1"/>
  <c r="K149" i="1"/>
  <c r="J149" i="1"/>
  <c r="D152" i="1"/>
  <c r="J158" i="1"/>
  <c r="D161" i="1"/>
</calcChain>
</file>

<file path=xl/sharedStrings.xml><?xml version="1.0" encoding="utf-8"?>
<sst xmlns="http://schemas.openxmlformats.org/spreadsheetml/2006/main" count="1268" uniqueCount="139">
  <si>
    <t>Queens Gate Water Back Date Summary 2018 - Apr2019</t>
  </si>
  <si>
    <t>Unit No</t>
  </si>
  <si>
    <t>Opening Reading</t>
  </si>
  <si>
    <t>Closing Reading</t>
  </si>
  <si>
    <t>Cons</t>
  </si>
  <si>
    <t>Water Amount</t>
  </si>
  <si>
    <t>Demand Levy</t>
  </si>
  <si>
    <t>BC Bulk 01</t>
  </si>
  <si>
    <t>BC Bulk 02</t>
  </si>
  <si>
    <t>Council Bulk</t>
  </si>
  <si>
    <t>BC Total</t>
  </si>
  <si>
    <t>Council Total</t>
  </si>
  <si>
    <t>Difference</t>
  </si>
  <si>
    <t>Estimated?</t>
  </si>
  <si>
    <t>Reading Dates</t>
  </si>
  <si>
    <t>Days</t>
  </si>
  <si>
    <t>KL p/day</t>
  </si>
  <si>
    <t>Rates</t>
  </si>
  <si>
    <t>Actual</t>
  </si>
  <si>
    <t>7Jan - 31Jan 2019</t>
  </si>
  <si>
    <t>20Dec 2018 - 1Feb 2019</t>
  </si>
  <si>
    <t>31Jan -27Feb 2019</t>
  </si>
  <si>
    <t>2Feb - 26Feb 2019</t>
  </si>
  <si>
    <t>27Feb - 30Mar 2019</t>
  </si>
  <si>
    <t>27Feb - 25Mar 2019</t>
  </si>
  <si>
    <t>30Mar - 30Apr 2019</t>
  </si>
  <si>
    <t>26Mar - 20Apr 2019</t>
  </si>
  <si>
    <t>30Apr - 30May 2019</t>
  </si>
  <si>
    <t>21Apr - 20May 2019</t>
  </si>
  <si>
    <t>30May - 27Jun 2019</t>
  </si>
  <si>
    <t>21May - 21Jun 2019</t>
  </si>
  <si>
    <t>27Jun - 31Jul 2019</t>
  </si>
  <si>
    <t>22Jun - 24Jul 2019</t>
  </si>
  <si>
    <t>31Jul - 3Sept 2019</t>
  </si>
  <si>
    <t>24Jun 2017- 6Sep 2019</t>
  </si>
  <si>
    <t>3Sep -26Sep 2019</t>
  </si>
  <si>
    <t>Estimated</t>
  </si>
  <si>
    <t>24Jun 2017 - 6Sep 2019</t>
  </si>
  <si>
    <t>26Sep - 31Oct 2019</t>
  </si>
  <si>
    <t>24Jul - 7Nov 2019</t>
  </si>
  <si>
    <t>31Oct - 29Nov2019</t>
  </si>
  <si>
    <t>7Nov - 8Jan 2020</t>
  </si>
  <si>
    <t>6Jan - 30Jan 2020</t>
  </si>
  <si>
    <t>25Oct -17Jan 2020</t>
  </si>
  <si>
    <t>30Jan - 29Feb 2020</t>
  </si>
  <si>
    <t>18Jan - 23Feb 2020</t>
  </si>
  <si>
    <t>29Feb - 25Mar 2020</t>
  </si>
  <si>
    <t>24Feb - 21Mar 2020</t>
  </si>
  <si>
    <t>25Mar - 30Apr 2020</t>
  </si>
  <si>
    <t>22Mar - 11May 2020</t>
  </si>
  <si>
    <t>30Apr - 29May 2020</t>
  </si>
  <si>
    <t>24Feb - 24May 2020</t>
  </si>
  <si>
    <t>29May - 30Jun 2020</t>
  </si>
  <si>
    <t>25May - 29Jun 2020</t>
  </si>
  <si>
    <t>30Jun - 31Jul 2020</t>
  </si>
  <si>
    <t>30Jun - 7Aug 2020</t>
  </si>
  <si>
    <t>31Jul - 31Aug 2020</t>
  </si>
  <si>
    <t>8Aug - 7Sept 2020</t>
  </si>
  <si>
    <t>31Aug - 30Sept 2020</t>
  </si>
  <si>
    <t>8Sept - 7Oct 2020</t>
  </si>
  <si>
    <t>30Sept - 31Oct 2020</t>
  </si>
  <si>
    <t>8Oct - 18Oct 2020</t>
  </si>
  <si>
    <t>31Oct - 25Nov 2020</t>
  </si>
  <si>
    <t>19Oct - 19Nov 2020</t>
  </si>
  <si>
    <t>25Nov 2020 - 7Jan 2021</t>
  </si>
  <si>
    <t>20Nov - 16Dec 2020</t>
  </si>
  <si>
    <t>7Jan - 28Jan 2021</t>
  </si>
  <si>
    <t>17Dec - 22Jan 2021</t>
  </si>
  <si>
    <t>28Jan - 1Mar 2021</t>
  </si>
  <si>
    <t>25Oct 2019 - 5Mar 2021</t>
  </si>
  <si>
    <t>1Mar - 6Apr 2021</t>
  </si>
  <si>
    <t>26Feb - 18Mar 2021</t>
  </si>
  <si>
    <t>6Apr - 29Apr 2021</t>
  </si>
  <si>
    <t>Acual</t>
  </si>
  <si>
    <t>19Mar - 21Apr 2021</t>
  </si>
  <si>
    <t>29Apr - 27May 2021</t>
  </si>
  <si>
    <t>22Apr - 20May 2021</t>
  </si>
  <si>
    <t>27May - 1Jul 2021</t>
  </si>
  <si>
    <t>21May - 19Jun 2021</t>
  </si>
  <si>
    <t>1Jul - 29Jul 2021</t>
  </si>
  <si>
    <t>20Jun - 23Jul 2021</t>
  </si>
  <si>
    <t>29Jul - 2Sept 2021</t>
  </si>
  <si>
    <t>24Jul - 19Aug 2021</t>
  </si>
  <si>
    <t>2Sept - 30Sept 2021</t>
  </si>
  <si>
    <t>20Aug - 20Sept 2021</t>
  </si>
  <si>
    <t>30Sept - 28Oct 2021</t>
  </si>
  <si>
    <t>21Sept - 20Oct 2021</t>
  </si>
  <si>
    <t>28Oct - 2Dec 2021</t>
  </si>
  <si>
    <t>21Oct - 20Nov 2021</t>
  </si>
  <si>
    <t>2Dec 2021 - 3Jan 2022</t>
  </si>
  <si>
    <t>21Nov - 20Dec 2021</t>
  </si>
  <si>
    <t>3Jan - 27Jan 2022</t>
  </si>
  <si>
    <t>21Nov 2021 - 20Jan 2022</t>
  </si>
  <si>
    <t>27Jan - 25Feb 2022</t>
  </si>
  <si>
    <t>21Jan - 19Feb 2022</t>
  </si>
  <si>
    <t>25Feb - 31Mar 2022</t>
  </si>
  <si>
    <t>20Feb - 22Mar 2022</t>
  </si>
  <si>
    <t>31Mar - 28Apr 2022</t>
  </si>
  <si>
    <t>23Mar - 21Apr 2022</t>
  </si>
  <si>
    <t>28Apr - 2Jun 2022</t>
  </si>
  <si>
    <t>23Mar - 18May 2022</t>
  </si>
  <si>
    <t>2Jun - 30Jun 2022</t>
  </si>
  <si>
    <t>19May - 22Jun 2022</t>
  </si>
  <si>
    <t>30Jun - 28Jul 2022</t>
  </si>
  <si>
    <t>23Jun - 19Jul 2022</t>
  </si>
  <si>
    <t>28Jul - 1Sept 2022</t>
  </si>
  <si>
    <t>20Jul - 22Aug 2022</t>
  </si>
  <si>
    <t>1Sept - 29Sept 2022</t>
  </si>
  <si>
    <t>23Aug - 18Sept 2022</t>
  </si>
  <si>
    <t>29Sept - 27Oct 2022</t>
  </si>
  <si>
    <t>Council Bulk 01</t>
  </si>
  <si>
    <t>19Sept - 19Oct 2022 (COJ back dated before this bill therefore dates differ)</t>
  </si>
  <si>
    <t>Council Bulk 02</t>
  </si>
  <si>
    <t>27Oct - 1Dec 2022</t>
  </si>
  <si>
    <t>20Oct - 21Nov 2022</t>
  </si>
  <si>
    <t>1Dec 2022 - 5Jan 2023</t>
  </si>
  <si>
    <t>19Sep - 11Dec 2022</t>
  </si>
  <si>
    <t xml:space="preserve">Queens Gate Water </t>
  </si>
  <si>
    <t>BC</t>
  </si>
  <si>
    <t>Council</t>
  </si>
  <si>
    <t>Estimated / Actual</t>
  </si>
  <si>
    <t>A</t>
  </si>
  <si>
    <t>Council Back Date</t>
  </si>
  <si>
    <t>E</t>
  </si>
  <si>
    <t>A - COJ still hasn't added second meter</t>
  </si>
  <si>
    <t>E - COJ added second meter</t>
  </si>
  <si>
    <t>A - COJ back dated</t>
  </si>
  <si>
    <t>A Council Back Date</t>
  </si>
  <si>
    <t>QG Water Council Billing is CORRECT</t>
  </si>
  <si>
    <t>Council charges according to Step Rates.</t>
  </si>
  <si>
    <t>STS charged according to Budget amount till July 2019.</t>
  </si>
  <si>
    <t>Individual water meters installed in August 2019 (Step Rate Charges).</t>
  </si>
  <si>
    <t>Rates are in line.</t>
  </si>
  <si>
    <t>Consumption readings are in line for one meter.</t>
  </si>
  <si>
    <t>Council does not seem to read the second meter?</t>
  </si>
  <si>
    <t>Aug 2019 council bill is not on OneDrive.</t>
  </si>
  <si>
    <t>QG Water Cons STS vs Council</t>
  </si>
  <si>
    <t>KL PER DAY</t>
  </si>
  <si>
    <t>QG Water Rates STS vs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</si>
</sst>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9">
    <xf numFmtId="0" fontId="0" fillId="0" borderId="0" xfId="0"/>
    <xf numFmtId="17" fontId="1" fillId="0" borderId="0" xfId="0" applyNumberFormat="1" applyFont="1"/>
    <xf numFmtId="0" fontId="1" fillId="0" borderId="1" xfId="0" applyFon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1" fillId="0" borderId="2" xfId="0" applyNumberFormat="1" applyFont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1" applyFont="1"/>
    <xf numFmtId="17" fontId="1" fillId="2" borderId="0" xfId="0" applyNumberFormat="1" applyFont="1" applyFill="1"/>
    <xf numFmtId="0" fontId="5" fillId="0" borderId="0" xfId="0" applyFont="1"/>
    <xf numFmtId="166" fontId="0" fillId="0" borderId="0" xfId="0" applyNumberFormat="1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Graph!$AC$2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Graph!$AB$3:$AB$14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Graph!$AC$3:$AC$14</c:f>
              <c:numCache>
                <c:formatCode>_-[$R-436]* #,##0.00_-;\-[$R-436]* #,##0.00_-;_-[$R-436]* "-"??_-;_-@_-</c:formatCode>
                <c:ptCount val="12"/>
                <c:pt idx="0">
                  <c:v>11451.446999999998</c:v>
                </c:pt>
                <c:pt idx="1">
                  <c:v>7345.5214999999998</c:v>
                </c:pt>
                <c:pt idx="2">
                  <c:v>7149.9179999999997</c:v>
                </c:pt>
                <c:pt idx="3">
                  <c:v>10740.769999999999</c:v>
                </c:pt>
                <c:pt idx="4">
                  <c:v>8042.6054999999997</c:v>
                </c:pt>
                <c:pt idx="5">
                  <c:v>7882.3184999999994</c:v>
                </c:pt>
                <c:pt idx="6">
                  <c:v>13161.634999999998</c:v>
                </c:pt>
                <c:pt idx="7">
                  <c:v>12364.040999999999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5-43E1-88F5-59C0B8E835F8}"/>
            </c:ext>
          </c:extLst>
        </c:ser>
        <c:ser>
          <c:idx val="1"/>
          <c:order val="1"/>
          <c:tx>
            <c:strRef>
              <c:f>Graph!$AD$2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Graph!$AB$3:$AB$14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Graph!$AD$3:$AD$14</c:f>
              <c:numCache>
                <c:formatCode>_-[$R-436]* #,##0.00_-;\-[$R-436]* #,##0.00_-;_-[$R-436]* "-"??_-;_-@_-</c:formatCode>
                <c:ptCount val="12"/>
                <c:pt idx="0">
                  <c:v>1726.1039999999998</c:v>
                </c:pt>
                <c:pt idx="1">
                  <c:v>1894.3259999999998</c:v>
                </c:pt>
                <c:pt idx="2">
                  <c:v>1894.3259999999998</c:v>
                </c:pt>
                <c:pt idx="3">
                  <c:v>1894.3259999999998</c:v>
                </c:pt>
                <c:pt idx="4">
                  <c:v>1894.3259999999998</c:v>
                </c:pt>
                <c:pt idx="5">
                  <c:v>1894.3259999999998</c:v>
                </c:pt>
                <c:pt idx="6">
                  <c:v>1894.3259999999998</c:v>
                </c:pt>
                <c:pt idx="7">
                  <c:v>33389.858999999997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A5-43E1-88F5-59C0B8E83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672263"/>
        <c:axId val="1692378568"/>
      </c:barChart>
      <c:dateAx>
        <c:axId val="9776722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78568"/>
        <c:crosses val="autoZero"/>
        <c:auto val="1"/>
        <c:lblOffset val="100"/>
        <c:baseTimeUnit val="months"/>
      </c:dateAx>
      <c:valAx>
        <c:axId val="169237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7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'QG Cons Graph'!$X$2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'QG Cons Graph'!$W$3:$W$14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'QG Cons Graph'!$X$3:$X$14</c:f>
              <c:numCache>
                <c:formatCode>General</c:formatCode>
                <c:ptCount val="12"/>
                <c:pt idx="0">
                  <c:v>626</c:v>
                </c:pt>
                <c:pt idx="1">
                  <c:v>507</c:v>
                </c:pt>
                <c:pt idx="2">
                  <c:v>466</c:v>
                </c:pt>
                <c:pt idx="3">
                  <c:v>658</c:v>
                </c:pt>
                <c:pt idx="4">
                  <c:v>557</c:v>
                </c:pt>
                <c:pt idx="5">
                  <c:v>551</c:v>
                </c:pt>
                <c:pt idx="6">
                  <c:v>563</c:v>
                </c:pt>
                <c:pt idx="7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E-4A39-B7B0-B352134D9E7B}"/>
            </c:ext>
          </c:extLst>
        </c:ser>
        <c:ser>
          <c:idx val="1"/>
          <c:order val="1"/>
          <c:tx>
            <c:strRef>
              <c:f>'QG Cons Graph'!$Y$2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'QG Cons Graph'!$W$3:$W$14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'QG Cons Graph'!$Y$3:$Y$14</c:f>
              <c:numCache>
                <c:formatCode>General</c:formatCode>
                <c:ptCount val="12"/>
                <c:pt idx="0">
                  <c:v>16</c:v>
                </c:pt>
                <c:pt idx="1">
                  <c:v>81</c:v>
                </c:pt>
                <c:pt idx="2">
                  <c:v>23</c:v>
                </c:pt>
                <c:pt idx="3">
                  <c:v>59</c:v>
                </c:pt>
                <c:pt idx="4">
                  <c:v>61</c:v>
                </c:pt>
                <c:pt idx="5">
                  <c:v>58</c:v>
                </c:pt>
                <c:pt idx="6">
                  <c:v>81</c:v>
                </c:pt>
                <c:pt idx="7">
                  <c:v>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E-4A39-B7B0-B352134D9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831656"/>
        <c:axId val="331155688"/>
      </c:barChart>
      <c:dateAx>
        <c:axId val="217831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55688"/>
        <c:crosses val="autoZero"/>
        <c:auto val="1"/>
        <c:lblOffset val="100"/>
        <c:baseTimeUnit val="months"/>
      </c:dateAx>
      <c:valAx>
        <c:axId val="33115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3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'QG Cons Graph'!$X$24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'QG Cons Graph'!$W$25:$W$36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'QG Cons Graph'!$X$25:$X$36</c:f>
              <c:numCache>
                <c:formatCode>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17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16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C-4CCA-BAB9-C05BCD32B00C}"/>
            </c:ext>
          </c:extLst>
        </c:ser>
        <c:ser>
          <c:idx val="1"/>
          <c:order val="1"/>
          <c:tx>
            <c:strRef>
              <c:f>'QG Cons Graph'!$Y$24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'QG Cons Graph'!$W$25:$W$36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'QG Cons Graph'!$Y$25:$Y$36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BC-4CCA-BAB9-C05BCD32B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020600"/>
        <c:axId val="327585336"/>
      </c:barChart>
      <c:dateAx>
        <c:axId val="3260206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85336"/>
        <c:crosses val="autoZero"/>
        <c:auto val="1"/>
        <c:lblOffset val="100"/>
        <c:baseTimeUnit val="months"/>
      </c:dateAx>
      <c:valAx>
        <c:axId val="32758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2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'QG Rates Graph'!$W$3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'QG Rates Graph'!$V$4:$V$15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'QG Rates Graph'!$W$4:$W$15</c:f>
              <c:numCache>
                <c:formatCode>_-[$R-436]* #,##0.00_-;\-[$R-436]* #,##0.00_-;_-[$R-436]* "-"??_-;_-@_-</c:formatCode>
                <c:ptCount val="12"/>
                <c:pt idx="0">
                  <c:v>17.779420475319924</c:v>
                </c:pt>
                <c:pt idx="1">
                  <c:v>12.167847098214285</c:v>
                </c:pt>
                <c:pt idx="2">
                  <c:v>11.757476510067113</c:v>
                </c:pt>
                <c:pt idx="3">
                  <c:v>14.993972881355932</c:v>
                </c:pt>
                <c:pt idx="4">
                  <c:v>12.395724798387096</c:v>
                </c:pt>
                <c:pt idx="5">
                  <c:v>11.975984999999998</c:v>
                </c:pt>
                <c:pt idx="6">
                  <c:v>21.667901923076922</c:v>
                </c:pt>
                <c:pt idx="7">
                  <c:v>18.020163511187608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3-4759-AEA9-0684D0AC6E60}"/>
            </c:ext>
          </c:extLst>
        </c:ser>
        <c:ser>
          <c:idx val="1"/>
          <c:order val="1"/>
          <c:tx>
            <c:strRef>
              <c:f>'QG Rates Graph'!$X$3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'QG Rates Graph'!$V$4:$V$15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'QG Rates Graph'!$X$4:$X$15</c:f>
              <c:numCache>
                <c:formatCode>_-[$R-436]* #,##0.00_-;\-[$R-436]* #,##0.00_-;_-[$R-436]*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33-4759-AEA9-0684D0AC6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493688"/>
        <c:axId val="352821240"/>
      </c:barChart>
      <c:dateAx>
        <c:axId val="400493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21240"/>
        <c:crosses val="autoZero"/>
        <c:auto val="1"/>
        <c:lblOffset val="100"/>
        <c:baseTimeUnit val="months"/>
      </c:dateAx>
      <c:valAx>
        <c:axId val="35282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9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123825</xdr:rowOff>
    </xdr:from>
    <xdr:to>
      <xdr:col>10</xdr:col>
      <xdr:colOff>133350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FD490-F1FF-CFFB-72F0-451C88486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152400</xdr:rowOff>
    </xdr:from>
    <xdr:to>
      <xdr:col>9</xdr:col>
      <xdr:colOff>209550</xdr:colOff>
      <xdr:row>19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65A085-2589-CE2C-FE5C-0E97EBE70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22</xdr:row>
      <xdr:rowOff>47625</xdr:rowOff>
    </xdr:from>
    <xdr:to>
      <xdr:col>9</xdr:col>
      <xdr:colOff>76200</xdr:colOff>
      <xdr:row>36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91B3E4-315A-8D57-0DF2-C24020DC4558}"/>
            </a:ext>
            <a:ext uri="{147F2762-F138-4A5C-976F-8EAC2B608ADB}">
              <a16:predDERef xmlns:a16="http://schemas.microsoft.com/office/drawing/2014/main" pred="{5665A085-2589-CE2C-FE5C-0E97EBE70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171450</xdr:rowOff>
    </xdr:from>
    <xdr:to>
      <xdr:col>8</xdr:col>
      <xdr:colOff>257175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A8F5E4-0703-BC79-25C7-AADB27A09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6AEA-FAC9-46CB-B9CB-09E480DD9D1F}">
  <sheetPr>
    <pageSetUpPr fitToPage="1"/>
  </sheetPr>
  <dimension ref="A1:K544"/>
  <sheetViews>
    <sheetView tabSelected="1" topLeftCell="A525" workbookViewId="0">
      <selection activeCell="K538" sqref="K538"/>
    </sheetView>
  </sheetViews>
  <sheetFormatPr defaultRowHeight="15"/>
  <cols>
    <col min="1" max="1" width="14.7109375" customWidth="1"/>
    <col min="2" max="2" width="16.28515625" bestFit="1" customWidth="1"/>
    <col min="3" max="3" width="15.140625" bestFit="1" customWidth="1"/>
    <col min="5" max="5" width="14.28515625" bestFit="1" customWidth="1"/>
    <col min="6" max="6" width="12.85546875" bestFit="1" customWidth="1"/>
    <col min="7" max="7" width="10.85546875" bestFit="1" customWidth="1"/>
    <col min="8" max="8" width="21.42578125" bestFit="1" customWidth="1"/>
  </cols>
  <sheetData>
    <row r="1" spans="1:6" ht="18.75">
      <c r="A1" s="6" t="s">
        <v>0</v>
      </c>
    </row>
    <row r="3" spans="1:6">
      <c r="A3" s="14">
        <v>43101</v>
      </c>
    </row>
    <row r="4" spans="1:6" hidden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idden="1">
      <c r="A5" s="4" t="s">
        <v>7</v>
      </c>
      <c r="B5" s="4"/>
      <c r="C5" s="4">
        <v>4842</v>
      </c>
      <c r="D5" s="4">
        <v>4842</v>
      </c>
      <c r="E5" s="5">
        <v>10825.25</v>
      </c>
      <c r="F5" s="5"/>
    </row>
    <row r="6" spans="1:6" hidden="1">
      <c r="A6" s="4" t="s">
        <v>8</v>
      </c>
      <c r="B6" s="4"/>
      <c r="C6" s="4">
        <v>1653</v>
      </c>
      <c r="D6" s="4">
        <v>1653</v>
      </c>
      <c r="E6" s="5"/>
      <c r="F6" s="5"/>
    </row>
    <row r="7" spans="1:6" hidden="1">
      <c r="A7" s="4" t="s">
        <v>9</v>
      </c>
      <c r="B7" s="4">
        <v>4193</v>
      </c>
      <c r="C7" s="4">
        <v>4694</v>
      </c>
      <c r="D7" s="4">
        <v>501</v>
      </c>
      <c r="E7" s="5">
        <v>21024.427199999998</v>
      </c>
      <c r="F7" s="5">
        <v>22.799999999999997</v>
      </c>
    </row>
    <row r="8" spans="1:6" hidden="1">
      <c r="A8" s="4" t="s">
        <v>10</v>
      </c>
      <c r="B8" s="4"/>
      <c r="C8" s="4"/>
      <c r="D8" s="4"/>
      <c r="E8" s="5">
        <v>10825.25</v>
      </c>
      <c r="F8" s="5"/>
    </row>
    <row r="9" spans="1:6" hidden="1">
      <c r="A9" s="4" t="s">
        <v>11</v>
      </c>
      <c r="B9" s="4"/>
      <c r="C9" s="4"/>
      <c r="D9" s="4"/>
      <c r="E9" s="5">
        <v>21047.227199999998</v>
      </c>
      <c r="F9" s="5"/>
    </row>
    <row r="10" spans="1:6" hidden="1">
      <c r="A10" s="4" t="s">
        <v>12</v>
      </c>
      <c r="B10" s="4"/>
      <c r="C10" s="4"/>
      <c r="D10" s="4"/>
      <c r="E10" s="5">
        <v>-10221.977199999998</v>
      </c>
      <c r="F10" s="5"/>
    </row>
    <row r="11" spans="1:6" hidden="1">
      <c r="E11" s="3"/>
      <c r="F11" s="3"/>
    </row>
    <row r="12" spans="1:6" hidden="1">
      <c r="A12" s="1">
        <v>43132</v>
      </c>
      <c r="E12" s="3"/>
      <c r="F12" s="3"/>
    </row>
    <row r="13" spans="1:6" hidden="1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</row>
    <row r="14" spans="1:6" hidden="1">
      <c r="A14" s="4" t="s">
        <v>7</v>
      </c>
      <c r="B14" s="4">
        <v>4842</v>
      </c>
      <c r="C14" s="4">
        <v>5241</v>
      </c>
      <c r="D14" s="4">
        <v>399</v>
      </c>
      <c r="E14" s="5">
        <v>10825.25</v>
      </c>
      <c r="F14" s="5"/>
    </row>
    <row r="15" spans="1:6" hidden="1">
      <c r="A15" s="4" t="s">
        <v>8</v>
      </c>
      <c r="B15" s="4">
        <v>1653</v>
      </c>
      <c r="C15" s="4">
        <v>1804</v>
      </c>
      <c r="D15" s="4">
        <v>151</v>
      </c>
      <c r="E15" s="5"/>
      <c r="F15" s="5"/>
    </row>
    <row r="16" spans="1:6" hidden="1">
      <c r="A16" s="4" t="s">
        <v>9</v>
      </c>
      <c r="B16" s="4">
        <v>4694</v>
      </c>
      <c r="C16" s="4">
        <v>5093</v>
      </c>
      <c r="D16" s="4">
        <v>399</v>
      </c>
      <c r="E16" s="5">
        <v>16866.311399999999</v>
      </c>
      <c r="F16" s="5">
        <v>22.799999999999997</v>
      </c>
    </row>
    <row r="17" spans="1:6" hidden="1">
      <c r="A17" s="4" t="s">
        <v>10</v>
      </c>
      <c r="B17" s="4"/>
      <c r="C17" s="4"/>
      <c r="D17" s="4"/>
      <c r="E17" s="5">
        <v>10825.25</v>
      </c>
      <c r="F17" s="5"/>
    </row>
    <row r="18" spans="1:6" hidden="1">
      <c r="A18" s="4" t="s">
        <v>11</v>
      </c>
      <c r="B18" s="4"/>
      <c r="C18" s="4"/>
      <c r="D18" s="4"/>
      <c r="E18" s="5">
        <v>16889.111399999998</v>
      </c>
      <c r="F18" s="5"/>
    </row>
    <row r="19" spans="1:6" hidden="1">
      <c r="A19" s="4" t="s">
        <v>12</v>
      </c>
      <c r="B19" s="4"/>
      <c r="C19" s="4"/>
      <c r="D19" s="4"/>
      <c r="E19" s="5">
        <v>-6063.861399999998</v>
      </c>
      <c r="F19" s="5"/>
    </row>
    <row r="20" spans="1:6" hidden="1">
      <c r="E20" s="3"/>
      <c r="F20" s="3"/>
    </row>
    <row r="21" spans="1:6" hidden="1">
      <c r="A21" s="1">
        <v>43160</v>
      </c>
      <c r="E21" s="3"/>
      <c r="F21" s="3"/>
    </row>
    <row r="22" spans="1:6" hidden="1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</row>
    <row r="23" spans="1:6" hidden="1">
      <c r="A23" s="4" t="s">
        <v>7</v>
      </c>
      <c r="B23" s="4">
        <v>5241</v>
      </c>
      <c r="C23" s="4">
        <v>5669</v>
      </c>
      <c r="D23" s="4">
        <v>428</v>
      </c>
      <c r="E23" s="5">
        <v>10825.25</v>
      </c>
      <c r="F23" s="5"/>
    </row>
    <row r="24" spans="1:6" hidden="1">
      <c r="A24" s="4" t="s">
        <v>8</v>
      </c>
      <c r="B24" s="4">
        <v>1804</v>
      </c>
      <c r="C24" s="4">
        <v>1950</v>
      </c>
      <c r="D24" s="4">
        <v>146</v>
      </c>
      <c r="E24" s="5"/>
      <c r="F24" s="5"/>
    </row>
    <row r="25" spans="1:6" hidden="1">
      <c r="A25" s="4" t="s">
        <v>9</v>
      </c>
      <c r="B25" s="4">
        <v>5093</v>
      </c>
      <c r="C25" s="4">
        <v>5490</v>
      </c>
      <c r="D25" s="4">
        <v>397</v>
      </c>
      <c r="E25" s="5">
        <v>16809.457999999999</v>
      </c>
      <c r="F25" s="5">
        <v>23</v>
      </c>
    </row>
    <row r="26" spans="1:6" hidden="1">
      <c r="A26" s="4" t="s">
        <v>10</v>
      </c>
      <c r="B26" s="4"/>
      <c r="C26" s="4"/>
      <c r="D26" s="4"/>
      <c r="E26" s="5">
        <v>10825.25</v>
      </c>
      <c r="F26" s="5"/>
    </row>
    <row r="27" spans="1:6" hidden="1">
      <c r="A27" s="4" t="s">
        <v>11</v>
      </c>
      <c r="B27" s="4"/>
      <c r="C27" s="4"/>
      <c r="D27" s="4"/>
      <c r="E27" s="5">
        <v>16832.457999999999</v>
      </c>
      <c r="F27" s="5"/>
    </row>
    <row r="28" spans="1:6" hidden="1">
      <c r="A28" s="4" t="s">
        <v>12</v>
      </c>
      <c r="B28" s="4"/>
      <c r="C28" s="4"/>
      <c r="D28" s="4"/>
      <c r="E28" s="5">
        <v>-6007.2079999999987</v>
      </c>
      <c r="F28" s="5"/>
    </row>
    <row r="29" spans="1:6" hidden="1">
      <c r="E29" s="3"/>
      <c r="F29" s="3"/>
    </row>
    <row r="30" spans="1:6" hidden="1">
      <c r="A30" s="1">
        <v>43191</v>
      </c>
      <c r="E30" s="3"/>
      <c r="F30" s="3"/>
    </row>
    <row r="31" spans="1:6" hidden="1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</row>
    <row r="32" spans="1:6" hidden="1">
      <c r="A32" s="4" t="s">
        <v>7</v>
      </c>
      <c r="B32" s="4">
        <v>5669</v>
      </c>
      <c r="C32" s="4">
        <v>6143</v>
      </c>
      <c r="D32" s="4">
        <v>474</v>
      </c>
      <c r="E32" s="5">
        <v>10825.25</v>
      </c>
      <c r="F32" s="5"/>
    </row>
    <row r="33" spans="1:6" hidden="1">
      <c r="A33" s="4" t="s">
        <v>8</v>
      </c>
      <c r="B33" s="4">
        <v>1950</v>
      </c>
      <c r="C33" s="4">
        <v>2102</v>
      </c>
      <c r="D33" s="4">
        <v>152</v>
      </c>
      <c r="E33" s="5"/>
      <c r="F33" s="5"/>
    </row>
    <row r="34" spans="1:6" hidden="1">
      <c r="A34" s="4" t="s">
        <v>9</v>
      </c>
      <c r="B34" s="4">
        <v>5490</v>
      </c>
      <c r="C34" s="4">
        <v>5964</v>
      </c>
      <c r="D34" s="4">
        <v>474</v>
      </c>
      <c r="E34" s="5">
        <v>20238.067999999999</v>
      </c>
      <c r="F34" s="5">
        <v>23</v>
      </c>
    </row>
    <row r="35" spans="1:6" hidden="1">
      <c r="A35" s="4" t="s">
        <v>10</v>
      </c>
      <c r="B35" s="4"/>
      <c r="C35" s="4"/>
      <c r="D35" s="4"/>
      <c r="E35" s="5">
        <v>10825.25</v>
      </c>
      <c r="F35" s="5"/>
    </row>
    <row r="36" spans="1:6" hidden="1">
      <c r="A36" s="4" t="s">
        <v>11</v>
      </c>
      <c r="B36" s="4"/>
      <c r="C36" s="4"/>
      <c r="D36" s="4"/>
      <c r="E36" s="5">
        <v>20261.067999999999</v>
      </c>
      <c r="F36" s="5"/>
    </row>
    <row r="37" spans="1:6" hidden="1">
      <c r="A37" s="4" t="s">
        <v>12</v>
      </c>
      <c r="B37" s="4"/>
      <c r="C37" s="4"/>
      <c r="D37" s="4"/>
      <c r="E37" s="5">
        <v>-9435.8179999999993</v>
      </c>
      <c r="F37" s="5"/>
    </row>
    <row r="38" spans="1:6" hidden="1">
      <c r="E38" s="3"/>
      <c r="F38" s="3"/>
    </row>
    <row r="39" spans="1:6" hidden="1">
      <c r="A39" s="1">
        <v>43221</v>
      </c>
      <c r="E39" s="3"/>
      <c r="F39" s="3"/>
    </row>
    <row r="40" spans="1:6" hidden="1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</row>
    <row r="41" spans="1:6" hidden="1">
      <c r="A41" s="4" t="s">
        <v>7</v>
      </c>
      <c r="B41" s="4">
        <v>6143</v>
      </c>
      <c r="C41" s="4">
        <v>6575</v>
      </c>
      <c r="D41" s="4">
        <v>432</v>
      </c>
      <c r="E41" s="5">
        <v>10825.25</v>
      </c>
      <c r="F41" s="5"/>
    </row>
    <row r="42" spans="1:6" hidden="1">
      <c r="A42" s="4" t="s">
        <v>8</v>
      </c>
      <c r="B42" s="4">
        <v>2102</v>
      </c>
      <c r="C42" s="4">
        <v>2304</v>
      </c>
      <c r="D42" s="4">
        <v>202</v>
      </c>
      <c r="E42" s="5"/>
      <c r="F42" s="5"/>
    </row>
    <row r="43" spans="1:6" hidden="1">
      <c r="A43" s="4" t="s">
        <v>9</v>
      </c>
      <c r="B43" s="4">
        <v>5964</v>
      </c>
      <c r="C43" s="4">
        <v>6411</v>
      </c>
      <c r="D43" s="4">
        <v>447</v>
      </c>
      <c r="E43" s="5">
        <v>18920.087499999998</v>
      </c>
      <c r="F43" s="5">
        <v>23</v>
      </c>
    </row>
    <row r="44" spans="1:6" hidden="1">
      <c r="A44" s="4" t="s">
        <v>10</v>
      </c>
      <c r="B44" s="4"/>
      <c r="C44" s="4"/>
      <c r="D44" s="4"/>
      <c r="E44" s="5">
        <v>10825.25</v>
      </c>
      <c r="F44" s="5"/>
    </row>
    <row r="45" spans="1:6" hidden="1">
      <c r="A45" s="4" t="s">
        <v>11</v>
      </c>
      <c r="B45" s="4"/>
      <c r="C45" s="4"/>
      <c r="D45" s="4"/>
      <c r="E45" s="5">
        <v>18943.087499999998</v>
      </c>
      <c r="F45" s="5"/>
    </row>
    <row r="46" spans="1:6" hidden="1">
      <c r="A46" s="4" t="s">
        <v>12</v>
      </c>
      <c r="B46" s="4"/>
      <c r="C46" s="4"/>
      <c r="D46" s="4"/>
      <c r="E46" s="5">
        <v>-8117.8374999999978</v>
      </c>
      <c r="F46" s="5"/>
    </row>
    <row r="47" spans="1:6" hidden="1">
      <c r="E47" s="3"/>
      <c r="F47" s="3"/>
    </row>
    <row r="48" spans="1:6" hidden="1">
      <c r="A48" s="1">
        <v>43252</v>
      </c>
      <c r="E48" s="3"/>
      <c r="F48" s="3"/>
    </row>
    <row r="49" spans="1:6" hidden="1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</row>
    <row r="50" spans="1:6" hidden="1">
      <c r="A50" s="4" t="s">
        <v>7</v>
      </c>
      <c r="B50" s="4">
        <v>6575</v>
      </c>
      <c r="C50" s="4">
        <v>7014</v>
      </c>
      <c r="D50" s="4">
        <v>439</v>
      </c>
      <c r="E50" s="5">
        <v>10825.25</v>
      </c>
      <c r="F50" s="5"/>
    </row>
    <row r="51" spans="1:6" hidden="1">
      <c r="A51" s="4" t="s">
        <v>8</v>
      </c>
      <c r="B51" s="4">
        <v>2304</v>
      </c>
      <c r="C51" s="4">
        <v>2401</v>
      </c>
      <c r="D51" s="4">
        <v>97</v>
      </c>
      <c r="E51" s="5"/>
      <c r="F51" s="5"/>
    </row>
    <row r="52" spans="1:6" hidden="1">
      <c r="A52" s="4" t="s">
        <v>9</v>
      </c>
      <c r="B52" s="4">
        <v>6411</v>
      </c>
      <c r="C52" s="4">
        <v>6411</v>
      </c>
      <c r="D52" s="4">
        <v>0</v>
      </c>
      <c r="E52" s="5">
        <v>18533.2045</v>
      </c>
      <c r="F52" s="5">
        <v>26.035999999999998</v>
      </c>
    </row>
    <row r="53" spans="1:6" hidden="1">
      <c r="A53" s="4" t="s">
        <v>10</v>
      </c>
      <c r="B53" s="4"/>
      <c r="C53" s="4"/>
      <c r="D53" s="4"/>
      <c r="E53" s="5">
        <v>10825.25</v>
      </c>
      <c r="F53" s="5"/>
    </row>
    <row r="54" spans="1:6" hidden="1">
      <c r="A54" s="4" t="s">
        <v>11</v>
      </c>
      <c r="B54" s="4"/>
      <c r="C54" s="4"/>
      <c r="D54" s="4"/>
      <c r="E54" s="5">
        <v>18559.2405</v>
      </c>
      <c r="F54" s="5"/>
    </row>
    <row r="55" spans="1:6" hidden="1">
      <c r="A55" s="4" t="s">
        <v>12</v>
      </c>
      <c r="B55" s="4"/>
      <c r="C55" s="4"/>
      <c r="D55" s="4"/>
      <c r="E55" s="5">
        <v>-7733.9904999999999</v>
      </c>
      <c r="F55" s="5"/>
    </row>
    <row r="56" spans="1:6" hidden="1">
      <c r="E56" s="3"/>
      <c r="F56" s="3"/>
    </row>
    <row r="57" spans="1:6" hidden="1">
      <c r="A57" s="1">
        <v>43282</v>
      </c>
      <c r="E57" s="3"/>
      <c r="F57" s="3"/>
    </row>
    <row r="58" spans="1:6" hidden="1">
      <c r="A58" s="2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2" t="s">
        <v>6</v>
      </c>
    </row>
    <row r="59" spans="1:6" hidden="1">
      <c r="A59" s="4" t="s">
        <v>7</v>
      </c>
      <c r="B59" s="4">
        <v>7014</v>
      </c>
      <c r="C59" s="4">
        <v>7434</v>
      </c>
      <c r="D59" s="4">
        <v>420</v>
      </c>
      <c r="E59" s="5">
        <v>15688.199999999988</v>
      </c>
      <c r="F59" s="5"/>
    </row>
    <row r="60" spans="1:6" hidden="1">
      <c r="A60" s="4" t="s">
        <v>8</v>
      </c>
      <c r="B60" s="4">
        <v>2401</v>
      </c>
      <c r="C60" s="4">
        <v>2517</v>
      </c>
      <c r="D60" s="4">
        <v>116</v>
      </c>
      <c r="E60" s="5"/>
      <c r="F60" s="5"/>
    </row>
    <row r="61" spans="1:6" hidden="1">
      <c r="A61" s="4" t="s">
        <v>9</v>
      </c>
      <c r="B61" s="4">
        <v>6411</v>
      </c>
      <c r="C61" s="4">
        <v>6903</v>
      </c>
      <c r="D61" s="4">
        <v>492</v>
      </c>
      <c r="E61" s="5">
        <v>19746.742000000002</v>
      </c>
      <c r="F61" s="5">
        <v>26.035999999999998</v>
      </c>
    </row>
    <row r="62" spans="1:6" hidden="1">
      <c r="A62" s="4" t="s">
        <v>10</v>
      </c>
      <c r="B62" s="4"/>
      <c r="C62" s="4"/>
      <c r="D62" s="4"/>
      <c r="E62" s="5">
        <v>15688.199999999988</v>
      </c>
      <c r="F62" s="5"/>
    </row>
    <row r="63" spans="1:6" hidden="1">
      <c r="A63" s="4" t="s">
        <v>11</v>
      </c>
      <c r="B63" s="4"/>
      <c r="C63" s="4"/>
      <c r="D63" s="4"/>
      <c r="E63" s="5">
        <v>19772.778000000002</v>
      </c>
      <c r="F63" s="5"/>
    </row>
    <row r="64" spans="1:6" hidden="1">
      <c r="A64" s="4" t="s">
        <v>12</v>
      </c>
      <c r="B64" s="4"/>
      <c r="C64" s="4"/>
      <c r="D64" s="4"/>
      <c r="E64" s="5">
        <v>-4084.5780000000141</v>
      </c>
      <c r="F64" s="5"/>
    </row>
    <row r="65" spans="1:6" hidden="1">
      <c r="E65" s="3"/>
      <c r="F65" s="3"/>
    </row>
    <row r="66" spans="1:6" hidden="1">
      <c r="A66" s="1">
        <v>43313</v>
      </c>
      <c r="E66" s="3"/>
      <c r="F66" s="3"/>
    </row>
    <row r="67" spans="1:6" hidden="1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</row>
    <row r="68" spans="1:6" hidden="1">
      <c r="A68" s="4" t="s">
        <v>7</v>
      </c>
      <c r="B68" s="4">
        <v>7434</v>
      </c>
      <c r="C68" s="4">
        <v>7848</v>
      </c>
      <c r="D68" s="4">
        <v>414</v>
      </c>
      <c r="E68" s="5">
        <v>15483.949999999988</v>
      </c>
      <c r="F68" s="5"/>
    </row>
    <row r="69" spans="1:6" hidden="1">
      <c r="A69" s="4" t="s">
        <v>8</v>
      </c>
      <c r="B69" s="4">
        <v>2517</v>
      </c>
      <c r="C69" s="4">
        <v>2651</v>
      </c>
      <c r="D69" s="4">
        <v>134</v>
      </c>
      <c r="E69" s="5"/>
      <c r="F69" s="5"/>
    </row>
    <row r="70" spans="1:6" hidden="1">
      <c r="A70" s="4" t="s">
        <v>9</v>
      </c>
      <c r="B70" s="4">
        <v>6903</v>
      </c>
      <c r="C70" s="4">
        <v>7165</v>
      </c>
      <c r="D70" s="4">
        <v>262</v>
      </c>
      <c r="E70" s="5">
        <v>19680.720499999996</v>
      </c>
      <c r="F70" s="5">
        <v>26.035999999999998</v>
      </c>
    </row>
    <row r="71" spans="1:6" hidden="1">
      <c r="A71" s="4" t="s">
        <v>10</v>
      </c>
      <c r="B71" s="4"/>
      <c r="C71" s="4"/>
      <c r="D71" s="4"/>
      <c r="E71" s="5">
        <v>15483.949999999988</v>
      </c>
      <c r="F71" s="5"/>
    </row>
    <row r="72" spans="1:6" hidden="1">
      <c r="A72" s="4" t="s">
        <v>11</v>
      </c>
      <c r="B72" s="4"/>
      <c r="C72" s="4"/>
      <c r="D72" s="4"/>
      <c r="E72" s="5">
        <v>19706.756499999996</v>
      </c>
      <c r="F72" s="5"/>
    </row>
    <row r="73" spans="1:6" hidden="1">
      <c r="A73" s="4" t="s">
        <v>12</v>
      </c>
      <c r="B73" s="4"/>
      <c r="C73" s="4"/>
      <c r="D73" s="4"/>
      <c r="E73" s="5">
        <v>-4222.8065000000079</v>
      </c>
      <c r="F73" s="5"/>
    </row>
    <row r="74" spans="1:6" hidden="1">
      <c r="E74" s="3"/>
      <c r="F74" s="3"/>
    </row>
    <row r="75" spans="1:6" hidden="1">
      <c r="A75" s="1">
        <v>43344</v>
      </c>
      <c r="E75" s="3"/>
      <c r="F75" s="3"/>
    </row>
    <row r="76" spans="1:6" hidden="1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</row>
    <row r="77" spans="1:6" hidden="1">
      <c r="A77" s="4" t="s">
        <v>7</v>
      </c>
      <c r="B77" s="4">
        <v>7848</v>
      </c>
      <c r="C77" s="4">
        <v>8341</v>
      </c>
      <c r="D77" s="4">
        <v>493</v>
      </c>
      <c r="E77" s="5">
        <v>15483.949999999988</v>
      </c>
      <c r="F77" s="5"/>
    </row>
    <row r="78" spans="1:6" hidden="1">
      <c r="A78" s="4" t="s">
        <v>8</v>
      </c>
      <c r="B78" s="4">
        <v>2651</v>
      </c>
      <c r="C78" s="4">
        <v>2743</v>
      </c>
      <c r="D78" s="4">
        <v>92</v>
      </c>
      <c r="E78" s="5"/>
      <c r="F78" s="5"/>
    </row>
    <row r="79" spans="1:6" hidden="1">
      <c r="A79" s="4" t="s">
        <v>9</v>
      </c>
      <c r="B79" s="4">
        <v>7165</v>
      </c>
      <c r="C79" s="4">
        <v>7358</v>
      </c>
      <c r="D79" s="4">
        <v>193</v>
      </c>
      <c r="E79" s="5">
        <v>13694.659999999998</v>
      </c>
      <c r="F79" s="5">
        <v>26.035999999999998</v>
      </c>
    </row>
    <row r="80" spans="1:6" hidden="1">
      <c r="A80" s="4" t="s">
        <v>10</v>
      </c>
      <c r="B80" s="4"/>
      <c r="C80" s="4"/>
      <c r="D80" s="4"/>
      <c r="E80" s="5">
        <v>15483.949999999988</v>
      </c>
      <c r="F80" s="5"/>
    </row>
    <row r="81" spans="1:6" hidden="1">
      <c r="A81" s="4" t="s">
        <v>11</v>
      </c>
      <c r="B81" s="4"/>
      <c r="C81" s="4"/>
      <c r="D81" s="4"/>
      <c r="E81" s="5">
        <v>13720.695999999998</v>
      </c>
      <c r="F81" s="5"/>
    </row>
    <row r="82" spans="1:6" hidden="1">
      <c r="A82" s="4" t="s">
        <v>12</v>
      </c>
      <c r="B82" s="4"/>
      <c r="C82" s="4"/>
      <c r="D82" s="4"/>
      <c r="E82" s="5">
        <v>1763.2539999999899</v>
      </c>
      <c r="F82" s="5"/>
    </row>
    <row r="83" spans="1:6" hidden="1">
      <c r="E83" s="3"/>
      <c r="F83" s="3"/>
    </row>
    <row r="84" spans="1:6" hidden="1">
      <c r="A84" s="1">
        <v>43374</v>
      </c>
      <c r="E84" s="3"/>
      <c r="F84" s="3"/>
    </row>
    <row r="85" spans="1:6" hidden="1">
      <c r="A85" s="2" t="s">
        <v>1</v>
      </c>
      <c r="B85" s="2" t="s">
        <v>2</v>
      </c>
      <c r="C85" s="2" t="s">
        <v>3</v>
      </c>
      <c r="D85" s="2" t="s">
        <v>4</v>
      </c>
      <c r="E85" s="2" t="s">
        <v>5</v>
      </c>
      <c r="F85" s="2" t="s">
        <v>6</v>
      </c>
    </row>
    <row r="86" spans="1:6" hidden="1">
      <c r="A86" s="4" t="s">
        <v>7</v>
      </c>
      <c r="B86" s="4">
        <v>8341</v>
      </c>
      <c r="C86" s="4">
        <v>8798</v>
      </c>
      <c r="D86" s="4">
        <v>457</v>
      </c>
      <c r="E86" s="5">
        <v>15483.949999999988</v>
      </c>
      <c r="F86" s="5"/>
    </row>
    <row r="87" spans="1:6" hidden="1">
      <c r="A87" s="4" t="s">
        <v>8</v>
      </c>
      <c r="B87" s="4">
        <v>2743</v>
      </c>
      <c r="C87" s="4">
        <v>2806</v>
      </c>
      <c r="D87" s="4">
        <v>63</v>
      </c>
      <c r="E87" s="5"/>
      <c r="F87" s="5"/>
    </row>
    <row r="88" spans="1:6" hidden="1">
      <c r="A88" s="4" t="s">
        <v>9</v>
      </c>
      <c r="B88" s="4">
        <v>7358</v>
      </c>
      <c r="C88" s="4">
        <v>7926</v>
      </c>
      <c r="D88" s="4">
        <v>568</v>
      </c>
      <c r="E88" s="5">
        <v>17365.850999999999</v>
      </c>
      <c r="F88" s="5">
        <v>26.035999999999998</v>
      </c>
    </row>
    <row r="89" spans="1:6" hidden="1">
      <c r="A89" s="4" t="s">
        <v>10</v>
      </c>
      <c r="B89" s="4"/>
      <c r="C89" s="4"/>
      <c r="D89" s="4"/>
      <c r="E89" s="5">
        <v>15483.949999999988</v>
      </c>
      <c r="F89" s="5"/>
    </row>
    <row r="90" spans="1:6" hidden="1">
      <c r="A90" s="4" t="s">
        <v>11</v>
      </c>
      <c r="B90" s="4"/>
      <c r="C90" s="4"/>
      <c r="D90" s="4"/>
      <c r="E90" s="5">
        <v>17391.886999999999</v>
      </c>
      <c r="F90" s="5"/>
    </row>
    <row r="91" spans="1:6" hidden="1">
      <c r="A91" s="4" t="s">
        <v>12</v>
      </c>
      <c r="B91" s="4"/>
      <c r="C91" s="4"/>
      <c r="D91" s="4"/>
      <c r="E91" s="5">
        <v>-1907.9370000000108</v>
      </c>
      <c r="F91" s="5"/>
    </row>
    <row r="92" spans="1:6" hidden="1">
      <c r="E92" s="3"/>
      <c r="F92" s="3"/>
    </row>
    <row r="93" spans="1:6" hidden="1">
      <c r="A93" s="1">
        <v>43405</v>
      </c>
      <c r="E93" s="3"/>
      <c r="F93" s="3"/>
    </row>
    <row r="94" spans="1:6" hidden="1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</row>
    <row r="95" spans="1:6" hidden="1">
      <c r="A95" s="4" t="s">
        <v>7</v>
      </c>
      <c r="B95" s="4">
        <v>8798</v>
      </c>
      <c r="C95" s="4">
        <v>9207</v>
      </c>
      <c r="D95" s="4">
        <v>409</v>
      </c>
      <c r="E95" s="5">
        <v>15483.949999999988</v>
      </c>
      <c r="F95" s="5"/>
    </row>
    <row r="96" spans="1:6" hidden="1">
      <c r="A96" s="4" t="s">
        <v>8</v>
      </c>
      <c r="B96" s="4">
        <v>2806</v>
      </c>
      <c r="C96" s="4">
        <v>2872</v>
      </c>
      <c r="D96" s="4">
        <v>66</v>
      </c>
      <c r="E96" s="5"/>
      <c r="F96" s="5"/>
    </row>
    <row r="97" spans="1:11" hidden="1">
      <c r="A97" s="4" t="s">
        <v>9</v>
      </c>
      <c r="B97" s="4">
        <v>1762</v>
      </c>
      <c r="C97" s="4">
        <v>5964</v>
      </c>
      <c r="D97" s="4">
        <v>4202</v>
      </c>
      <c r="E97" s="5">
        <v>4220.4884999999995</v>
      </c>
      <c r="F97" s="5">
        <v>26.035999999999998</v>
      </c>
    </row>
    <row r="98" spans="1:11" hidden="1">
      <c r="A98" s="4" t="s">
        <v>10</v>
      </c>
      <c r="B98" s="4"/>
      <c r="C98" s="4"/>
      <c r="D98" s="4"/>
      <c r="E98" s="5">
        <v>15483.949999999988</v>
      </c>
      <c r="F98" s="5"/>
    </row>
    <row r="99" spans="1:11" hidden="1">
      <c r="A99" s="4" t="s">
        <v>11</v>
      </c>
      <c r="B99" s="4"/>
      <c r="C99" s="4"/>
      <c r="D99" s="4"/>
      <c r="E99" s="5">
        <v>4246.5244999999995</v>
      </c>
      <c r="F99" s="5"/>
    </row>
    <row r="100" spans="1:11" hidden="1">
      <c r="A100" s="4" t="s">
        <v>12</v>
      </c>
      <c r="B100" s="4"/>
      <c r="C100" s="4"/>
      <c r="D100" s="4"/>
      <c r="E100" s="5">
        <v>11237.425499999988</v>
      </c>
      <c r="F100" s="5"/>
    </row>
    <row r="101" spans="1:11" hidden="1">
      <c r="E101" s="3"/>
      <c r="F101" s="3"/>
    </row>
    <row r="102" spans="1:11" hidden="1">
      <c r="A102" s="1">
        <v>43435</v>
      </c>
      <c r="E102" s="3"/>
      <c r="F102" s="3"/>
    </row>
    <row r="103" spans="1:11" hidden="1">
      <c r="A103" s="2" t="s">
        <v>1</v>
      </c>
      <c r="B103" s="2" t="s">
        <v>2</v>
      </c>
      <c r="C103" s="2" t="s">
        <v>3</v>
      </c>
      <c r="D103" s="2" t="s">
        <v>4</v>
      </c>
      <c r="E103" s="2" t="s">
        <v>5</v>
      </c>
      <c r="F103" s="2" t="s">
        <v>6</v>
      </c>
    </row>
    <row r="104" spans="1:11" hidden="1">
      <c r="A104" s="4" t="s">
        <v>7</v>
      </c>
      <c r="B104" s="4">
        <v>9207</v>
      </c>
      <c r="C104" s="4">
        <v>9740</v>
      </c>
      <c r="D104" s="4">
        <v>533</v>
      </c>
      <c r="E104" s="5">
        <v>15483.949999999988</v>
      </c>
      <c r="F104" s="5"/>
    </row>
    <row r="105" spans="1:11" hidden="1">
      <c r="A105" s="4" t="s">
        <v>8</v>
      </c>
      <c r="B105" s="4">
        <v>2872</v>
      </c>
      <c r="C105" s="4">
        <v>2951</v>
      </c>
      <c r="D105" s="4">
        <v>79</v>
      </c>
      <c r="E105" s="5"/>
      <c r="F105" s="5"/>
    </row>
    <row r="106" spans="1:11" hidden="1">
      <c r="A106" s="4" t="s">
        <v>9</v>
      </c>
      <c r="B106" s="4">
        <v>5964</v>
      </c>
      <c r="C106" s="4">
        <v>6411</v>
      </c>
      <c r="D106" s="4">
        <v>447</v>
      </c>
      <c r="E106" s="5">
        <v>24705.932999999997</v>
      </c>
      <c r="F106" s="5">
        <v>1379.9079999999999</v>
      </c>
    </row>
    <row r="107" spans="1:11" hidden="1">
      <c r="A107" s="4" t="s">
        <v>10</v>
      </c>
      <c r="B107" s="4"/>
      <c r="C107" s="4"/>
      <c r="D107" s="4"/>
      <c r="E107" s="5">
        <v>15483.949999999988</v>
      </c>
      <c r="F107" s="5"/>
    </row>
    <row r="108" spans="1:11" hidden="1">
      <c r="A108" s="4" t="s">
        <v>11</v>
      </c>
      <c r="B108" s="4"/>
      <c r="C108" s="4"/>
      <c r="D108" s="4"/>
      <c r="E108" s="5">
        <v>26085.840999999997</v>
      </c>
      <c r="F108" s="5"/>
    </row>
    <row r="109" spans="1:11" hidden="1">
      <c r="A109" s="4" t="s">
        <v>12</v>
      </c>
      <c r="B109" s="4"/>
      <c r="C109" s="4"/>
      <c r="D109" s="4"/>
      <c r="E109" s="5">
        <v>-10601.891000000009</v>
      </c>
      <c r="F109" s="5"/>
    </row>
    <row r="110" spans="1:11">
      <c r="E110" s="3"/>
      <c r="F110" s="3"/>
    </row>
    <row r="111" spans="1:11">
      <c r="A111" s="14">
        <v>43466</v>
      </c>
      <c r="E111" s="3"/>
      <c r="F111" s="3"/>
    </row>
    <row r="112" spans="1:11" hidden="1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  <c r="G112" s="2" t="s">
        <v>13</v>
      </c>
      <c r="H112" s="2" t="s">
        <v>14</v>
      </c>
      <c r="I112" s="2" t="s">
        <v>15</v>
      </c>
      <c r="J112" s="2" t="s">
        <v>16</v>
      </c>
      <c r="K112" s="2" t="s">
        <v>17</v>
      </c>
    </row>
    <row r="113" spans="1:11" hidden="1">
      <c r="A113" s="4" t="s">
        <v>7</v>
      </c>
      <c r="B113" s="4">
        <v>9740</v>
      </c>
      <c r="C113" s="4">
        <v>10053</v>
      </c>
      <c r="D113" s="4">
        <v>313</v>
      </c>
      <c r="E113" s="5">
        <v>15483.949999999988</v>
      </c>
      <c r="F113" s="5"/>
      <c r="G113" s="4" t="s">
        <v>18</v>
      </c>
      <c r="H113" s="4" t="s">
        <v>19</v>
      </c>
      <c r="I113" s="4">
        <v>24</v>
      </c>
      <c r="J113" s="4">
        <f>(D113+D114)/I113</f>
        <v>17.833333333333332</v>
      </c>
      <c r="K113" s="5">
        <f>E113/(D113+D114)</f>
        <v>36.177453271028007</v>
      </c>
    </row>
    <row r="114" spans="1:11" hidden="1">
      <c r="A114" s="4" t="s">
        <v>8</v>
      </c>
      <c r="B114" s="4">
        <v>2951</v>
      </c>
      <c r="C114" s="4">
        <v>3066</v>
      </c>
      <c r="D114" s="4">
        <v>115</v>
      </c>
      <c r="E114" s="5"/>
      <c r="F114" s="5"/>
      <c r="G114" s="4"/>
      <c r="H114" s="4"/>
      <c r="I114" s="4"/>
      <c r="J114" s="4"/>
      <c r="K114" s="4"/>
    </row>
    <row r="115" spans="1:11" hidden="1">
      <c r="A115" s="4" t="s">
        <v>9</v>
      </c>
      <c r="B115" s="4">
        <v>2931</v>
      </c>
      <c r="C115" s="4">
        <v>3066</v>
      </c>
      <c r="D115" s="4">
        <v>135</v>
      </c>
      <c r="E115" s="5">
        <v>1285.4699999999998</v>
      </c>
      <c r="F115" s="5">
        <v>1379.9079999999999</v>
      </c>
      <c r="G115" s="4" t="s">
        <v>18</v>
      </c>
      <c r="H115" s="4" t="s">
        <v>20</v>
      </c>
      <c r="I115" s="4">
        <v>44</v>
      </c>
      <c r="J115" s="4">
        <v>3</v>
      </c>
      <c r="K115" s="5">
        <f>E115/D115</f>
        <v>9.5219999999999985</v>
      </c>
    </row>
    <row r="116" spans="1:11" hidden="1">
      <c r="A116" s="4" t="s">
        <v>10</v>
      </c>
      <c r="B116" s="4"/>
      <c r="C116" s="4"/>
      <c r="D116" s="4">
        <f>D113+D114</f>
        <v>428</v>
      </c>
      <c r="E116" s="5">
        <v>15483.949999999988</v>
      </c>
      <c r="F116" s="5"/>
      <c r="G116" s="4"/>
      <c r="H116" s="4"/>
      <c r="I116" s="4"/>
      <c r="J116" s="4"/>
      <c r="K116" s="4"/>
    </row>
    <row r="117" spans="1:11" hidden="1">
      <c r="A117" s="4" t="s">
        <v>11</v>
      </c>
      <c r="B117" s="4"/>
      <c r="C117" s="4"/>
      <c r="D117" s="4">
        <f>D115</f>
        <v>135</v>
      </c>
      <c r="E117" s="5">
        <v>2665.3779999999997</v>
      </c>
      <c r="F117" s="5"/>
      <c r="G117" s="4"/>
      <c r="H117" s="4"/>
      <c r="I117" s="4"/>
      <c r="J117" s="4"/>
      <c r="K117" s="4"/>
    </row>
    <row r="118" spans="1:11" hidden="1">
      <c r="A118" s="4" t="s">
        <v>12</v>
      </c>
      <c r="B118" s="4"/>
      <c r="C118" s="4"/>
      <c r="D118" s="4"/>
      <c r="E118" s="5">
        <v>12818.571999999989</v>
      </c>
      <c r="F118" s="5"/>
      <c r="G118" s="4"/>
      <c r="H118" s="4"/>
      <c r="I118" s="4"/>
      <c r="J118" s="4"/>
      <c r="K118" s="4"/>
    </row>
    <row r="119" spans="1:11" hidden="1">
      <c r="E119" s="3"/>
      <c r="F119" s="3"/>
    </row>
    <row r="120" spans="1:11" hidden="1">
      <c r="A120" s="1">
        <v>43497</v>
      </c>
      <c r="E120" s="3"/>
      <c r="F120" s="3"/>
    </row>
    <row r="121" spans="1:11" hidden="1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  <c r="F121" s="2" t="s">
        <v>6</v>
      </c>
      <c r="G121" s="2" t="s">
        <v>13</v>
      </c>
      <c r="H121" s="2" t="s">
        <v>14</v>
      </c>
      <c r="I121" s="2" t="s">
        <v>15</v>
      </c>
      <c r="J121" s="2" t="s">
        <v>16</v>
      </c>
      <c r="K121" s="2" t="s">
        <v>17</v>
      </c>
    </row>
    <row r="122" spans="1:11" hidden="1">
      <c r="A122" s="4" t="s">
        <v>7</v>
      </c>
      <c r="B122" s="4">
        <v>10053</v>
      </c>
      <c r="C122" s="4">
        <v>10402</v>
      </c>
      <c r="D122" s="4">
        <v>349</v>
      </c>
      <c r="E122" s="5">
        <v>15483.949999999988</v>
      </c>
      <c r="F122" s="5"/>
      <c r="G122" s="4" t="s">
        <v>18</v>
      </c>
      <c r="H122" s="4" t="s">
        <v>21</v>
      </c>
      <c r="I122" s="4">
        <v>28</v>
      </c>
      <c r="J122" s="4">
        <f>(D122+D123)/I122</f>
        <v>17.035714285714285</v>
      </c>
      <c r="K122" s="5">
        <f>E122/(D122+D123)</f>
        <v>32.461111111111087</v>
      </c>
    </row>
    <row r="123" spans="1:11" hidden="1">
      <c r="A123" s="4" t="s">
        <v>8</v>
      </c>
      <c r="B123" s="4">
        <v>3066</v>
      </c>
      <c r="C123" s="4">
        <v>3194</v>
      </c>
      <c r="D123" s="4">
        <v>128</v>
      </c>
      <c r="E123" s="5"/>
      <c r="F123" s="5"/>
      <c r="G123" s="4"/>
      <c r="H123" s="4"/>
      <c r="I123" s="4"/>
      <c r="J123" s="4"/>
      <c r="K123" s="4"/>
    </row>
    <row r="124" spans="1:11" hidden="1">
      <c r="A124" s="4" t="s">
        <v>9</v>
      </c>
      <c r="B124" s="4">
        <v>3066</v>
      </c>
      <c r="C124" s="4">
        <v>3188</v>
      </c>
      <c r="D124" s="4">
        <v>122</v>
      </c>
      <c r="E124" s="5">
        <v>1161.684</v>
      </c>
      <c r="F124" s="5">
        <v>1379.9079999999999</v>
      </c>
      <c r="G124" s="4" t="s">
        <v>18</v>
      </c>
      <c r="H124" s="4" t="s">
        <v>22</v>
      </c>
      <c r="I124" s="4">
        <v>25</v>
      </c>
      <c r="J124" s="4">
        <v>4</v>
      </c>
      <c r="K124" s="5">
        <f>E124/D124</f>
        <v>9.5220000000000002</v>
      </c>
    </row>
    <row r="125" spans="1:11" hidden="1">
      <c r="A125" s="4" t="s">
        <v>10</v>
      </c>
      <c r="B125" s="4"/>
      <c r="C125" s="4"/>
      <c r="D125" s="4">
        <f>D122+D123</f>
        <v>477</v>
      </c>
      <c r="E125" s="5">
        <v>15483.949999999988</v>
      </c>
      <c r="F125" s="5"/>
      <c r="G125" s="4"/>
      <c r="H125" s="4"/>
      <c r="I125" s="4"/>
      <c r="J125" s="4"/>
      <c r="K125" s="4"/>
    </row>
    <row r="126" spans="1:11" hidden="1">
      <c r="A126" s="4" t="s">
        <v>11</v>
      </c>
      <c r="B126" s="4"/>
      <c r="C126" s="4"/>
      <c r="D126" s="4">
        <f>D124</f>
        <v>122</v>
      </c>
      <c r="E126" s="5">
        <v>2541.5919999999996</v>
      </c>
      <c r="F126" s="5"/>
      <c r="G126" s="4"/>
      <c r="H126" s="4"/>
      <c r="I126" s="4"/>
      <c r="J126" s="4"/>
      <c r="K126" s="4"/>
    </row>
    <row r="127" spans="1:11" hidden="1">
      <c r="A127" s="4" t="s">
        <v>12</v>
      </c>
      <c r="B127" s="4"/>
      <c r="C127" s="4"/>
      <c r="D127" s="4"/>
      <c r="E127" s="5">
        <v>12942.357999999989</v>
      </c>
      <c r="F127" s="5"/>
      <c r="G127" s="4"/>
      <c r="H127" s="4"/>
      <c r="I127" s="4"/>
      <c r="J127" s="4"/>
      <c r="K127" s="4"/>
    </row>
    <row r="128" spans="1:11" hidden="1">
      <c r="E128" s="3"/>
      <c r="F128" s="3"/>
    </row>
    <row r="129" spans="1:11" hidden="1">
      <c r="A129" s="1">
        <v>43525</v>
      </c>
      <c r="E129" s="3"/>
      <c r="F129" s="3"/>
    </row>
    <row r="130" spans="1:11" hidden="1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  <c r="F130" s="2" t="s">
        <v>6</v>
      </c>
      <c r="G130" s="2" t="s">
        <v>13</v>
      </c>
      <c r="H130" s="2" t="s">
        <v>14</v>
      </c>
      <c r="I130" s="2" t="s">
        <v>15</v>
      </c>
      <c r="J130" s="2" t="s">
        <v>16</v>
      </c>
      <c r="K130" s="2" t="s">
        <v>17</v>
      </c>
    </row>
    <row r="131" spans="1:11" hidden="1">
      <c r="A131" s="4" t="s">
        <v>7</v>
      </c>
      <c r="B131" s="4">
        <v>10402</v>
      </c>
      <c r="C131" s="4">
        <v>10781</v>
      </c>
      <c r="D131" s="4">
        <v>379</v>
      </c>
      <c r="E131" s="5">
        <v>15483.949999999988</v>
      </c>
      <c r="F131" s="5"/>
      <c r="G131" s="4" t="s">
        <v>18</v>
      </c>
      <c r="H131" s="4" t="s">
        <v>23</v>
      </c>
      <c r="I131" s="4">
        <v>31</v>
      </c>
      <c r="J131" s="4">
        <f>(D131+D132)/I131</f>
        <v>17.161290322580644</v>
      </c>
      <c r="K131" s="5">
        <f>E131/(D131+D132)</f>
        <v>29.105169172932307</v>
      </c>
    </row>
    <row r="132" spans="1:11" hidden="1">
      <c r="A132" s="4" t="s">
        <v>8</v>
      </c>
      <c r="B132" s="4">
        <v>3194</v>
      </c>
      <c r="C132" s="4">
        <v>3347</v>
      </c>
      <c r="D132" s="4">
        <v>153</v>
      </c>
      <c r="E132" s="5"/>
      <c r="F132" s="5"/>
      <c r="G132" s="4"/>
      <c r="H132" s="4"/>
      <c r="I132" s="4"/>
      <c r="J132" s="4"/>
      <c r="K132" s="4"/>
    </row>
    <row r="133" spans="1:11" hidden="1">
      <c r="A133" s="4" t="s">
        <v>9</v>
      </c>
      <c r="B133" s="4">
        <v>3188</v>
      </c>
      <c r="C133" s="4">
        <v>3337</v>
      </c>
      <c r="D133" s="4">
        <v>149</v>
      </c>
      <c r="E133" s="5">
        <v>1418.778</v>
      </c>
      <c r="F133" s="5">
        <v>1379.9079999999999</v>
      </c>
      <c r="G133" s="4" t="s">
        <v>18</v>
      </c>
      <c r="H133" s="4" t="s">
        <v>24</v>
      </c>
      <c r="I133" s="4">
        <v>27</v>
      </c>
      <c r="J133" s="4">
        <v>5</v>
      </c>
      <c r="K133" s="5">
        <f>E133/D133</f>
        <v>9.5220000000000002</v>
      </c>
    </row>
    <row r="134" spans="1:11" hidden="1">
      <c r="A134" s="4" t="s">
        <v>10</v>
      </c>
      <c r="B134" s="4"/>
      <c r="C134" s="4"/>
      <c r="D134" s="4">
        <f>D131+D132</f>
        <v>532</v>
      </c>
      <c r="E134" s="5">
        <v>15483.949999999988</v>
      </c>
      <c r="F134" s="5"/>
      <c r="G134" s="4"/>
      <c r="H134" s="4"/>
      <c r="I134" s="4"/>
      <c r="J134" s="4"/>
      <c r="K134" s="4"/>
    </row>
    <row r="135" spans="1:11" hidden="1">
      <c r="A135" s="4" t="s">
        <v>11</v>
      </c>
      <c r="B135" s="4"/>
      <c r="C135" s="4"/>
      <c r="D135" s="4">
        <f>D133</f>
        <v>149</v>
      </c>
      <c r="E135" s="5">
        <v>2798.6859999999997</v>
      </c>
      <c r="F135" s="5"/>
      <c r="G135" s="4"/>
      <c r="H135" s="4"/>
      <c r="I135" s="4"/>
      <c r="J135" s="4"/>
      <c r="K135" s="4"/>
    </row>
    <row r="136" spans="1:11" hidden="1">
      <c r="A136" s="4" t="s">
        <v>12</v>
      </c>
      <c r="B136" s="4"/>
      <c r="C136" s="4"/>
      <c r="D136" s="4"/>
      <c r="E136" s="5">
        <v>12685.263999999988</v>
      </c>
      <c r="F136" s="5"/>
      <c r="G136" s="4"/>
      <c r="H136" s="4"/>
      <c r="I136" s="4"/>
      <c r="J136" s="4"/>
      <c r="K136" s="4"/>
    </row>
    <row r="137" spans="1:11" hidden="1">
      <c r="E137" s="3"/>
      <c r="F137" s="3"/>
    </row>
    <row r="138" spans="1:11" hidden="1">
      <c r="A138" s="1">
        <v>43556</v>
      </c>
      <c r="E138" s="3"/>
      <c r="F138" s="3"/>
    </row>
    <row r="139" spans="1:11" hidden="1">
      <c r="A139" s="2" t="s">
        <v>1</v>
      </c>
      <c r="B139" s="2" t="s">
        <v>2</v>
      </c>
      <c r="C139" s="2" t="s">
        <v>3</v>
      </c>
      <c r="D139" s="2" t="s">
        <v>4</v>
      </c>
      <c r="E139" s="2" t="s">
        <v>5</v>
      </c>
      <c r="F139" s="2" t="s">
        <v>6</v>
      </c>
      <c r="G139" s="2" t="s">
        <v>13</v>
      </c>
      <c r="H139" s="2" t="s">
        <v>14</v>
      </c>
      <c r="I139" s="2" t="s">
        <v>15</v>
      </c>
      <c r="J139" s="2" t="s">
        <v>16</v>
      </c>
      <c r="K139" s="2" t="s">
        <v>17</v>
      </c>
    </row>
    <row r="140" spans="1:11" hidden="1">
      <c r="A140" s="4" t="s">
        <v>7</v>
      </c>
      <c r="B140" s="4">
        <v>10781</v>
      </c>
      <c r="C140" s="4">
        <v>11224</v>
      </c>
      <c r="D140" s="4">
        <v>443</v>
      </c>
      <c r="E140" s="5">
        <v>15483.949999999988</v>
      </c>
      <c r="F140" s="5"/>
      <c r="G140" s="4" t="s">
        <v>18</v>
      </c>
      <c r="H140" s="4" t="s">
        <v>25</v>
      </c>
      <c r="I140" s="4">
        <v>31</v>
      </c>
      <c r="J140" s="4">
        <f>(D140+D141)/I140</f>
        <v>18.70967741935484</v>
      </c>
      <c r="K140" s="5">
        <f>E140/(D140+D141)</f>
        <v>26.696465517241357</v>
      </c>
    </row>
    <row r="141" spans="1:11" hidden="1">
      <c r="A141" s="4" t="s">
        <v>8</v>
      </c>
      <c r="B141" s="4">
        <v>3347</v>
      </c>
      <c r="C141" s="4">
        <v>3484</v>
      </c>
      <c r="D141" s="4">
        <v>137</v>
      </c>
      <c r="E141" s="5"/>
      <c r="F141" s="5"/>
      <c r="G141" s="4"/>
      <c r="H141" s="4"/>
      <c r="I141" s="4"/>
      <c r="J141" s="4"/>
      <c r="K141" s="4"/>
    </row>
    <row r="142" spans="1:11" hidden="1">
      <c r="A142" s="4" t="s">
        <v>9</v>
      </c>
      <c r="B142" s="4">
        <v>3337</v>
      </c>
      <c r="C142" s="4">
        <v>3449</v>
      </c>
      <c r="D142" s="4">
        <v>112</v>
      </c>
      <c r="E142" s="5">
        <v>1066.4639999999999</v>
      </c>
      <c r="F142" s="5">
        <v>1379.9079999999999</v>
      </c>
      <c r="G142" s="4" t="s">
        <v>18</v>
      </c>
      <c r="H142" s="4" t="s">
        <v>26</v>
      </c>
      <c r="I142" s="4">
        <v>26</v>
      </c>
      <c r="J142" s="4">
        <v>4</v>
      </c>
      <c r="K142" s="5">
        <f>E142/D142</f>
        <v>9.5220000000000002</v>
      </c>
    </row>
    <row r="143" spans="1:11" hidden="1">
      <c r="A143" s="4" t="s">
        <v>10</v>
      </c>
      <c r="B143" s="4"/>
      <c r="C143" s="4"/>
      <c r="D143" s="4">
        <f>D140+D141</f>
        <v>580</v>
      </c>
      <c r="E143" s="5">
        <v>15483.949999999988</v>
      </c>
      <c r="F143" s="5"/>
      <c r="G143" s="4"/>
      <c r="H143" s="4"/>
      <c r="I143" s="4"/>
      <c r="J143" s="4"/>
      <c r="K143" s="4"/>
    </row>
    <row r="144" spans="1:11" hidden="1">
      <c r="A144" s="4" t="s">
        <v>11</v>
      </c>
      <c r="B144" s="4"/>
      <c r="C144" s="4"/>
      <c r="D144" s="4">
        <f>D142</f>
        <v>112</v>
      </c>
      <c r="E144" s="5">
        <v>2446.3719999999998</v>
      </c>
      <c r="F144" s="5"/>
      <c r="G144" s="4"/>
      <c r="H144" s="4"/>
      <c r="I144" s="4"/>
      <c r="J144" s="4"/>
      <c r="K144" s="4"/>
    </row>
    <row r="145" spans="1:11" hidden="1">
      <c r="A145" s="4" t="s">
        <v>12</v>
      </c>
      <c r="B145" s="4"/>
      <c r="C145" s="4"/>
      <c r="D145" s="4"/>
      <c r="E145" s="5">
        <v>13037.577999999989</v>
      </c>
      <c r="F145" s="5"/>
      <c r="G145" s="4"/>
      <c r="H145" s="4"/>
      <c r="I145" s="4"/>
      <c r="J145" s="4"/>
      <c r="K145" s="4"/>
    </row>
    <row r="146" spans="1:11" hidden="1">
      <c r="I146" s="3"/>
    </row>
    <row r="147" spans="1:11" hidden="1">
      <c r="A147" s="1">
        <v>43586</v>
      </c>
      <c r="E147" s="3"/>
      <c r="F147" s="3"/>
      <c r="I147" s="3"/>
    </row>
    <row r="148" spans="1:11" hidden="1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  <c r="G148" s="2" t="s">
        <v>13</v>
      </c>
      <c r="H148" s="2" t="s">
        <v>14</v>
      </c>
      <c r="I148" s="2" t="s">
        <v>15</v>
      </c>
      <c r="J148" s="2" t="s">
        <v>16</v>
      </c>
      <c r="K148" s="2" t="s">
        <v>17</v>
      </c>
    </row>
    <row r="149" spans="1:11" hidden="1">
      <c r="A149" s="4" t="s">
        <v>7</v>
      </c>
      <c r="B149" s="4">
        <v>11224</v>
      </c>
      <c r="C149" s="4">
        <v>11654</v>
      </c>
      <c r="D149" s="4">
        <f>C149-B149</f>
        <v>430</v>
      </c>
      <c r="E149" s="5">
        <v>15483.95</v>
      </c>
      <c r="F149" s="5"/>
      <c r="G149" s="4" t="s">
        <v>18</v>
      </c>
      <c r="H149" s="4" t="s">
        <v>27</v>
      </c>
      <c r="I149" s="4">
        <v>30</v>
      </c>
      <c r="J149" s="4">
        <f>(D149+D150)/I149</f>
        <v>19.533333333333335</v>
      </c>
      <c r="K149" s="5">
        <f>E149/(D149+D150)</f>
        <v>26.4231228668942</v>
      </c>
    </row>
    <row r="150" spans="1:11" hidden="1">
      <c r="A150" s="4" t="s">
        <v>8</v>
      </c>
      <c r="B150" s="4">
        <v>3484</v>
      </c>
      <c r="C150" s="4">
        <v>3640</v>
      </c>
      <c r="D150" s="4">
        <f t="shared" ref="D150:D151" si="0">C150-B150</f>
        <v>156</v>
      </c>
      <c r="E150" s="5"/>
      <c r="F150" s="5"/>
      <c r="G150" s="4"/>
      <c r="H150" s="4"/>
      <c r="I150" s="4"/>
      <c r="J150" s="4"/>
      <c r="K150" s="4"/>
    </row>
    <row r="151" spans="1:11" hidden="1">
      <c r="A151" s="4" t="s">
        <v>9</v>
      </c>
      <c r="B151" s="4">
        <v>3449</v>
      </c>
      <c r="C151" s="4">
        <v>3597</v>
      </c>
      <c r="D151" s="4">
        <f t="shared" si="0"/>
        <v>148</v>
      </c>
      <c r="E151" s="5">
        <f>1225.44*1.15</f>
        <v>1409.2559999999999</v>
      </c>
      <c r="F151" s="5">
        <f>1199.92*1.15</f>
        <v>1379.9079999999999</v>
      </c>
      <c r="G151" s="4" t="s">
        <v>18</v>
      </c>
      <c r="H151" s="4" t="s">
        <v>28</v>
      </c>
      <c r="I151" s="4">
        <v>30</v>
      </c>
      <c r="J151" s="4">
        <v>5</v>
      </c>
      <c r="K151" s="5">
        <f>E151/D151</f>
        <v>9.5219999999999985</v>
      </c>
    </row>
    <row r="152" spans="1:11" hidden="1">
      <c r="A152" s="4" t="s">
        <v>10</v>
      </c>
      <c r="B152" s="4"/>
      <c r="C152" s="4"/>
      <c r="D152" s="4">
        <f>D149+D150</f>
        <v>586</v>
      </c>
      <c r="E152" s="5">
        <f>E149</f>
        <v>15483.95</v>
      </c>
      <c r="F152" s="5"/>
      <c r="G152" s="4"/>
      <c r="H152" s="4"/>
      <c r="I152" s="4"/>
      <c r="J152" s="4"/>
      <c r="K152" s="4"/>
    </row>
    <row r="153" spans="1:11" hidden="1">
      <c r="A153" s="4" t="s">
        <v>11</v>
      </c>
      <c r="B153" s="4"/>
      <c r="C153" s="4"/>
      <c r="D153" s="4">
        <f>D151</f>
        <v>148</v>
      </c>
      <c r="E153" s="5">
        <v>2789.16</v>
      </c>
      <c r="F153" s="5"/>
      <c r="G153" s="4"/>
      <c r="H153" s="4"/>
      <c r="I153" s="4"/>
      <c r="J153" s="4"/>
      <c r="K153" s="4"/>
    </row>
    <row r="154" spans="1:11" hidden="1">
      <c r="A154" s="4" t="s">
        <v>12</v>
      </c>
      <c r="B154" s="4"/>
      <c r="C154" s="4"/>
      <c r="D154" s="4"/>
      <c r="E154" s="5">
        <f>E152-E153</f>
        <v>12694.79</v>
      </c>
      <c r="F154" s="5"/>
      <c r="G154" s="4"/>
      <c r="H154" s="4"/>
      <c r="I154" s="4"/>
      <c r="J154" s="4"/>
      <c r="K154" s="4"/>
    </row>
    <row r="155" spans="1:11" hidden="1"/>
    <row r="156" spans="1:11" hidden="1">
      <c r="A156" s="1">
        <v>43617</v>
      </c>
      <c r="E156" s="3"/>
      <c r="F156" s="3"/>
    </row>
    <row r="157" spans="1:11" hidden="1">
      <c r="A157" s="2" t="s">
        <v>1</v>
      </c>
      <c r="B157" s="2" t="s">
        <v>2</v>
      </c>
      <c r="C157" s="2" t="s">
        <v>3</v>
      </c>
      <c r="D157" s="2" t="s">
        <v>4</v>
      </c>
      <c r="E157" s="2" t="s">
        <v>5</v>
      </c>
      <c r="F157" s="2" t="s">
        <v>6</v>
      </c>
      <c r="G157" s="2" t="s">
        <v>13</v>
      </c>
      <c r="H157" s="2" t="s">
        <v>14</v>
      </c>
      <c r="I157" s="2" t="s">
        <v>15</v>
      </c>
      <c r="J157" s="2" t="s">
        <v>16</v>
      </c>
      <c r="K157" s="2" t="s">
        <v>17</v>
      </c>
    </row>
    <row r="158" spans="1:11" hidden="1">
      <c r="A158" s="4" t="s">
        <v>7</v>
      </c>
      <c r="B158" s="4">
        <f>C149</f>
        <v>11654</v>
      </c>
      <c r="C158" s="4">
        <v>12129</v>
      </c>
      <c r="D158" s="4">
        <f>C158-B158</f>
        <v>475</v>
      </c>
      <c r="E158" s="5"/>
      <c r="F158" s="5"/>
      <c r="G158" s="4" t="s">
        <v>18</v>
      </c>
      <c r="H158" s="4" t="s">
        <v>29</v>
      </c>
      <c r="I158" s="4">
        <v>28</v>
      </c>
      <c r="J158" s="4">
        <f>(D158+D159)/I158</f>
        <v>20.607142857142858</v>
      </c>
      <c r="K158" s="5">
        <f>E159/(D158+D159)</f>
        <v>26.835268630849221</v>
      </c>
    </row>
    <row r="159" spans="1:11" hidden="1">
      <c r="A159" s="4" t="s">
        <v>8</v>
      </c>
      <c r="B159" s="4">
        <f t="shared" ref="B159:B160" si="1">C150</f>
        <v>3640</v>
      </c>
      <c r="C159" s="4">
        <v>3742</v>
      </c>
      <c r="D159" s="4">
        <f t="shared" ref="D159:D160" si="2">C159-B159</f>
        <v>102</v>
      </c>
      <c r="E159" s="5">
        <f>E161</f>
        <v>15483.95</v>
      </c>
      <c r="F159" s="5"/>
      <c r="G159" s="4"/>
      <c r="H159" s="4"/>
      <c r="I159" s="4"/>
      <c r="J159" s="4"/>
      <c r="K159" s="4"/>
    </row>
    <row r="160" spans="1:11" hidden="1">
      <c r="A160" s="4" t="s">
        <v>9</v>
      </c>
      <c r="B160" s="4">
        <f t="shared" si="1"/>
        <v>3597</v>
      </c>
      <c r="C160" s="4">
        <v>3728</v>
      </c>
      <c r="D160" s="4">
        <f t="shared" si="2"/>
        <v>131</v>
      </c>
      <c r="E160" s="5">
        <f>1084.68*1.15</f>
        <v>1247.3820000000001</v>
      </c>
      <c r="F160" s="5">
        <f>1318.64*1.15</f>
        <v>1516.4359999999999</v>
      </c>
      <c r="G160" s="4" t="s">
        <v>18</v>
      </c>
      <c r="H160" s="4" t="s">
        <v>30</v>
      </c>
      <c r="I160" s="4">
        <v>32</v>
      </c>
      <c r="J160" s="4">
        <v>4</v>
      </c>
      <c r="K160" s="5">
        <f>E160/D160</f>
        <v>9.5220000000000002</v>
      </c>
    </row>
    <row r="161" spans="1:11" hidden="1">
      <c r="A161" s="4" t="s">
        <v>10</v>
      </c>
      <c r="B161" s="4"/>
      <c r="C161" s="4"/>
      <c r="D161" s="4">
        <f>D158+D159</f>
        <v>577</v>
      </c>
      <c r="E161" s="5">
        <v>15483.95</v>
      </c>
      <c r="F161" s="5"/>
      <c r="G161" s="4"/>
      <c r="H161" s="4"/>
      <c r="I161" s="4"/>
      <c r="J161" s="4"/>
      <c r="K161" s="4"/>
    </row>
    <row r="162" spans="1:11" hidden="1">
      <c r="A162" s="4" t="s">
        <v>11</v>
      </c>
      <c r="B162" s="4"/>
      <c r="C162" s="4"/>
      <c r="D162" s="4">
        <f>D160</f>
        <v>131</v>
      </c>
      <c r="E162" s="5">
        <v>2763.82</v>
      </c>
      <c r="F162" s="5"/>
      <c r="G162" s="4"/>
      <c r="H162" s="4"/>
      <c r="I162" s="4"/>
      <c r="J162" s="4"/>
      <c r="K162" s="4"/>
    </row>
    <row r="163" spans="1:11" hidden="1">
      <c r="A163" s="4" t="s">
        <v>12</v>
      </c>
      <c r="B163" s="4"/>
      <c r="C163" s="4"/>
      <c r="D163" s="4"/>
      <c r="E163" s="5">
        <f>E161-E162</f>
        <v>12720.130000000001</v>
      </c>
      <c r="F163" s="5"/>
      <c r="G163" s="4"/>
      <c r="H163" s="4"/>
      <c r="I163" s="4"/>
      <c r="J163" s="4"/>
      <c r="K163" s="4"/>
    </row>
    <row r="164" spans="1:11" hidden="1"/>
    <row r="165" spans="1:11" hidden="1">
      <c r="A165" s="1">
        <v>43647</v>
      </c>
      <c r="E165" s="3"/>
      <c r="F165" s="3"/>
    </row>
    <row r="166" spans="1:11" hidden="1">
      <c r="A166" s="2" t="s">
        <v>1</v>
      </c>
      <c r="B166" s="2" t="s">
        <v>2</v>
      </c>
      <c r="C166" s="2" t="s">
        <v>3</v>
      </c>
      <c r="D166" s="2" t="s">
        <v>4</v>
      </c>
      <c r="E166" s="2" t="s">
        <v>5</v>
      </c>
      <c r="F166" s="2" t="s">
        <v>6</v>
      </c>
      <c r="G166" s="2" t="s">
        <v>13</v>
      </c>
      <c r="H166" s="2" t="s">
        <v>14</v>
      </c>
      <c r="I166" s="2" t="s">
        <v>15</v>
      </c>
      <c r="J166" s="2" t="s">
        <v>16</v>
      </c>
      <c r="K166" s="2" t="s">
        <v>17</v>
      </c>
    </row>
    <row r="167" spans="1:11" hidden="1">
      <c r="A167" s="4" t="s">
        <v>7</v>
      </c>
      <c r="B167" s="4">
        <f>C158</f>
        <v>12129</v>
      </c>
      <c r="C167" s="4">
        <v>12678</v>
      </c>
      <c r="D167" s="4">
        <f>C167-B167</f>
        <v>549</v>
      </c>
      <c r="E167" s="5"/>
      <c r="F167" s="5"/>
      <c r="G167" s="4" t="s">
        <v>18</v>
      </c>
      <c r="H167" s="4" t="s">
        <v>31</v>
      </c>
      <c r="I167" s="4">
        <v>34</v>
      </c>
      <c r="J167" s="4">
        <f>(D167+D168)/I167</f>
        <v>20.058823529411764</v>
      </c>
      <c r="K167" s="5">
        <f>E168/(D167+D168)</f>
        <v>22.703739002932551</v>
      </c>
    </row>
    <row r="168" spans="1:11" hidden="1">
      <c r="A168" s="4" t="s">
        <v>8</v>
      </c>
      <c r="B168" s="4">
        <f t="shared" ref="B168:B169" si="3">C159</f>
        <v>3742</v>
      </c>
      <c r="C168" s="4">
        <v>3875</v>
      </c>
      <c r="D168" s="4">
        <f t="shared" ref="D168:D169" si="4">C168-B168</f>
        <v>133</v>
      </c>
      <c r="E168" s="5">
        <f>E170</f>
        <v>15483.95</v>
      </c>
      <c r="F168" s="5"/>
      <c r="G168" s="4"/>
      <c r="H168" s="4"/>
      <c r="I168" s="4"/>
      <c r="J168" s="4"/>
      <c r="K168" s="4"/>
    </row>
    <row r="169" spans="1:11" hidden="1">
      <c r="A169" s="4" t="s">
        <v>9</v>
      </c>
      <c r="B169" s="4">
        <f t="shared" si="3"/>
        <v>3728</v>
      </c>
      <c r="C169" s="4">
        <v>3813</v>
      </c>
      <c r="D169" s="4">
        <f t="shared" si="4"/>
        <v>85</v>
      </c>
      <c r="E169" s="5">
        <f>E171-F169</f>
        <v>866.97399999999993</v>
      </c>
      <c r="F169" s="5">
        <f>1318.64*1.15</f>
        <v>1516.4359999999999</v>
      </c>
      <c r="G169" s="4" t="s">
        <v>18</v>
      </c>
      <c r="H169" s="4" t="s">
        <v>32</v>
      </c>
      <c r="I169" s="4">
        <v>33</v>
      </c>
      <c r="J169" s="4">
        <v>3</v>
      </c>
      <c r="K169" s="5">
        <f>E169/D169</f>
        <v>10.199694117647057</v>
      </c>
    </row>
    <row r="170" spans="1:11" hidden="1">
      <c r="A170" s="4" t="s">
        <v>10</v>
      </c>
      <c r="B170" s="4"/>
      <c r="C170" s="4"/>
      <c r="D170" s="4">
        <f>D167+D168</f>
        <v>682</v>
      </c>
      <c r="E170" s="5">
        <v>15483.95</v>
      </c>
      <c r="F170" s="5"/>
      <c r="G170" s="4"/>
      <c r="H170" s="4"/>
      <c r="I170" s="4"/>
      <c r="J170" s="4"/>
      <c r="K170" s="4"/>
    </row>
    <row r="171" spans="1:11" hidden="1">
      <c r="A171" s="4" t="s">
        <v>11</v>
      </c>
      <c r="B171" s="4"/>
      <c r="C171" s="4"/>
      <c r="D171" s="4">
        <f>D169</f>
        <v>85</v>
      </c>
      <c r="E171" s="5">
        <v>2383.41</v>
      </c>
      <c r="F171" s="5"/>
      <c r="G171" s="4"/>
      <c r="H171" s="4"/>
      <c r="I171" s="4"/>
      <c r="J171" s="4"/>
      <c r="K171" s="4"/>
    </row>
    <row r="172" spans="1:11" hidden="1">
      <c r="A172" s="4" t="s">
        <v>12</v>
      </c>
      <c r="B172" s="4"/>
      <c r="C172" s="4"/>
      <c r="D172" s="4"/>
      <c r="E172" s="5">
        <f>E170-E171</f>
        <v>13100.54</v>
      </c>
      <c r="F172" s="5"/>
      <c r="G172" s="4"/>
      <c r="H172" s="4"/>
      <c r="I172" s="4"/>
      <c r="J172" s="4"/>
      <c r="K172" s="4"/>
    </row>
    <row r="173" spans="1:11" hidden="1"/>
    <row r="174" spans="1:11" hidden="1">
      <c r="A174" s="1">
        <v>43678</v>
      </c>
      <c r="E174" s="3"/>
      <c r="F174" s="3"/>
    </row>
    <row r="175" spans="1:11" hidden="1">
      <c r="A175" s="2" t="s">
        <v>1</v>
      </c>
      <c r="B175" s="2" t="s">
        <v>2</v>
      </c>
      <c r="C175" s="2" t="s">
        <v>3</v>
      </c>
      <c r="D175" s="2" t="s">
        <v>4</v>
      </c>
      <c r="E175" s="2" t="s">
        <v>5</v>
      </c>
      <c r="F175" s="2" t="s">
        <v>6</v>
      </c>
      <c r="G175" s="2" t="s">
        <v>13</v>
      </c>
      <c r="H175" s="2" t="s">
        <v>14</v>
      </c>
      <c r="I175" s="2" t="s">
        <v>15</v>
      </c>
      <c r="J175" s="2" t="s">
        <v>16</v>
      </c>
      <c r="K175" s="2" t="s">
        <v>17</v>
      </c>
    </row>
    <row r="176" spans="1:11" hidden="1">
      <c r="A176" s="4" t="s">
        <v>7</v>
      </c>
      <c r="B176" s="4">
        <f>C167</f>
        <v>12678</v>
      </c>
      <c r="C176" s="4">
        <v>13191</v>
      </c>
      <c r="D176" s="4">
        <f>C176-B176</f>
        <v>513</v>
      </c>
      <c r="E176" s="5"/>
      <c r="F176" s="5"/>
      <c r="G176" s="4" t="s">
        <v>18</v>
      </c>
      <c r="H176" s="4" t="s">
        <v>33</v>
      </c>
      <c r="I176" s="4">
        <v>34</v>
      </c>
      <c r="J176" s="4">
        <f>(D176+D177)/I176</f>
        <v>17.147058823529413</v>
      </c>
      <c r="K176" s="5">
        <f>E177/(D176+D177)</f>
        <v>14.432092624356775</v>
      </c>
    </row>
    <row r="177" spans="1:11" hidden="1">
      <c r="A177" s="4" t="s">
        <v>8</v>
      </c>
      <c r="B177" s="4">
        <f t="shared" ref="B177" si="5">C168</f>
        <v>3875</v>
      </c>
      <c r="C177" s="4">
        <v>3945</v>
      </c>
      <c r="D177" s="4">
        <f t="shared" ref="D177" si="6">C177-B177</f>
        <v>70</v>
      </c>
      <c r="E177" s="5">
        <v>8413.91</v>
      </c>
      <c r="F177" s="5">
        <v>1516.44</v>
      </c>
      <c r="G177" s="4"/>
      <c r="H177" s="4"/>
      <c r="I177" s="4"/>
      <c r="J177" s="4"/>
      <c r="K177" s="4"/>
    </row>
    <row r="178" spans="1:11" hidden="1">
      <c r="A178" s="4" t="s">
        <v>9</v>
      </c>
      <c r="B178" s="4">
        <v>1762</v>
      </c>
      <c r="C178" s="4">
        <v>6411</v>
      </c>
      <c r="D178" s="4">
        <v>4649</v>
      </c>
      <c r="E178" s="5">
        <v>74300.91</v>
      </c>
      <c r="F178" s="5"/>
      <c r="G178" s="4" t="s">
        <v>18</v>
      </c>
      <c r="H178" s="4" t="s">
        <v>34</v>
      </c>
      <c r="I178" s="4">
        <v>805</v>
      </c>
      <c r="J178" s="4">
        <v>5.7751552795031058</v>
      </c>
      <c r="K178" s="5">
        <v>15.982127339212735</v>
      </c>
    </row>
    <row r="179" spans="1:11" hidden="1">
      <c r="A179" s="4" t="s">
        <v>10</v>
      </c>
      <c r="B179" s="4"/>
      <c r="C179" s="4"/>
      <c r="D179" s="4">
        <f>D176+D177</f>
        <v>583</v>
      </c>
      <c r="E179" s="5">
        <v>9930.35</v>
      </c>
      <c r="F179" s="5"/>
      <c r="G179" s="4"/>
      <c r="H179" s="4"/>
      <c r="I179" s="4"/>
      <c r="J179" s="4"/>
      <c r="K179" s="4"/>
    </row>
    <row r="180" spans="1:11" hidden="1">
      <c r="A180" s="4" t="s">
        <v>11</v>
      </c>
      <c r="B180" s="4"/>
      <c r="C180" s="4"/>
      <c r="D180" s="4">
        <f>D178</f>
        <v>4649</v>
      </c>
      <c r="E180" s="5">
        <f>E178/24</f>
        <v>3095.8712500000001</v>
      </c>
      <c r="F180" s="5"/>
      <c r="G180" s="4"/>
      <c r="H180" s="4"/>
      <c r="I180" s="4"/>
      <c r="J180" s="4"/>
      <c r="K180" s="4"/>
    </row>
    <row r="181" spans="1:11" hidden="1">
      <c r="A181" s="4" t="s">
        <v>12</v>
      </c>
      <c r="B181" s="4"/>
      <c r="C181" s="4"/>
      <c r="D181" s="4"/>
      <c r="E181" s="5">
        <f>E179-E180</f>
        <v>6834.4787500000002</v>
      </c>
      <c r="F181" s="5"/>
      <c r="G181" s="4"/>
      <c r="H181" s="4"/>
      <c r="I181" s="4"/>
      <c r="J181" s="4"/>
      <c r="K181" s="4"/>
    </row>
    <row r="182" spans="1:11" hidden="1">
      <c r="E182" s="5"/>
    </row>
    <row r="183" spans="1:11" hidden="1">
      <c r="A183" s="1">
        <v>43709</v>
      </c>
      <c r="E183" s="3"/>
      <c r="F183" s="3"/>
    </row>
    <row r="184" spans="1:11" hidden="1">
      <c r="A184" s="2" t="s">
        <v>1</v>
      </c>
      <c r="B184" s="2" t="s">
        <v>2</v>
      </c>
      <c r="C184" s="2" t="s">
        <v>3</v>
      </c>
      <c r="D184" s="2" t="s">
        <v>4</v>
      </c>
      <c r="E184" s="2" t="s">
        <v>5</v>
      </c>
      <c r="F184" s="2" t="s">
        <v>6</v>
      </c>
      <c r="G184" s="2" t="s">
        <v>13</v>
      </c>
      <c r="H184" s="2" t="s">
        <v>14</v>
      </c>
      <c r="I184" s="2" t="s">
        <v>15</v>
      </c>
      <c r="J184" s="2" t="s">
        <v>16</v>
      </c>
      <c r="K184" s="2" t="s">
        <v>17</v>
      </c>
    </row>
    <row r="185" spans="1:11" hidden="1">
      <c r="A185" s="4" t="s">
        <v>7</v>
      </c>
      <c r="B185" s="4">
        <f>C176</f>
        <v>13191</v>
      </c>
      <c r="C185" s="4">
        <v>13532</v>
      </c>
      <c r="D185" s="4">
        <f>C185-B185</f>
        <v>341</v>
      </c>
      <c r="E185" s="5"/>
      <c r="F185" s="5"/>
      <c r="G185" s="4" t="s">
        <v>18</v>
      </c>
      <c r="H185" s="4" t="s">
        <v>35</v>
      </c>
      <c r="I185" s="4">
        <v>23</v>
      </c>
      <c r="J185" s="4">
        <f>(D185+D186)/I185</f>
        <v>16.695652173913043</v>
      </c>
      <c r="K185" s="5">
        <f>E186/(D185+D186)</f>
        <v>12.835856770833331</v>
      </c>
    </row>
    <row r="186" spans="1:11" hidden="1">
      <c r="A186" s="4" t="s">
        <v>8</v>
      </c>
      <c r="B186" s="4">
        <f t="shared" ref="B186" si="7">C177</f>
        <v>3945</v>
      </c>
      <c r="C186" s="4">
        <v>3988</v>
      </c>
      <c r="D186" s="4">
        <f t="shared" ref="D186" si="8">C186-B186</f>
        <v>43</v>
      </c>
      <c r="E186" s="5">
        <f>(4218.44+67.62)*1.15</f>
        <v>4928.9689999999991</v>
      </c>
      <c r="F186" s="5">
        <f>1318.64*1.15</f>
        <v>1516.4359999999999</v>
      </c>
      <c r="G186" s="4"/>
      <c r="H186" s="4"/>
      <c r="I186" s="4"/>
      <c r="J186" s="4"/>
      <c r="K186" s="4"/>
    </row>
    <row r="187" spans="1:11" hidden="1">
      <c r="A187" s="4" t="s">
        <v>9</v>
      </c>
      <c r="B187" s="4">
        <f>C178</f>
        <v>6411</v>
      </c>
      <c r="C187" s="4">
        <v>3813</v>
      </c>
      <c r="D187" s="4">
        <f>D178</f>
        <v>4649</v>
      </c>
      <c r="E187" s="5"/>
      <c r="F187" s="5"/>
      <c r="G187" s="4" t="s">
        <v>36</v>
      </c>
      <c r="H187" s="4" t="s">
        <v>37</v>
      </c>
      <c r="I187" s="4">
        <v>805</v>
      </c>
      <c r="J187" s="4"/>
      <c r="K187" s="5"/>
    </row>
    <row r="188" spans="1:11" hidden="1">
      <c r="A188" s="4" t="s">
        <v>10</v>
      </c>
      <c r="B188" s="4"/>
      <c r="C188" s="4"/>
      <c r="D188" s="4">
        <f>D185+D186</f>
        <v>384</v>
      </c>
      <c r="E188" s="5">
        <f>E186+F186</f>
        <v>6445.4049999999988</v>
      </c>
      <c r="F188" s="5"/>
      <c r="G188" s="4"/>
      <c r="H188" s="4"/>
      <c r="I188" s="4"/>
      <c r="J188" s="4"/>
      <c r="K188" s="4"/>
    </row>
    <row r="189" spans="1:11" hidden="1">
      <c r="A189" s="4" t="s">
        <v>11</v>
      </c>
      <c r="B189" s="4"/>
      <c r="C189" s="4"/>
      <c r="D189" s="4">
        <f>D187</f>
        <v>4649</v>
      </c>
      <c r="E189" s="5">
        <f>E180</f>
        <v>3095.8712500000001</v>
      </c>
      <c r="F189" s="5"/>
      <c r="G189" s="4"/>
      <c r="H189" s="4"/>
      <c r="I189" s="4"/>
      <c r="J189" s="4"/>
      <c r="K189" s="4"/>
    </row>
    <row r="190" spans="1:11" hidden="1">
      <c r="A190" s="4" t="s">
        <v>12</v>
      </c>
      <c r="B190" s="4"/>
      <c r="C190" s="4"/>
      <c r="D190" s="4"/>
      <c r="E190" s="5">
        <f>E188-E189</f>
        <v>3349.5337499999987</v>
      </c>
      <c r="F190" s="5"/>
      <c r="G190" s="4"/>
      <c r="H190" s="4"/>
      <c r="I190" s="4"/>
      <c r="J190" s="4"/>
      <c r="K190" s="4"/>
    </row>
    <row r="191" spans="1:11" hidden="1"/>
    <row r="192" spans="1:11" hidden="1">
      <c r="A192" s="1">
        <v>43739</v>
      </c>
      <c r="E192" s="3"/>
      <c r="F192" s="3"/>
    </row>
    <row r="193" spans="1:11" hidden="1">
      <c r="A193" s="2" t="s">
        <v>1</v>
      </c>
      <c r="B193" s="2" t="s">
        <v>2</v>
      </c>
      <c r="C193" s="2" t="s">
        <v>3</v>
      </c>
      <c r="D193" s="2" t="s">
        <v>4</v>
      </c>
      <c r="E193" s="2" t="s">
        <v>5</v>
      </c>
      <c r="F193" s="2" t="s">
        <v>6</v>
      </c>
      <c r="G193" s="2" t="s">
        <v>13</v>
      </c>
      <c r="H193" s="2" t="s">
        <v>14</v>
      </c>
      <c r="I193" s="2" t="s">
        <v>15</v>
      </c>
      <c r="J193" s="2" t="s">
        <v>16</v>
      </c>
      <c r="K193" s="2" t="s">
        <v>17</v>
      </c>
    </row>
    <row r="194" spans="1:11" hidden="1">
      <c r="A194" s="4" t="s">
        <v>7</v>
      </c>
      <c r="B194" s="4">
        <f>C185</f>
        <v>13532</v>
      </c>
      <c r="C194" s="4">
        <v>14069</v>
      </c>
      <c r="D194" s="4">
        <f>C194-B194</f>
        <v>537</v>
      </c>
      <c r="E194" s="5"/>
      <c r="F194" s="5"/>
      <c r="G194" s="4" t="s">
        <v>18</v>
      </c>
      <c r="H194" s="4" t="s">
        <v>38</v>
      </c>
      <c r="I194" s="4">
        <v>34</v>
      </c>
      <c r="J194" s="4">
        <f>(D194+D195)/I194</f>
        <v>18.882352941176471</v>
      </c>
      <c r="K194" s="5">
        <f>E195/(D194+D195)</f>
        <v>16.867793451713396</v>
      </c>
    </row>
    <row r="195" spans="1:11" hidden="1">
      <c r="A195" s="4" t="s">
        <v>8</v>
      </c>
      <c r="B195" s="4">
        <f t="shared" ref="B195" si="9">C186</f>
        <v>3988</v>
      </c>
      <c r="C195" s="4">
        <v>4093</v>
      </c>
      <c r="D195" s="4">
        <f t="shared" ref="D195:D196" si="10">C195-B195</f>
        <v>105</v>
      </c>
      <c r="E195" s="5">
        <f>(8921.92904+494.7)*1.15</f>
        <v>10829.123396000001</v>
      </c>
      <c r="F195" s="5">
        <f>1318.64*1.15</f>
        <v>1516.4359999999999</v>
      </c>
      <c r="G195" s="4"/>
      <c r="H195" s="4"/>
      <c r="I195" s="4"/>
      <c r="J195" s="4"/>
      <c r="K195" s="4"/>
    </row>
    <row r="196" spans="1:11" hidden="1">
      <c r="A196" s="4" t="s">
        <v>9</v>
      </c>
      <c r="B196" s="4">
        <f>C187</f>
        <v>3813</v>
      </c>
      <c r="C196" s="4">
        <v>4111</v>
      </c>
      <c r="D196" s="4">
        <f t="shared" si="10"/>
        <v>298</v>
      </c>
      <c r="E196" s="5"/>
      <c r="F196" s="5"/>
      <c r="G196" s="4" t="s">
        <v>36</v>
      </c>
      <c r="H196" s="4" t="s">
        <v>39</v>
      </c>
      <c r="I196" s="4">
        <v>107</v>
      </c>
      <c r="J196" s="4">
        <f>D198/I196</f>
        <v>2.7850467289719627</v>
      </c>
      <c r="K196" s="5">
        <f>E198/D198</f>
        <v>5.5306375838926174</v>
      </c>
    </row>
    <row r="197" spans="1:11" hidden="1">
      <c r="A197" s="4" t="s">
        <v>10</v>
      </c>
      <c r="B197" s="4"/>
      <c r="C197" s="4"/>
      <c r="D197" s="4">
        <f>D194+D195</f>
        <v>642</v>
      </c>
      <c r="E197" s="5">
        <f>E195+F195</f>
        <v>12345.559396000001</v>
      </c>
      <c r="F197" s="5"/>
      <c r="G197" s="4"/>
      <c r="H197" s="4"/>
      <c r="I197" s="4"/>
      <c r="J197" s="4"/>
      <c r="K197" s="4"/>
    </row>
    <row r="198" spans="1:11" hidden="1">
      <c r="A198" s="4" t="s">
        <v>11</v>
      </c>
      <c r="B198" s="4"/>
      <c r="C198" s="4"/>
      <c r="D198" s="4">
        <f>D196</f>
        <v>298</v>
      </c>
      <c r="E198" s="5">
        <v>1648.13</v>
      </c>
      <c r="F198" s="5"/>
      <c r="G198" s="4"/>
      <c r="H198" s="4"/>
      <c r="I198" s="4"/>
      <c r="J198" s="4"/>
      <c r="K198" s="4"/>
    </row>
    <row r="199" spans="1:11" hidden="1">
      <c r="A199" s="4" t="s">
        <v>12</v>
      </c>
      <c r="B199" s="4"/>
      <c r="C199" s="4"/>
      <c r="D199" s="4"/>
      <c r="E199" s="5">
        <f>E197-E198</f>
        <v>10697.429396</v>
      </c>
      <c r="F199" s="5"/>
      <c r="G199" s="4"/>
      <c r="H199" s="4"/>
      <c r="I199" s="4"/>
      <c r="J199" s="4"/>
      <c r="K199" s="4"/>
    </row>
    <row r="200" spans="1:11" hidden="1"/>
    <row r="201" spans="1:11" hidden="1">
      <c r="A201" s="1">
        <v>43770</v>
      </c>
      <c r="E201" s="3"/>
      <c r="F201" s="3"/>
    </row>
    <row r="202" spans="1:11" hidden="1">
      <c r="A202" s="2" t="s">
        <v>1</v>
      </c>
      <c r="B202" s="2" t="s">
        <v>2</v>
      </c>
      <c r="C202" s="2" t="s">
        <v>3</v>
      </c>
      <c r="D202" s="2" t="s">
        <v>4</v>
      </c>
      <c r="E202" s="2" t="s">
        <v>5</v>
      </c>
      <c r="F202" s="2" t="s">
        <v>6</v>
      </c>
      <c r="G202" s="2" t="s">
        <v>13</v>
      </c>
      <c r="H202" s="2" t="s">
        <v>14</v>
      </c>
      <c r="I202" s="2" t="s">
        <v>15</v>
      </c>
      <c r="J202" s="2" t="s">
        <v>16</v>
      </c>
      <c r="K202" s="2" t="s">
        <v>17</v>
      </c>
    </row>
    <row r="203" spans="1:11" hidden="1">
      <c r="A203" s="4" t="s">
        <v>7</v>
      </c>
      <c r="B203" s="4">
        <f>C194</f>
        <v>14069</v>
      </c>
      <c r="C203" s="4">
        <v>14475</v>
      </c>
      <c r="D203" s="4">
        <f>C203-B203</f>
        <v>406</v>
      </c>
      <c r="E203" s="5"/>
      <c r="F203" s="5"/>
      <c r="G203" s="4" t="s">
        <v>18</v>
      </c>
      <c r="H203" s="4" t="s">
        <v>40</v>
      </c>
      <c r="I203" s="4">
        <v>29</v>
      </c>
      <c r="J203" s="4">
        <f>(D203+D204)/I203</f>
        <v>18.068965517241381</v>
      </c>
      <c r="K203" s="5">
        <f>E204/(D203+D204)</f>
        <v>16.922557076335874</v>
      </c>
    </row>
    <row r="204" spans="1:11" hidden="1">
      <c r="A204" s="4" t="s">
        <v>8</v>
      </c>
      <c r="B204" s="4">
        <f t="shared" ref="B204" si="11">C195</f>
        <v>4093</v>
      </c>
      <c r="C204" s="4">
        <v>4211</v>
      </c>
      <c r="D204" s="4">
        <f t="shared" ref="D204:D205" si="12">C204-B204</f>
        <v>118</v>
      </c>
      <c r="E204" s="5">
        <f>(7516.10992+194.69)*1.15</f>
        <v>8867.419907999998</v>
      </c>
      <c r="F204" s="5">
        <f>1318.64*1.15</f>
        <v>1516.4359999999999</v>
      </c>
      <c r="G204" s="4"/>
      <c r="H204" s="4"/>
      <c r="I204" s="4"/>
      <c r="J204" s="4"/>
      <c r="K204" s="4"/>
    </row>
    <row r="205" spans="1:11" hidden="1">
      <c r="A205" s="4" t="s">
        <v>9</v>
      </c>
      <c r="B205" s="4">
        <f>C196</f>
        <v>4111</v>
      </c>
      <c r="C205" s="4">
        <v>4217</v>
      </c>
      <c r="D205" s="4">
        <f t="shared" si="12"/>
        <v>106</v>
      </c>
      <c r="E205" s="5">
        <f>965.77*1.15</f>
        <v>1110.6354999999999</v>
      </c>
      <c r="F205" s="5">
        <f>1318.64*1.15</f>
        <v>1516.4359999999999</v>
      </c>
      <c r="G205" s="4" t="s">
        <v>36</v>
      </c>
      <c r="H205" s="4"/>
      <c r="I205" s="4">
        <v>107</v>
      </c>
      <c r="J205" s="4">
        <f>D207/I205</f>
        <v>0.99065420560747663</v>
      </c>
      <c r="K205" s="5">
        <f>E207/D207</f>
        <v>24.783693396226415</v>
      </c>
    </row>
    <row r="206" spans="1:11" hidden="1">
      <c r="A206" s="4" t="s">
        <v>10</v>
      </c>
      <c r="B206" s="4"/>
      <c r="C206" s="4"/>
      <c r="D206" s="4">
        <f>D203+D204</f>
        <v>524</v>
      </c>
      <c r="E206" s="5">
        <f>E204+F204</f>
        <v>10383.855907999998</v>
      </c>
      <c r="F206" s="5"/>
      <c r="G206" s="4"/>
      <c r="H206" s="4"/>
      <c r="I206" s="4"/>
      <c r="J206" s="4"/>
      <c r="K206" s="4"/>
    </row>
    <row r="207" spans="1:11" hidden="1">
      <c r="A207" s="4" t="s">
        <v>11</v>
      </c>
      <c r="B207" s="4"/>
      <c r="C207" s="4"/>
      <c r="D207" s="4">
        <f>D205</f>
        <v>106</v>
      </c>
      <c r="E207" s="5">
        <f>E205+F205</f>
        <v>2627.0715</v>
      </c>
      <c r="F207" s="5"/>
      <c r="G207" s="4"/>
      <c r="H207" s="4"/>
      <c r="I207" s="4"/>
      <c r="J207" s="4"/>
      <c r="K207" s="4"/>
    </row>
    <row r="208" spans="1:11" hidden="1">
      <c r="A208" s="4" t="s">
        <v>12</v>
      </c>
      <c r="B208" s="4"/>
      <c r="C208" s="4"/>
      <c r="D208" s="4"/>
      <c r="E208" s="5">
        <f>E206-E207</f>
        <v>7756.7844079999977</v>
      </c>
      <c r="F208" s="5"/>
      <c r="G208" s="4"/>
      <c r="H208" s="4"/>
      <c r="I208" s="4"/>
      <c r="J208" s="4"/>
      <c r="K208" s="4"/>
    </row>
    <row r="209" spans="1:11" hidden="1"/>
    <row r="210" spans="1:11" hidden="1">
      <c r="A210" s="1">
        <v>43800</v>
      </c>
      <c r="E210" s="3"/>
      <c r="F210" s="3"/>
    </row>
    <row r="211" spans="1:11" hidden="1">
      <c r="A211" s="2" t="s">
        <v>1</v>
      </c>
      <c r="B211" s="2" t="s">
        <v>2</v>
      </c>
      <c r="C211" s="2" t="s">
        <v>3</v>
      </c>
      <c r="D211" s="2" t="s">
        <v>4</v>
      </c>
      <c r="E211" s="2" t="s">
        <v>5</v>
      </c>
      <c r="F211" s="2" t="s">
        <v>6</v>
      </c>
      <c r="G211" s="2" t="s">
        <v>13</v>
      </c>
      <c r="H211" s="2" t="s">
        <v>14</v>
      </c>
      <c r="I211" s="2" t="s">
        <v>15</v>
      </c>
      <c r="J211" s="2" t="s">
        <v>16</v>
      </c>
      <c r="K211" s="2" t="s">
        <v>17</v>
      </c>
    </row>
    <row r="212" spans="1:11" hidden="1">
      <c r="A212" s="4" t="s">
        <v>7</v>
      </c>
      <c r="B212" s="4">
        <f>C203</f>
        <v>14475</v>
      </c>
      <c r="C212" s="4">
        <v>14988</v>
      </c>
      <c r="D212" s="4">
        <f>C212-B212</f>
        <v>513</v>
      </c>
      <c r="E212" s="5"/>
      <c r="F212" s="5"/>
      <c r="G212" s="4" t="s">
        <v>18</v>
      </c>
      <c r="H212" s="4" t="s">
        <v>40</v>
      </c>
      <c r="I212" s="4">
        <v>29</v>
      </c>
      <c r="J212" s="4">
        <f>(D212+D213)/I212</f>
        <v>20.758620689655171</v>
      </c>
      <c r="K212" s="5">
        <f>E213/(D212+D213)</f>
        <v>11.812677740863785</v>
      </c>
    </row>
    <row r="213" spans="1:11" hidden="1">
      <c r="A213" s="4" t="s">
        <v>8</v>
      </c>
      <c r="B213" s="4">
        <f t="shared" ref="B213" si="13">C204</f>
        <v>4211</v>
      </c>
      <c r="C213" s="4">
        <v>4300</v>
      </c>
      <c r="D213" s="4">
        <f t="shared" ref="D213:D214" si="14">C213-B213</f>
        <v>89</v>
      </c>
      <c r="E213" s="5">
        <f>(5886.86+296.82)*1.15</f>
        <v>7111.2319999999991</v>
      </c>
      <c r="F213" s="5">
        <f>1318.64*1.15</f>
        <v>1516.4359999999999</v>
      </c>
      <c r="G213" s="4"/>
      <c r="H213" s="4"/>
      <c r="I213" s="4"/>
      <c r="J213" s="4"/>
      <c r="K213" s="4"/>
    </row>
    <row r="214" spans="1:11" hidden="1">
      <c r="A214" s="4" t="s">
        <v>9</v>
      </c>
      <c r="B214" s="4">
        <f>C205</f>
        <v>4217</v>
      </c>
      <c r="C214" s="4">
        <v>4338</v>
      </c>
      <c r="D214" s="4">
        <f t="shared" si="14"/>
        <v>121</v>
      </c>
      <c r="E214" s="5">
        <f>1098.98*1.15</f>
        <v>1263.827</v>
      </c>
      <c r="F214" s="5">
        <f>1318.64*1.15</f>
        <v>1516.4359999999999</v>
      </c>
      <c r="G214" s="4" t="s">
        <v>36</v>
      </c>
      <c r="H214" s="4" t="s">
        <v>41</v>
      </c>
      <c r="I214" s="4">
        <v>33</v>
      </c>
      <c r="J214" s="4">
        <f>D216/I214</f>
        <v>3.6666666666666665</v>
      </c>
      <c r="K214" s="5">
        <f>E216/D216</f>
        <v>22.977380165289254</v>
      </c>
    </row>
    <row r="215" spans="1:11" hidden="1">
      <c r="A215" s="4" t="s">
        <v>10</v>
      </c>
      <c r="B215" s="4"/>
      <c r="C215" s="4"/>
      <c r="D215" s="4">
        <f>D212+D213</f>
        <v>602</v>
      </c>
      <c r="E215" s="5">
        <f>E213+F213</f>
        <v>8627.6679999999997</v>
      </c>
      <c r="F215" s="5"/>
      <c r="G215" s="4"/>
      <c r="H215" s="4"/>
      <c r="I215" s="4"/>
      <c r="J215" s="4"/>
      <c r="K215" s="4"/>
    </row>
    <row r="216" spans="1:11" hidden="1">
      <c r="A216" s="4" t="s">
        <v>11</v>
      </c>
      <c r="B216" s="4"/>
      <c r="C216" s="4"/>
      <c r="D216" s="4">
        <f>D214</f>
        <v>121</v>
      </c>
      <c r="E216" s="5">
        <f>+E214+F214</f>
        <v>2780.2629999999999</v>
      </c>
      <c r="F216" s="5"/>
      <c r="G216" s="4"/>
      <c r="H216" s="4"/>
      <c r="I216" s="4"/>
      <c r="J216" s="4"/>
      <c r="K216" s="4"/>
    </row>
    <row r="217" spans="1:11" hidden="1">
      <c r="A217" s="4" t="s">
        <v>12</v>
      </c>
      <c r="B217" s="4"/>
      <c r="C217" s="4"/>
      <c r="D217" s="4"/>
      <c r="E217" s="5">
        <f>E215-E216</f>
        <v>5847.4049999999997</v>
      </c>
      <c r="F217" s="5"/>
      <c r="G217" s="4"/>
      <c r="H217" s="4"/>
      <c r="I217" s="4"/>
      <c r="J217" s="4"/>
      <c r="K217" s="4"/>
    </row>
    <row r="219" spans="1:11">
      <c r="A219" s="14">
        <v>43831</v>
      </c>
      <c r="E219" s="3"/>
      <c r="F219" s="3"/>
    </row>
    <row r="220" spans="1:11" hidden="1">
      <c r="A220" s="2" t="s">
        <v>1</v>
      </c>
      <c r="B220" s="2" t="s">
        <v>2</v>
      </c>
      <c r="C220" s="2" t="s">
        <v>3</v>
      </c>
      <c r="D220" s="2" t="s">
        <v>4</v>
      </c>
      <c r="E220" s="2" t="s">
        <v>5</v>
      </c>
      <c r="F220" s="2" t="s">
        <v>6</v>
      </c>
      <c r="G220" s="2" t="s">
        <v>13</v>
      </c>
      <c r="H220" s="2" t="s">
        <v>14</v>
      </c>
      <c r="I220" s="2" t="s">
        <v>15</v>
      </c>
      <c r="J220" s="2" t="s">
        <v>16</v>
      </c>
      <c r="K220" s="2" t="s">
        <v>17</v>
      </c>
    </row>
    <row r="221" spans="1:11" hidden="1">
      <c r="A221" s="4" t="s">
        <v>7</v>
      </c>
      <c r="B221" s="4">
        <f>C212</f>
        <v>14988</v>
      </c>
      <c r="C221" s="4">
        <v>15256</v>
      </c>
      <c r="D221" s="4">
        <f>C221-B221</f>
        <v>268</v>
      </c>
      <c r="E221" s="5"/>
      <c r="F221" s="5"/>
      <c r="G221" s="4" t="s">
        <v>18</v>
      </c>
      <c r="H221" s="4" t="s">
        <v>42</v>
      </c>
      <c r="I221" s="4">
        <v>24</v>
      </c>
      <c r="J221" s="4">
        <f>(D221+D222)/I221</f>
        <v>14.833333333333334</v>
      </c>
      <c r="K221" s="5">
        <f>E222/(D221+D222)</f>
        <v>11.477226123595504</v>
      </c>
    </row>
    <row r="222" spans="1:11" hidden="1">
      <c r="A222" s="4" t="s">
        <v>8</v>
      </c>
      <c r="B222" s="4">
        <f t="shared" ref="B222" si="15">C213</f>
        <v>4300</v>
      </c>
      <c r="C222" s="4">
        <v>4388</v>
      </c>
      <c r="D222" s="4">
        <f t="shared" ref="D222:D223" si="16">C222-B222</f>
        <v>88</v>
      </c>
      <c r="E222" s="5">
        <f>(3330.77+222.18)*1.15</f>
        <v>4085.8924999999995</v>
      </c>
      <c r="F222" s="5">
        <f>1318.64*1.15</f>
        <v>1516.4359999999999</v>
      </c>
      <c r="G222" s="4"/>
      <c r="H222" s="4"/>
      <c r="I222" s="4"/>
      <c r="J222" s="4"/>
      <c r="K222" s="4"/>
    </row>
    <row r="223" spans="1:11" hidden="1">
      <c r="A223" s="4" t="s">
        <v>9</v>
      </c>
      <c r="B223" s="4">
        <v>4060</v>
      </c>
      <c r="C223" s="4">
        <v>4332</v>
      </c>
      <c r="D223" s="4">
        <f t="shared" si="16"/>
        <v>272</v>
      </c>
      <c r="E223" s="5">
        <f>(2475.2-2530.99)*1.15</f>
        <v>-64.158499999999947</v>
      </c>
      <c r="F223" s="5">
        <f>1318.64*1.15</f>
        <v>1516.4359999999999</v>
      </c>
      <c r="G223" s="4" t="s">
        <v>18</v>
      </c>
      <c r="H223" s="4" t="s">
        <v>43</v>
      </c>
      <c r="I223" s="4">
        <v>85</v>
      </c>
      <c r="J223" s="4">
        <f>D225/I223</f>
        <v>3.2</v>
      </c>
      <c r="K223" s="5">
        <f>E225/D225</f>
        <v>5.339255514705882</v>
      </c>
    </row>
    <row r="224" spans="1:11" hidden="1">
      <c r="A224" s="4" t="s">
        <v>10</v>
      </c>
      <c r="B224" s="4"/>
      <c r="C224" s="4"/>
      <c r="D224" s="4">
        <f>D221+D222</f>
        <v>356</v>
      </c>
      <c r="E224" s="5">
        <f>E222+F222</f>
        <v>5602.3284999999996</v>
      </c>
      <c r="F224" s="5"/>
      <c r="G224" s="4"/>
      <c r="H224" s="4"/>
      <c r="I224" s="4"/>
      <c r="J224" s="4"/>
      <c r="K224" s="4"/>
    </row>
    <row r="225" spans="1:11" hidden="1">
      <c r="A225" s="4" t="s">
        <v>11</v>
      </c>
      <c r="B225" s="4"/>
      <c r="C225" s="4"/>
      <c r="D225" s="4">
        <f>D223</f>
        <v>272</v>
      </c>
      <c r="E225" s="5">
        <f>+E223+F223</f>
        <v>1452.2774999999999</v>
      </c>
      <c r="F225" s="5"/>
      <c r="G225" s="4"/>
      <c r="H225" s="4"/>
      <c r="I225" s="4"/>
      <c r="J225" s="4"/>
      <c r="K225" s="4"/>
    </row>
    <row r="226" spans="1:11" hidden="1">
      <c r="A226" s="4" t="s">
        <v>12</v>
      </c>
      <c r="B226" s="4"/>
      <c r="C226" s="4"/>
      <c r="D226" s="4"/>
      <c r="E226" s="5">
        <f>E224-E225</f>
        <v>4150.0509999999995</v>
      </c>
      <c r="F226" s="5"/>
      <c r="G226" s="4"/>
      <c r="H226" s="4"/>
      <c r="I226" s="4"/>
      <c r="J226" s="4"/>
      <c r="K226" s="4"/>
    </row>
    <row r="227" spans="1:11" hidden="1"/>
    <row r="228" spans="1:11" hidden="1">
      <c r="A228" s="14">
        <v>43862</v>
      </c>
      <c r="E228" s="3"/>
      <c r="F228" s="3"/>
    </row>
    <row r="229" spans="1:11" hidden="1">
      <c r="A229" s="2" t="s">
        <v>1</v>
      </c>
      <c r="B229" s="2" t="s">
        <v>2</v>
      </c>
      <c r="C229" s="2" t="s">
        <v>3</v>
      </c>
      <c r="D229" s="2" t="s">
        <v>4</v>
      </c>
      <c r="E229" s="2" t="s">
        <v>5</v>
      </c>
      <c r="F229" s="2" t="s">
        <v>6</v>
      </c>
      <c r="G229" s="2" t="s">
        <v>13</v>
      </c>
      <c r="H229" s="2" t="s">
        <v>14</v>
      </c>
      <c r="I229" s="2" t="s">
        <v>15</v>
      </c>
      <c r="J229" s="2" t="s">
        <v>16</v>
      </c>
      <c r="K229" s="2" t="s">
        <v>17</v>
      </c>
    </row>
    <row r="230" spans="1:11" hidden="1">
      <c r="A230" s="4" t="s">
        <v>7</v>
      </c>
      <c r="B230" s="4">
        <f>C221</f>
        <v>15256</v>
      </c>
      <c r="C230" s="4">
        <v>15575</v>
      </c>
      <c r="D230" s="4">
        <f>C230-B230</f>
        <v>319</v>
      </c>
      <c r="E230" s="5"/>
      <c r="F230" s="5"/>
      <c r="G230" s="4" t="s">
        <v>18</v>
      </c>
      <c r="H230" s="4" t="s">
        <v>44</v>
      </c>
      <c r="I230" s="4">
        <v>30</v>
      </c>
      <c r="J230" s="4">
        <f>(D230+D231)/I230</f>
        <v>14.533333333333333</v>
      </c>
      <c r="K230" s="5">
        <f>E231/(D230+D231)</f>
        <v>12.614102064220182</v>
      </c>
    </row>
    <row r="231" spans="1:11" hidden="1">
      <c r="A231" s="4" t="s">
        <v>8</v>
      </c>
      <c r="B231" s="4">
        <f t="shared" ref="B231" si="17">C222</f>
        <v>4388</v>
      </c>
      <c r="C231" s="4">
        <v>4505</v>
      </c>
      <c r="D231" s="4">
        <f t="shared" ref="D231:D232" si="18">C231-B231</f>
        <v>117</v>
      </c>
      <c r="E231" s="5">
        <f>(4666.47+115.92)*1.15</f>
        <v>5499.7484999999997</v>
      </c>
      <c r="F231" s="5">
        <f>1318.64*1.15</f>
        <v>1516.4359999999999</v>
      </c>
      <c r="G231" s="4"/>
      <c r="H231" s="4"/>
      <c r="I231" s="4"/>
      <c r="J231" s="4"/>
      <c r="K231" s="4"/>
    </row>
    <row r="232" spans="1:11" hidden="1">
      <c r="A232" s="4" t="s">
        <v>9</v>
      </c>
      <c r="B232" s="4">
        <f>C223</f>
        <v>4332</v>
      </c>
      <c r="C232" s="4">
        <v>4487</v>
      </c>
      <c r="D232" s="4">
        <f t="shared" si="18"/>
        <v>155</v>
      </c>
      <c r="E232" s="5">
        <f>1410.5*1.15</f>
        <v>1622.0749999999998</v>
      </c>
      <c r="F232" s="5">
        <f>1318.64*1.15</f>
        <v>1516.4359999999999</v>
      </c>
      <c r="G232" s="4" t="s">
        <v>18</v>
      </c>
      <c r="H232" s="4" t="s">
        <v>45</v>
      </c>
      <c r="I232" s="4">
        <v>37</v>
      </c>
      <c r="J232" s="4">
        <f>D234/I232</f>
        <v>4.1891891891891895</v>
      </c>
      <c r="K232" s="5">
        <f>E234/D234</f>
        <v>20.248458064516125</v>
      </c>
    </row>
    <row r="233" spans="1:11" hidden="1">
      <c r="A233" s="4" t="s">
        <v>10</v>
      </c>
      <c r="B233" s="4"/>
      <c r="C233" s="4"/>
      <c r="D233" s="4">
        <f>D230+D231</f>
        <v>436</v>
      </c>
      <c r="E233" s="5">
        <f>E231+F231</f>
        <v>7016.1844999999994</v>
      </c>
      <c r="F233" s="5"/>
      <c r="G233" s="4"/>
      <c r="H233" s="4"/>
      <c r="I233" s="4"/>
      <c r="J233" s="4"/>
      <c r="K233" s="4"/>
    </row>
    <row r="234" spans="1:11" hidden="1">
      <c r="A234" s="4" t="s">
        <v>11</v>
      </c>
      <c r="B234" s="4"/>
      <c r="C234" s="4"/>
      <c r="D234" s="4">
        <f>D232</f>
        <v>155</v>
      </c>
      <c r="E234" s="5">
        <f>+E232+F232</f>
        <v>3138.5109999999995</v>
      </c>
      <c r="F234" s="5"/>
      <c r="G234" s="4"/>
      <c r="H234" s="4"/>
      <c r="I234" s="4"/>
      <c r="J234" s="4"/>
      <c r="K234" s="4"/>
    </row>
    <row r="235" spans="1:11" hidden="1">
      <c r="A235" s="4" t="s">
        <v>12</v>
      </c>
      <c r="B235" s="4"/>
      <c r="C235" s="4"/>
      <c r="D235" s="4"/>
      <c r="E235" s="5">
        <f>E233-E234</f>
        <v>3877.6734999999999</v>
      </c>
      <c r="F235" s="5"/>
      <c r="G235" s="4"/>
      <c r="H235" s="4"/>
      <c r="I235" s="4"/>
      <c r="J235" s="4"/>
      <c r="K235" s="4"/>
    </row>
    <row r="236" spans="1:11" hidden="1"/>
    <row r="237" spans="1:11" hidden="1">
      <c r="A237" s="14">
        <v>43891</v>
      </c>
      <c r="E237" s="3"/>
      <c r="F237" s="3"/>
    </row>
    <row r="238" spans="1:11" hidden="1">
      <c r="A238" s="2" t="s">
        <v>1</v>
      </c>
      <c r="B238" s="2" t="s">
        <v>2</v>
      </c>
      <c r="C238" s="2" t="s">
        <v>3</v>
      </c>
      <c r="D238" s="2" t="s">
        <v>4</v>
      </c>
      <c r="E238" s="2" t="s">
        <v>5</v>
      </c>
      <c r="F238" s="2" t="s">
        <v>6</v>
      </c>
      <c r="G238" s="2" t="s">
        <v>13</v>
      </c>
      <c r="H238" s="2" t="s">
        <v>14</v>
      </c>
      <c r="I238" s="2" t="s">
        <v>15</v>
      </c>
      <c r="J238" s="2" t="s">
        <v>16</v>
      </c>
      <c r="K238" s="2" t="s">
        <v>17</v>
      </c>
    </row>
    <row r="239" spans="1:11" hidden="1">
      <c r="A239" s="4" t="s">
        <v>7</v>
      </c>
      <c r="B239" s="4">
        <f>C230</f>
        <v>15575</v>
      </c>
      <c r="C239" s="4">
        <v>15907</v>
      </c>
      <c r="D239" s="4">
        <f>C239-B239</f>
        <v>332</v>
      </c>
      <c r="E239" s="5"/>
      <c r="F239" s="5"/>
      <c r="G239" s="4" t="s">
        <v>18</v>
      </c>
      <c r="H239" s="4" t="s">
        <v>46</v>
      </c>
      <c r="I239" s="4">
        <v>25</v>
      </c>
      <c r="J239" s="4">
        <f>(D239+D240)/I239</f>
        <v>17.760000000000002</v>
      </c>
      <c r="K239" s="5">
        <f>E240/(D239+D240)</f>
        <v>11.95976689189189</v>
      </c>
    </row>
    <row r="240" spans="1:11" hidden="1">
      <c r="A240" s="4" t="s">
        <v>8</v>
      </c>
      <c r="B240" s="4">
        <f t="shared" ref="B240" si="19">C231</f>
        <v>4505</v>
      </c>
      <c r="C240" s="4">
        <v>4617</v>
      </c>
      <c r="D240" s="4">
        <f t="shared" ref="D240:D241" si="20">C240-B240</f>
        <v>112</v>
      </c>
      <c r="E240" s="5">
        <f>(4613.68+3.83)*1.15</f>
        <v>5310.1364999999996</v>
      </c>
      <c r="F240" s="5">
        <f>1318.64*1.15</f>
        <v>1516.4359999999999</v>
      </c>
      <c r="G240" s="4"/>
      <c r="H240" s="4"/>
      <c r="I240" s="4"/>
      <c r="J240" s="4"/>
      <c r="K240" s="4"/>
    </row>
    <row r="241" spans="1:11" hidden="1">
      <c r="A241" s="4" t="s">
        <v>9</v>
      </c>
      <c r="B241" s="4">
        <f>C232</f>
        <v>4487</v>
      </c>
      <c r="C241" s="4">
        <v>4586</v>
      </c>
      <c r="D241" s="4">
        <f t="shared" si="20"/>
        <v>99</v>
      </c>
      <c r="E241" s="5">
        <f>902.17*1.15</f>
        <v>1037.4954999999998</v>
      </c>
      <c r="F241" s="5">
        <f>1318.64*1.15</f>
        <v>1516.4359999999999</v>
      </c>
      <c r="G241" s="4" t="s">
        <v>18</v>
      </c>
      <c r="H241" s="4" t="s">
        <v>47</v>
      </c>
      <c r="I241" s="4">
        <v>27</v>
      </c>
      <c r="J241" s="4">
        <f>D243/I241</f>
        <v>3.6666666666666665</v>
      </c>
      <c r="K241" s="5">
        <f>E243/D243</f>
        <v>25.797287878787877</v>
      </c>
    </row>
    <row r="242" spans="1:11" hidden="1">
      <c r="A242" s="4" t="s">
        <v>10</v>
      </c>
      <c r="B242" s="4"/>
      <c r="C242" s="4"/>
      <c r="D242" s="4">
        <f>D239+D240</f>
        <v>444</v>
      </c>
      <c r="E242" s="5">
        <f>E240+F240</f>
        <v>6826.5724999999993</v>
      </c>
      <c r="F242" s="5"/>
      <c r="G242" s="4"/>
      <c r="H242" s="4"/>
      <c r="I242" s="4"/>
      <c r="J242" s="4"/>
      <c r="K242" s="4"/>
    </row>
    <row r="243" spans="1:11" hidden="1">
      <c r="A243" s="4" t="s">
        <v>11</v>
      </c>
      <c r="B243" s="4"/>
      <c r="C243" s="4"/>
      <c r="D243" s="4">
        <f>D241</f>
        <v>99</v>
      </c>
      <c r="E243" s="5">
        <f>+E241+F241</f>
        <v>2553.9314999999997</v>
      </c>
      <c r="F243" s="5"/>
      <c r="G243" s="4"/>
      <c r="H243" s="4"/>
      <c r="I243" s="4"/>
      <c r="J243" s="4"/>
      <c r="K243" s="4"/>
    </row>
    <row r="244" spans="1:11" hidden="1">
      <c r="A244" s="4" t="s">
        <v>12</v>
      </c>
      <c r="B244" s="4"/>
      <c r="C244" s="4"/>
      <c r="D244" s="4"/>
      <c r="E244" s="5">
        <f>E242-E243</f>
        <v>4272.6409999999996</v>
      </c>
      <c r="F244" s="5"/>
      <c r="G244" s="4"/>
      <c r="H244" s="4"/>
      <c r="I244" s="4"/>
      <c r="J244" s="4"/>
      <c r="K244" s="4"/>
    </row>
    <row r="245" spans="1:11" hidden="1"/>
    <row r="246" spans="1:11" hidden="1">
      <c r="A246" s="14">
        <v>43922</v>
      </c>
      <c r="E246" s="3"/>
      <c r="F246" s="3"/>
    </row>
    <row r="247" spans="1:11" hidden="1">
      <c r="A247" s="2" t="s">
        <v>1</v>
      </c>
      <c r="B247" s="2" t="s">
        <v>2</v>
      </c>
      <c r="C247" s="2" t="s">
        <v>3</v>
      </c>
      <c r="D247" s="2" t="s">
        <v>4</v>
      </c>
      <c r="E247" s="2" t="s">
        <v>5</v>
      </c>
      <c r="F247" s="2" t="s">
        <v>6</v>
      </c>
      <c r="G247" s="2" t="s">
        <v>13</v>
      </c>
      <c r="H247" s="2" t="s">
        <v>14</v>
      </c>
      <c r="I247" s="2" t="s">
        <v>15</v>
      </c>
      <c r="J247" s="2" t="s">
        <v>16</v>
      </c>
      <c r="K247" s="2" t="s">
        <v>17</v>
      </c>
    </row>
    <row r="248" spans="1:11" hidden="1">
      <c r="A248" s="4" t="s">
        <v>7</v>
      </c>
      <c r="B248" s="4">
        <f>C239</f>
        <v>15907</v>
      </c>
      <c r="C248" s="4">
        <v>16283</v>
      </c>
      <c r="D248" s="4">
        <f>C248-B248</f>
        <v>376</v>
      </c>
      <c r="E248" s="5">
        <f>4916.66*1.15</f>
        <v>5654.1589999999997</v>
      </c>
      <c r="F248" s="5">
        <f>(367.08+1318.64)*1.15</f>
        <v>1938.578</v>
      </c>
      <c r="G248" s="4" t="s">
        <v>36</v>
      </c>
      <c r="H248" s="4" t="s">
        <v>48</v>
      </c>
      <c r="I248" s="4">
        <v>35</v>
      </c>
      <c r="J248" s="4">
        <f>(D248+D249)/I248</f>
        <v>10.742857142857142</v>
      </c>
      <c r="K248" s="5">
        <f>E248/D248</f>
        <v>15.037656914893615</v>
      </c>
    </row>
    <row r="249" spans="1:11" hidden="1">
      <c r="A249" s="4" t="s">
        <v>8</v>
      </c>
      <c r="B249" s="4">
        <f t="shared" ref="B249" si="21">C240</f>
        <v>4617</v>
      </c>
      <c r="C249" s="4">
        <v>4617</v>
      </c>
      <c r="D249" s="4">
        <f t="shared" ref="D249:D250" si="22">C249-B249</f>
        <v>0</v>
      </c>
      <c r="E249" s="5"/>
      <c r="F249" s="5">
        <f>1318.64*1.15</f>
        <v>1516.4359999999999</v>
      </c>
      <c r="G249" s="4"/>
      <c r="H249" s="4"/>
      <c r="I249" s="4"/>
      <c r="J249" s="4"/>
      <c r="K249" s="4"/>
    </row>
    <row r="250" spans="1:11" hidden="1">
      <c r="A250" s="4" t="s">
        <v>9</v>
      </c>
      <c r="B250" s="4">
        <f>C241</f>
        <v>4586</v>
      </c>
      <c r="C250" s="4">
        <v>4761</v>
      </c>
      <c r="D250" s="4">
        <f t="shared" si="22"/>
        <v>175</v>
      </c>
      <c r="E250" s="5">
        <f>1593.18</f>
        <v>1593.18</v>
      </c>
      <c r="F250" s="5">
        <f>1318.64*1.15</f>
        <v>1516.4359999999999</v>
      </c>
      <c r="G250" s="4" t="s">
        <v>36</v>
      </c>
      <c r="H250" s="4" t="s">
        <v>49</v>
      </c>
      <c r="I250" s="4">
        <v>51</v>
      </c>
      <c r="J250" s="4">
        <f>D252/I250</f>
        <v>3.4313725490196076</v>
      </c>
      <c r="K250" s="5">
        <f>E252/D252</f>
        <v>17.769234285714287</v>
      </c>
    </row>
    <row r="251" spans="1:11" hidden="1">
      <c r="A251" s="4" t="s">
        <v>10</v>
      </c>
      <c r="B251" s="4"/>
      <c r="C251" s="4"/>
      <c r="D251" s="4">
        <f>D248+D249</f>
        <v>376</v>
      </c>
      <c r="E251" s="5">
        <f>E248+F248</f>
        <v>7592.7369999999992</v>
      </c>
      <c r="F251" s="5"/>
      <c r="G251" s="4"/>
      <c r="H251" s="4"/>
      <c r="I251" s="4"/>
      <c r="J251" s="4"/>
      <c r="K251" s="4"/>
    </row>
    <row r="252" spans="1:11" hidden="1">
      <c r="A252" s="4" t="s">
        <v>11</v>
      </c>
      <c r="B252" s="4"/>
      <c r="C252" s="4"/>
      <c r="D252" s="4">
        <f>D250</f>
        <v>175</v>
      </c>
      <c r="E252" s="5">
        <f>+E250+F250</f>
        <v>3109.616</v>
      </c>
      <c r="F252" s="5"/>
      <c r="G252" s="4"/>
      <c r="H252" s="4"/>
      <c r="I252" s="4"/>
      <c r="J252" s="4"/>
      <c r="K252" s="4"/>
    </row>
    <row r="253" spans="1:11" hidden="1">
      <c r="A253" s="4" t="s">
        <v>12</v>
      </c>
      <c r="B253" s="4"/>
      <c r="C253" s="4"/>
      <c r="D253" s="4"/>
      <c r="E253" s="5">
        <f>E251-E252</f>
        <v>4483.1209999999992</v>
      </c>
      <c r="F253" s="5"/>
      <c r="G253" s="4"/>
      <c r="H253" s="4"/>
      <c r="I253" s="4"/>
      <c r="J253" s="4"/>
      <c r="K253" s="4"/>
    </row>
    <row r="254" spans="1:11" hidden="1"/>
    <row r="255" spans="1:11" hidden="1">
      <c r="A255" s="14">
        <v>43952</v>
      </c>
      <c r="E255" s="3"/>
      <c r="F255" s="3"/>
    </row>
    <row r="256" spans="1:11" hidden="1">
      <c r="A256" s="2" t="s">
        <v>1</v>
      </c>
      <c r="B256" s="2" t="s">
        <v>2</v>
      </c>
      <c r="C256" s="2" t="s">
        <v>3</v>
      </c>
      <c r="D256" s="2" t="s">
        <v>4</v>
      </c>
      <c r="E256" s="2" t="s">
        <v>5</v>
      </c>
      <c r="F256" s="2" t="s">
        <v>6</v>
      </c>
      <c r="G256" s="2" t="s">
        <v>13</v>
      </c>
      <c r="H256" s="2" t="s">
        <v>14</v>
      </c>
      <c r="I256" s="2" t="s">
        <v>15</v>
      </c>
      <c r="J256" s="2" t="s">
        <v>16</v>
      </c>
      <c r="K256" s="2" t="s">
        <v>17</v>
      </c>
    </row>
    <row r="257" spans="1:11" hidden="1">
      <c r="A257" s="4" t="s">
        <v>7</v>
      </c>
      <c r="B257" s="4">
        <f>C248</f>
        <v>16283</v>
      </c>
      <c r="C257" s="4">
        <v>16641</v>
      </c>
      <c r="D257" s="4">
        <f>C257-B257</f>
        <v>358</v>
      </c>
      <c r="E257" s="5">
        <f>4777.77*1.15</f>
        <v>5494.4355000000005</v>
      </c>
      <c r="F257" s="5">
        <f>(347.76+1318.64)*1.15</f>
        <v>1916.36</v>
      </c>
      <c r="G257" s="4" t="s">
        <v>36</v>
      </c>
      <c r="H257" s="4" t="s">
        <v>50</v>
      </c>
      <c r="I257" s="4">
        <v>29</v>
      </c>
      <c r="J257" s="4">
        <f>(D257+D258)/I257</f>
        <v>19.379310344827587</v>
      </c>
      <c r="K257" s="5">
        <f>E257/D257</f>
        <v>15.347585195530728</v>
      </c>
    </row>
    <row r="258" spans="1:11" hidden="1">
      <c r="A258" s="4" t="s">
        <v>8</v>
      </c>
      <c r="B258" s="4">
        <f t="shared" ref="B258" si="23">C249</f>
        <v>4617</v>
      </c>
      <c r="C258" s="4">
        <v>4821</v>
      </c>
      <c r="D258" s="4">
        <f t="shared" ref="D258:D259" si="24">C258-B258</f>
        <v>204</v>
      </c>
      <c r="E258" s="5"/>
      <c r="F258" s="5"/>
      <c r="G258" s="4"/>
      <c r="H258" s="4"/>
      <c r="I258" s="4"/>
      <c r="J258" s="4"/>
      <c r="K258" s="4"/>
    </row>
    <row r="259" spans="1:11" hidden="1">
      <c r="A259" s="4" t="s">
        <v>9</v>
      </c>
      <c r="B259" s="4">
        <v>4487</v>
      </c>
      <c r="C259" s="4">
        <v>6765</v>
      </c>
      <c r="D259" s="4">
        <f t="shared" si="24"/>
        <v>2278</v>
      </c>
      <c r="E259" s="5">
        <f>(26209.27-2495.35)*1.15</f>
        <v>27271.008000000002</v>
      </c>
      <c r="F259" s="5">
        <f>1318.64*1.15</f>
        <v>1516.4359999999999</v>
      </c>
      <c r="G259" s="4" t="s">
        <v>18</v>
      </c>
      <c r="H259" s="4" t="s">
        <v>51</v>
      </c>
      <c r="I259" s="4">
        <v>91</v>
      </c>
      <c r="J259" s="4">
        <f>D261/I259</f>
        <v>25.032967032967033</v>
      </c>
      <c r="K259" s="5">
        <f>E261/D261</f>
        <v>12.637157155399475</v>
      </c>
    </row>
    <row r="260" spans="1:11" hidden="1">
      <c r="A260" s="4" t="s">
        <v>10</v>
      </c>
      <c r="B260" s="4"/>
      <c r="C260" s="4"/>
      <c r="D260" s="4">
        <f>D257+D258</f>
        <v>562</v>
      </c>
      <c r="E260" s="5">
        <f>E257+F257</f>
        <v>7410.7955000000002</v>
      </c>
      <c r="F260" s="5"/>
      <c r="G260" s="4"/>
      <c r="H260" s="4"/>
      <c r="I260" s="4"/>
      <c r="J260" s="4"/>
      <c r="K260" s="4"/>
    </row>
    <row r="261" spans="1:11" hidden="1">
      <c r="A261" s="4" t="s">
        <v>11</v>
      </c>
      <c r="B261" s="4"/>
      <c r="C261" s="4"/>
      <c r="D261" s="4">
        <f>D259</f>
        <v>2278</v>
      </c>
      <c r="E261" s="5">
        <f>+E259+F259</f>
        <v>28787.444000000003</v>
      </c>
      <c r="F261" s="5"/>
      <c r="G261" s="4"/>
      <c r="H261" s="4"/>
      <c r="I261" s="4"/>
      <c r="J261" s="4"/>
      <c r="K261" s="4"/>
    </row>
    <row r="262" spans="1:11" hidden="1">
      <c r="A262" s="4" t="s">
        <v>12</v>
      </c>
      <c r="B262" s="4"/>
      <c r="C262" s="4"/>
      <c r="D262" s="4"/>
      <c r="E262" s="5">
        <f>E260-E261</f>
        <v>-21376.648500000003</v>
      </c>
      <c r="F262" s="5"/>
      <c r="G262" s="4"/>
      <c r="H262" s="4"/>
      <c r="I262" s="4"/>
      <c r="J262" s="4"/>
      <c r="K262" s="4"/>
    </row>
    <row r="263" spans="1:11" hidden="1"/>
    <row r="264" spans="1:11" hidden="1">
      <c r="A264" s="14">
        <v>43983</v>
      </c>
      <c r="E264" s="3"/>
      <c r="F264" s="3"/>
    </row>
    <row r="265" spans="1:11" hidden="1">
      <c r="A265" s="2" t="s">
        <v>1</v>
      </c>
      <c r="B265" s="2" t="s">
        <v>2</v>
      </c>
      <c r="C265" s="2" t="s">
        <v>3</v>
      </c>
      <c r="D265" s="2" t="s">
        <v>4</v>
      </c>
      <c r="E265" s="2" t="s">
        <v>5</v>
      </c>
      <c r="F265" s="2" t="s">
        <v>6</v>
      </c>
      <c r="G265" s="2" t="s">
        <v>13</v>
      </c>
      <c r="H265" s="2" t="s">
        <v>14</v>
      </c>
      <c r="I265" s="2" t="s">
        <v>15</v>
      </c>
      <c r="J265" s="2" t="s">
        <v>16</v>
      </c>
      <c r="K265" s="2" t="s">
        <v>17</v>
      </c>
    </row>
    <row r="266" spans="1:11" hidden="1">
      <c r="A266" s="4" t="s">
        <v>7</v>
      </c>
      <c r="B266" s="4">
        <f>C257</f>
        <v>16641</v>
      </c>
      <c r="C266" s="4">
        <v>16964</v>
      </c>
      <c r="D266" s="4">
        <f>C266-B266</f>
        <v>323</v>
      </c>
      <c r="E266" s="5">
        <f>4155.21888*1.15</f>
        <v>4778.5017120000002</v>
      </c>
      <c r="F266" s="5">
        <f>(386.4+1318.64)*1.15</f>
        <v>1960.7959999999998</v>
      </c>
      <c r="G266" s="4" t="s">
        <v>36</v>
      </c>
      <c r="H266" s="4" t="s">
        <v>52</v>
      </c>
      <c r="I266" s="4">
        <v>31</v>
      </c>
      <c r="J266" s="4">
        <f>(D266+D267)/I266</f>
        <v>13.806451612903226</v>
      </c>
      <c r="K266" s="5">
        <f>E266/D266</f>
        <v>14.794122947368422</v>
      </c>
    </row>
    <row r="267" spans="1:11" hidden="1">
      <c r="A267" s="4" t="s">
        <v>8</v>
      </c>
      <c r="B267" s="4">
        <f t="shared" ref="B267" si="25">C258</f>
        <v>4821</v>
      </c>
      <c r="C267" s="4">
        <v>4926</v>
      </c>
      <c r="D267" s="4">
        <f t="shared" ref="D267:D268" si="26">C267-B267</f>
        <v>105</v>
      </c>
      <c r="E267" s="5"/>
      <c r="F267" s="5"/>
      <c r="G267" s="4"/>
      <c r="H267" s="4"/>
      <c r="I267" s="4"/>
      <c r="J267" s="4"/>
      <c r="K267" s="4"/>
    </row>
    <row r="268" spans="1:11" hidden="1">
      <c r="A268" s="4" t="s">
        <v>9</v>
      </c>
      <c r="B268" s="4">
        <f>C259</f>
        <v>6765</v>
      </c>
      <c r="C268" s="4">
        <v>7073</v>
      </c>
      <c r="D268" s="4">
        <f t="shared" si="26"/>
        <v>308</v>
      </c>
      <c r="E268" s="5">
        <f>2804.96*1.15</f>
        <v>3225.7039999999997</v>
      </c>
      <c r="F268" s="5">
        <f>1405.56*1.15</f>
        <v>1616.3939999999998</v>
      </c>
      <c r="G268" s="4" t="s">
        <v>36</v>
      </c>
      <c r="H268" s="4" t="s">
        <v>53</v>
      </c>
      <c r="I268" s="4">
        <v>36</v>
      </c>
      <c r="J268" s="4">
        <f>D270/I268</f>
        <v>8.5555555555555554</v>
      </c>
      <c r="K268" s="5">
        <f>E270/D270</f>
        <v>15.721097402597403</v>
      </c>
    </row>
    <row r="269" spans="1:11" hidden="1">
      <c r="A269" s="4" t="s">
        <v>10</v>
      </c>
      <c r="B269" s="4"/>
      <c r="C269" s="4"/>
      <c r="D269" s="4">
        <f>D266+D267</f>
        <v>428</v>
      </c>
      <c r="E269" s="5">
        <f>E266+F266</f>
        <v>6739.2977119999996</v>
      </c>
      <c r="F269" s="5"/>
      <c r="G269" s="4"/>
      <c r="H269" s="4"/>
      <c r="I269" s="4"/>
      <c r="J269" s="4"/>
      <c r="K269" s="4"/>
    </row>
    <row r="270" spans="1:11" hidden="1">
      <c r="A270" s="4" t="s">
        <v>11</v>
      </c>
      <c r="B270" s="4"/>
      <c r="C270" s="4"/>
      <c r="D270" s="4">
        <f>D268</f>
        <v>308</v>
      </c>
      <c r="E270" s="5">
        <f>+E268+F268</f>
        <v>4842.098</v>
      </c>
      <c r="F270" s="5">
        <f>1318.64*1.15</f>
        <v>1516.4359999999999</v>
      </c>
      <c r="G270" s="4"/>
      <c r="H270" s="4"/>
      <c r="I270" s="4"/>
      <c r="J270" s="4"/>
      <c r="K270" s="4"/>
    </row>
    <row r="271" spans="1:11" hidden="1">
      <c r="A271" s="4" t="s">
        <v>12</v>
      </c>
      <c r="B271" s="4"/>
      <c r="C271" s="4"/>
      <c r="D271" s="4"/>
      <c r="E271" s="5">
        <f>E269-E270</f>
        <v>1897.1997119999996</v>
      </c>
      <c r="F271" s="5">
        <f>F268-F270</f>
        <v>99.957999999999856</v>
      </c>
      <c r="G271" s="4"/>
      <c r="H271" s="4"/>
      <c r="I271" s="4"/>
      <c r="J271" s="4"/>
      <c r="K271" s="4"/>
    </row>
    <row r="272" spans="1:11" hidden="1"/>
    <row r="273" spans="1:11" hidden="1">
      <c r="A273" s="14">
        <v>44013</v>
      </c>
      <c r="E273" s="3"/>
      <c r="F273" s="3"/>
    </row>
    <row r="274" spans="1:11" hidden="1">
      <c r="A274" s="2" t="s">
        <v>1</v>
      </c>
      <c r="B274" s="2" t="s">
        <v>2</v>
      </c>
      <c r="C274" s="2" t="s">
        <v>3</v>
      </c>
      <c r="D274" s="2" t="s">
        <v>4</v>
      </c>
      <c r="E274" s="2" t="s">
        <v>5</v>
      </c>
      <c r="F274" s="2" t="s">
        <v>6</v>
      </c>
      <c r="G274" s="2" t="s">
        <v>13</v>
      </c>
      <c r="H274" s="2" t="s">
        <v>14</v>
      </c>
      <c r="I274" s="2" t="s">
        <v>15</v>
      </c>
      <c r="J274" s="2" t="s">
        <v>16</v>
      </c>
      <c r="K274" s="2" t="s">
        <v>17</v>
      </c>
    </row>
    <row r="275" spans="1:11" hidden="1">
      <c r="A275" s="4" t="s">
        <v>7</v>
      </c>
      <c r="B275" s="4">
        <f>C266</f>
        <v>16964</v>
      </c>
      <c r="C275" s="4">
        <v>17310</v>
      </c>
      <c r="D275" s="4">
        <f>C275-B275</f>
        <v>346</v>
      </c>
      <c r="E275" s="5">
        <f>3166.21062*1.15</f>
        <v>3641.1422129999996</v>
      </c>
      <c r="F275" s="5">
        <f>(911.52+1432.06)*1.15</f>
        <v>2695.1169999999997</v>
      </c>
      <c r="G275" s="4" t="s">
        <v>36</v>
      </c>
      <c r="H275" s="4" t="s">
        <v>54</v>
      </c>
      <c r="I275" s="4">
        <v>31</v>
      </c>
      <c r="J275" s="4">
        <f>(D275+D276)/I275</f>
        <v>14.64516129032258</v>
      </c>
      <c r="K275" s="5">
        <f>E275/D275</f>
        <v>10.52353240751445</v>
      </c>
    </row>
    <row r="276" spans="1:11" hidden="1">
      <c r="A276" s="4" t="s">
        <v>8</v>
      </c>
      <c r="B276" s="4">
        <f t="shared" ref="B276" si="27">C267</f>
        <v>4926</v>
      </c>
      <c r="C276" s="4">
        <v>5034</v>
      </c>
      <c r="D276" s="4">
        <f t="shared" ref="D276:D277" si="28">C276-B276</f>
        <v>108</v>
      </c>
      <c r="E276" s="5"/>
      <c r="F276" s="5"/>
      <c r="G276" s="4"/>
      <c r="H276" s="4"/>
      <c r="I276" s="4"/>
      <c r="J276" s="4"/>
      <c r="K276" s="4"/>
    </row>
    <row r="277" spans="1:11" hidden="1">
      <c r="A277" s="4" t="s">
        <v>9</v>
      </c>
      <c r="B277" s="4">
        <f>C268</f>
        <v>7073</v>
      </c>
      <c r="C277" s="4">
        <v>7423</v>
      </c>
      <c r="D277" s="4">
        <f t="shared" si="28"/>
        <v>350</v>
      </c>
      <c r="E277" s="5">
        <f>81.77*1.15</f>
        <v>94.035499999999985</v>
      </c>
      <c r="F277" s="5">
        <f>1405.56*1.15</f>
        <v>1616.3939999999998</v>
      </c>
      <c r="G277" s="4" t="s">
        <v>36</v>
      </c>
      <c r="H277" s="4" t="s">
        <v>55</v>
      </c>
      <c r="I277" s="4">
        <v>39</v>
      </c>
      <c r="J277" s="4">
        <f>D279/I277</f>
        <v>8.9743589743589745</v>
      </c>
      <c r="K277" s="5">
        <f>E279/D279</f>
        <v>4.8869414285714274</v>
      </c>
    </row>
    <row r="278" spans="1:11" hidden="1">
      <c r="A278" s="4" t="s">
        <v>10</v>
      </c>
      <c r="B278" s="4"/>
      <c r="C278" s="4"/>
      <c r="D278" s="4">
        <f>D275+D276</f>
        <v>454</v>
      </c>
      <c r="E278" s="5">
        <f>E275+F275</f>
        <v>6336.2592129999994</v>
      </c>
      <c r="F278" s="5"/>
      <c r="G278" s="4"/>
      <c r="H278" s="4"/>
      <c r="I278" s="4"/>
      <c r="J278" s="4"/>
      <c r="K278" s="4"/>
    </row>
    <row r="279" spans="1:11" hidden="1">
      <c r="A279" s="4" t="s">
        <v>11</v>
      </c>
      <c r="B279" s="4"/>
      <c r="C279" s="4"/>
      <c r="D279" s="4">
        <f>D277</f>
        <v>350</v>
      </c>
      <c r="E279" s="5">
        <f>+E277+F277</f>
        <v>1710.4294999999997</v>
      </c>
      <c r="F279" s="5"/>
      <c r="G279" s="4"/>
      <c r="H279" s="4"/>
      <c r="I279" s="4"/>
      <c r="J279" s="4"/>
      <c r="K279" s="4"/>
    </row>
    <row r="280" spans="1:11" hidden="1">
      <c r="A280" s="4" t="s">
        <v>12</v>
      </c>
      <c r="B280" s="4"/>
      <c r="C280" s="4"/>
      <c r="D280" s="4"/>
      <c r="E280" s="5">
        <f>E278-E279</f>
        <v>4625.8297129999992</v>
      </c>
      <c r="F280" s="5"/>
      <c r="G280" s="4"/>
      <c r="H280" s="4"/>
      <c r="I280" s="4"/>
      <c r="J280" s="4"/>
      <c r="K280" s="4"/>
    </row>
    <row r="281" spans="1:11" hidden="1"/>
    <row r="282" spans="1:11" hidden="1">
      <c r="A282" s="14">
        <v>44044</v>
      </c>
      <c r="E282" s="3"/>
      <c r="F282" s="3"/>
    </row>
    <row r="283" spans="1:11" hidden="1">
      <c r="A283" s="2" t="s">
        <v>1</v>
      </c>
      <c r="B283" s="2" t="s">
        <v>2</v>
      </c>
      <c r="C283" s="2" t="s">
        <v>3</v>
      </c>
      <c r="D283" s="2" t="s">
        <v>4</v>
      </c>
      <c r="E283" s="2" t="s">
        <v>5</v>
      </c>
      <c r="F283" s="2" t="s">
        <v>6</v>
      </c>
      <c r="G283" s="2" t="s">
        <v>13</v>
      </c>
      <c r="H283" s="2" t="s">
        <v>14</v>
      </c>
      <c r="I283" s="2" t="s">
        <v>15</v>
      </c>
      <c r="J283" s="2" t="s">
        <v>16</v>
      </c>
      <c r="K283" s="2" t="s">
        <v>17</v>
      </c>
    </row>
    <row r="284" spans="1:11" hidden="1">
      <c r="A284" s="4" t="s">
        <v>7</v>
      </c>
      <c r="B284" s="4">
        <f>C275</f>
        <v>17310</v>
      </c>
      <c r="C284" s="4">
        <v>17657</v>
      </c>
      <c r="D284" s="4">
        <f>C284-B284</f>
        <v>347</v>
      </c>
      <c r="E284" s="5">
        <f>3059.61*1.15</f>
        <v>3518.5515</v>
      </c>
      <c r="F284" s="5">
        <f>(1052.46+1432.06)*1.15</f>
        <v>2857.1979999999999</v>
      </c>
      <c r="G284" s="4" t="s">
        <v>36</v>
      </c>
      <c r="H284" s="4" t="s">
        <v>56</v>
      </c>
      <c r="I284" s="4">
        <v>31</v>
      </c>
      <c r="J284" s="4">
        <f>(D284+D285)/I284</f>
        <v>14.580645161290322</v>
      </c>
      <c r="K284" s="5">
        <f>E284/D284</f>
        <v>10.139917867435159</v>
      </c>
    </row>
    <row r="285" spans="1:11" hidden="1">
      <c r="A285" s="4" t="s">
        <v>8</v>
      </c>
      <c r="B285" s="4">
        <f t="shared" ref="B285" si="29">C276</f>
        <v>5034</v>
      </c>
      <c r="C285" s="4">
        <v>5139</v>
      </c>
      <c r="D285" s="4">
        <f t="shared" ref="D285:D286" si="30">C285-B285</f>
        <v>105</v>
      </c>
      <c r="E285" s="5"/>
      <c r="F285" s="5"/>
      <c r="G285" s="4"/>
      <c r="H285" s="4"/>
      <c r="I285" s="4"/>
      <c r="J285" s="4"/>
      <c r="K285" s="4"/>
    </row>
    <row r="286" spans="1:11" hidden="1">
      <c r="A286" s="4" t="s">
        <v>9</v>
      </c>
      <c r="B286" s="4">
        <f>C277</f>
        <v>7423</v>
      </c>
      <c r="C286" s="4">
        <v>7724</v>
      </c>
      <c r="D286" s="4">
        <f t="shared" si="30"/>
        <v>301</v>
      </c>
      <c r="E286" s="5">
        <v>0</v>
      </c>
      <c r="F286" s="5">
        <f>1405.56*1.15</f>
        <v>1616.3939999999998</v>
      </c>
      <c r="G286" s="4" t="s">
        <v>36</v>
      </c>
      <c r="H286" s="4" t="s">
        <v>57</v>
      </c>
      <c r="I286" s="4">
        <v>31</v>
      </c>
      <c r="J286" s="4">
        <f>D288/I286</f>
        <v>9.7096774193548381</v>
      </c>
      <c r="K286" s="5">
        <f>E288/D288</f>
        <v>5.3700797342192681</v>
      </c>
    </row>
    <row r="287" spans="1:11" hidden="1">
      <c r="A287" s="4" t="s">
        <v>10</v>
      </c>
      <c r="B287" s="4"/>
      <c r="C287" s="4"/>
      <c r="D287" s="4">
        <f>D284+D285</f>
        <v>452</v>
      </c>
      <c r="E287" s="5">
        <f>E284+F284</f>
        <v>6375.7494999999999</v>
      </c>
      <c r="F287" s="5"/>
      <c r="G287" s="4"/>
      <c r="H287" s="4"/>
      <c r="I287" s="4"/>
      <c r="J287" s="4"/>
      <c r="K287" s="4"/>
    </row>
    <row r="288" spans="1:11" hidden="1">
      <c r="A288" s="4" t="s">
        <v>11</v>
      </c>
      <c r="B288" s="4"/>
      <c r="C288" s="4"/>
      <c r="D288" s="4">
        <f>D286</f>
        <v>301</v>
      </c>
      <c r="E288" s="5">
        <f>+E286+F286</f>
        <v>1616.3939999999998</v>
      </c>
      <c r="F288" s="5"/>
      <c r="G288" s="4"/>
      <c r="H288" s="4"/>
      <c r="I288" s="4"/>
      <c r="J288" s="4"/>
      <c r="K288" s="4"/>
    </row>
    <row r="289" spans="1:11" hidden="1">
      <c r="A289" s="4" t="s">
        <v>12</v>
      </c>
      <c r="B289" s="4"/>
      <c r="C289" s="4"/>
      <c r="D289" s="4"/>
      <c r="E289" s="5">
        <f>E287-E288</f>
        <v>4759.3554999999997</v>
      </c>
      <c r="F289" s="5"/>
      <c r="G289" s="4"/>
      <c r="H289" s="4"/>
      <c r="I289" s="4"/>
      <c r="J289" s="4"/>
      <c r="K289" s="4"/>
    </row>
    <row r="290" spans="1:11" hidden="1"/>
    <row r="291" spans="1:11" hidden="1">
      <c r="A291" s="14">
        <v>44075</v>
      </c>
      <c r="E291" s="3"/>
      <c r="F291" s="3"/>
    </row>
    <row r="292" spans="1:11" hidden="1">
      <c r="A292" s="2" t="s">
        <v>1</v>
      </c>
      <c r="B292" s="2" t="s">
        <v>2</v>
      </c>
      <c r="C292" s="2" t="s">
        <v>3</v>
      </c>
      <c r="D292" s="2" t="s">
        <v>4</v>
      </c>
      <c r="E292" s="2" t="s">
        <v>5</v>
      </c>
      <c r="F292" s="2" t="s">
        <v>6</v>
      </c>
      <c r="G292" s="2" t="s">
        <v>13</v>
      </c>
      <c r="H292" s="2" t="s">
        <v>14</v>
      </c>
      <c r="I292" s="2" t="s">
        <v>15</v>
      </c>
      <c r="J292" s="2" t="s">
        <v>16</v>
      </c>
      <c r="K292" s="2" t="s">
        <v>17</v>
      </c>
    </row>
    <row r="293" spans="1:11" hidden="1">
      <c r="A293" s="4" t="s">
        <v>7</v>
      </c>
      <c r="B293" s="4">
        <f>C284</f>
        <v>17657</v>
      </c>
      <c r="C293" s="4">
        <v>18905</v>
      </c>
      <c r="D293" s="4">
        <f>C293-B293</f>
        <v>1248</v>
      </c>
      <c r="E293" s="5">
        <f>19084.86*1.15</f>
        <v>21947.589</v>
      </c>
      <c r="F293" s="5">
        <f>(2688+1432.06)*1.15</f>
        <v>4738.0689999999986</v>
      </c>
      <c r="G293" s="4" t="s">
        <v>18</v>
      </c>
      <c r="H293" s="4" t="s">
        <v>58</v>
      </c>
      <c r="I293" s="4">
        <v>30</v>
      </c>
      <c r="J293" s="4">
        <f>(D293+D294)/I293</f>
        <v>41.766666666666666</v>
      </c>
      <c r="K293" s="5">
        <f>E293/D293</f>
        <v>17.586209134615384</v>
      </c>
    </row>
    <row r="294" spans="1:11" hidden="1">
      <c r="A294" s="4" t="s">
        <v>8</v>
      </c>
      <c r="B294" s="4">
        <f t="shared" ref="B294" si="31">C285</f>
        <v>5139</v>
      </c>
      <c r="C294" s="4">
        <v>5144</v>
      </c>
      <c r="D294" s="4">
        <f t="shared" ref="D294:D295" si="32">C294-B294</f>
        <v>5</v>
      </c>
      <c r="E294" s="5"/>
      <c r="F294" s="5"/>
      <c r="G294" s="4"/>
      <c r="H294" s="4"/>
      <c r="I294" s="4"/>
      <c r="J294" s="4"/>
      <c r="K294" s="4"/>
    </row>
    <row r="295" spans="1:11" hidden="1">
      <c r="A295" s="4" t="s">
        <v>9</v>
      </c>
      <c r="B295" s="4">
        <f>C286</f>
        <v>7724</v>
      </c>
      <c r="C295" s="4">
        <v>8016</v>
      </c>
      <c r="D295" s="4">
        <f t="shared" si="32"/>
        <v>292</v>
      </c>
      <c r="E295" s="5">
        <v>0</v>
      </c>
      <c r="F295" s="5">
        <f>1405.56*1.15</f>
        <v>1616.3939999999998</v>
      </c>
      <c r="G295" s="4" t="s">
        <v>36</v>
      </c>
      <c r="H295" s="4" t="s">
        <v>59</v>
      </c>
      <c r="I295" s="4">
        <v>30</v>
      </c>
      <c r="J295" s="4">
        <f>D297/I295</f>
        <v>9.7333333333333325</v>
      </c>
      <c r="K295" s="5">
        <f>E297/D297</f>
        <v>5.5355958904109581</v>
      </c>
    </row>
    <row r="296" spans="1:11" hidden="1">
      <c r="A296" s="4" t="s">
        <v>10</v>
      </c>
      <c r="B296" s="4"/>
      <c r="C296" s="4"/>
      <c r="D296" s="4">
        <f>D293+D294</f>
        <v>1253</v>
      </c>
      <c r="E296" s="5">
        <f>E293+F293</f>
        <v>26685.657999999999</v>
      </c>
      <c r="F296" s="5"/>
      <c r="G296" s="4"/>
      <c r="H296" s="4"/>
      <c r="I296" s="4"/>
      <c r="J296" s="4"/>
      <c r="K296" s="4"/>
    </row>
    <row r="297" spans="1:11" hidden="1">
      <c r="A297" s="4" t="s">
        <v>11</v>
      </c>
      <c r="B297" s="4"/>
      <c r="C297" s="4"/>
      <c r="D297" s="4">
        <f>D295</f>
        <v>292</v>
      </c>
      <c r="E297" s="5">
        <f>+E295+F295</f>
        <v>1616.3939999999998</v>
      </c>
      <c r="F297" s="5"/>
      <c r="G297" s="4"/>
      <c r="H297" s="4"/>
      <c r="I297" s="4"/>
      <c r="J297" s="4"/>
      <c r="K297" s="4"/>
    </row>
    <row r="298" spans="1:11" hidden="1">
      <c r="A298" s="4" t="s">
        <v>12</v>
      </c>
      <c r="B298" s="4"/>
      <c r="C298" s="4"/>
      <c r="D298" s="4"/>
      <c r="E298" s="5">
        <f>E296-E297</f>
        <v>25069.263999999999</v>
      </c>
      <c r="F298" s="5"/>
      <c r="G298" s="4"/>
      <c r="H298" s="4"/>
      <c r="I298" s="4"/>
      <c r="J298" s="4"/>
      <c r="K298" s="4"/>
    </row>
    <row r="299" spans="1:11" hidden="1"/>
    <row r="300" spans="1:11" hidden="1">
      <c r="A300" s="14">
        <v>44105</v>
      </c>
      <c r="E300" s="3"/>
      <c r="F300" s="3"/>
    </row>
    <row r="301" spans="1:11" hidden="1">
      <c r="A301" s="2" t="s">
        <v>1</v>
      </c>
      <c r="B301" s="2" t="s">
        <v>2</v>
      </c>
      <c r="C301" s="2" t="s">
        <v>3</v>
      </c>
      <c r="D301" s="2" t="s">
        <v>4</v>
      </c>
      <c r="E301" s="2" t="s">
        <v>5</v>
      </c>
      <c r="F301" s="2" t="s">
        <v>6</v>
      </c>
      <c r="G301" s="2" t="s">
        <v>13</v>
      </c>
      <c r="H301" s="2" t="s">
        <v>14</v>
      </c>
      <c r="I301" s="2" t="s">
        <v>15</v>
      </c>
      <c r="J301" s="2" t="s">
        <v>16</v>
      </c>
      <c r="K301" s="2" t="s">
        <v>17</v>
      </c>
    </row>
    <row r="302" spans="1:11" hidden="1">
      <c r="A302" s="4" t="s">
        <v>7</v>
      </c>
      <c r="B302" s="4">
        <f>C293</f>
        <v>18905</v>
      </c>
      <c r="C302" s="4">
        <v>19510</v>
      </c>
      <c r="D302" s="4">
        <f>C302-B302</f>
        <v>605</v>
      </c>
      <c r="E302" s="5">
        <f>4370*1.15</f>
        <v>5025.5</v>
      </c>
      <c r="F302" s="5">
        <f>(9424.36+1432.06)*1.15</f>
        <v>12484.883</v>
      </c>
      <c r="G302" s="4" t="s">
        <v>18</v>
      </c>
      <c r="H302" s="4" t="s">
        <v>60</v>
      </c>
      <c r="I302" s="4">
        <v>31</v>
      </c>
      <c r="J302" s="4">
        <f>(D302+D303)/I302</f>
        <v>22.838709677419356</v>
      </c>
      <c r="K302" s="5">
        <f>E302/D302</f>
        <v>8.3066115702479344</v>
      </c>
    </row>
    <row r="303" spans="1:11" hidden="1">
      <c r="A303" s="4" t="s">
        <v>8</v>
      </c>
      <c r="B303" s="4">
        <f t="shared" ref="B303" si="33">C294</f>
        <v>5144</v>
      </c>
      <c r="C303" s="4">
        <v>5247</v>
      </c>
      <c r="D303" s="4">
        <f t="shared" ref="D303:D304" si="34">C303-B303</f>
        <v>103</v>
      </c>
      <c r="E303" s="5"/>
      <c r="F303" s="5"/>
      <c r="G303" s="4"/>
      <c r="H303" s="4"/>
      <c r="I303" s="4"/>
      <c r="J303" s="4"/>
      <c r="K303" s="4"/>
    </row>
    <row r="304" spans="1:11" hidden="1">
      <c r="A304" s="4" t="s">
        <v>9</v>
      </c>
      <c r="B304" s="4">
        <f>C295</f>
        <v>8016</v>
      </c>
      <c r="C304" s="4">
        <v>8122</v>
      </c>
      <c r="D304" s="4">
        <f t="shared" si="34"/>
        <v>106</v>
      </c>
      <c r="E304" s="5">
        <v>0</v>
      </c>
      <c r="F304" s="5">
        <f>1405.56*1.15</f>
        <v>1616.3939999999998</v>
      </c>
      <c r="G304" s="4" t="s">
        <v>36</v>
      </c>
      <c r="H304" s="4" t="s">
        <v>61</v>
      </c>
      <c r="I304" s="4">
        <v>11</v>
      </c>
      <c r="J304" s="4">
        <f>D306/I304</f>
        <v>9.6363636363636367</v>
      </c>
      <c r="K304" s="5">
        <f>E306/D306</f>
        <v>15.248999999999999</v>
      </c>
    </row>
    <row r="305" spans="1:11" hidden="1">
      <c r="A305" s="4" t="s">
        <v>10</v>
      </c>
      <c r="B305" s="4"/>
      <c r="C305" s="4"/>
      <c r="D305" s="4">
        <f>D302+D303</f>
        <v>708</v>
      </c>
      <c r="E305" s="5">
        <f>E302+F302</f>
        <v>17510.383000000002</v>
      </c>
      <c r="F305" s="5"/>
      <c r="G305" s="4"/>
      <c r="H305" s="4"/>
      <c r="I305" s="4"/>
      <c r="J305" s="4"/>
      <c r="K305" s="4"/>
    </row>
    <row r="306" spans="1:11" hidden="1">
      <c r="A306" s="4" t="s">
        <v>11</v>
      </c>
      <c r="B306" s="4"/>
      <c r="C306" s="4"/>
      <c r="D306" s="4">
        <f>D304</f>
        <v>106</v>
      </c>
      <c r="E306" s="5">
        <f>+E304+F304</f>
        <v>1616.3939999999998</v>
      </c>
      <c r="F306" s="5"/>
      <c r="G306" s="4"/>
      <c r="H306" s="4"/>
      <c r="I306" s="4"/>
      <c r="J306" s="4"/>
      <c r="K306" s="4"/>
    </row>
    <row r="307" spans="1:11" hidden="1">
      <c r="A307" s="4" t="s">
        <v>12</v>
      </c>
      <c r="B307" s="4"/>
      <c r="C307" s="4"/>
      <c r="D307" s="4"/>
      <c r="E307" s="5">
        <f>E305-E306</f>
        <v>15893.989000000001</v>
      </c>
      <c r="F307" s="5"/>
      <c r="G307" s="4"/>
      <c r="H307" s="4"/>
      <c r="I307" s="4"/>
      <c r="J307" s="4"/>
      <c r="K307" s="4"/>
    </row>
    <row r="308" spans="1:11" hidden="1"/>
    <row r="309" spans="1:11" hidden="1">
      <c r="A309" s="14">
        <v>44136</v>
      </c>
      <c r="E309" s="3"/>
      <c r="F309" s="3"/>
    </row>
    <row r="310" spans="1:11" hidden="1">
      <c r="A310" s="2" t="s">
        <v>1</v>
      </c>
      <c r="B310" s="2" t="s">
        <v>2</v>
      </c>
      <c r="C310" s="2" t="s">
        <v>3</v>
      </c>
      <c r="D310" s="2" t="s">
        <v>4</v>
      </c>
      <c r="E310" s="2" t="s">
        <v>5</v>
      </c>
      <c r="F310" s="2" t="s">
        <v>6</v>
      </c>
      <c r="G310" s="2" t="s">
        <v>13</v>
      </c>
      <c r="H310" s="2" t="s">
        <v>14</v>
      </c>
      <c r="I310" s="2" t="s">
        <v>15</v>
      </c>
      <c r="J310" s="2" t="s">
        <v>16</v>
      </c>
      <c r="K310" s="2" t="s">
        <v>17</v>
      </c>
    </row>
    <row r="311" spans="1:11" hidden="1">
      <c r="A311" s="4" t="s">
        <v>7</v>
      </c>
      <c r="B311" s="4">
        <v>19510</v>
      </c>
      <c r="C311" s="4">
        <v>19950</v>
      </c>
      <c r="D311" s="4">
        <f>C311-B311</f>
        <v>440</v>
      </c>
      <c r="E311" s="5">
        <f>3948.85*1.15</f>
        <v>4541.1774999999998</v>
      </c>
      <c r="F311" s="5">
        <f>(1158.39+1432.06)*1.15</f>
        <v>2979.0174999999995</v>
      </c>
      <c r="G311" s="4" t="s">
        <v>18</v>
      </c>
      <c r="H311" s="4" t="s">
        <v>62</v>
      </c>
      <c r="I311" s="4">
        <v>25</v>
      </c>
      <c r="J311" s="4">
        <f>(D311+D312)/I311</f>
        <v>20.8</v>
      </c>
      <c r="K311" s="5">
        <f>E311/D311</f>
        <v>10.320857954545454</v>
      </c>
    </row>
    <row r="312" spans="1:11" hidden="1">
      <c r="A312" s="4" t="s">
        <v>8</v>
      </c>
      <c r="B312" s="4">
        <v>5247</v>
      </c>
      <c r="C312" s="4">
        <v>5327</v>
      </c>
      <c r="D312" s="4">
        <f t="shared" ref="D312:D313" si="35">C312-B312</f>
        <v>80</v>
      </c>
      <c r="E312" s="5"/>
      <c r="F312" s="5"/>
      <c r="G312" s="4"/>
      <c r="H312" s="4"/>
      <c r="I312" s="4"/>
      <c r="J312" s="4"/>
      <c r="K312" s="4"/>
    </row>
    <row r="313" spans="1:11" hidden="1">
      <c r="A313" s="4" t="s">
        <v>9</v>
      </c>
      <c r="B313" s="4">
        <f>C304</f>
        <v>8122</v>
      </c>
      <c r="C313" s="4">
        <v>8433</v>
      </c>
      <c r="D313" s="4">
        <f t="shared" si="35"/>
        <v>311</v>
      </c>
      <c r="E313" s="5">
        <v>0</v>
      </c>
      <c r="F313" s="5">
        <f>1405.56*1.15</f>
        <v>1616.3939999999998</v>
      </c>
      <c r="G313" s="4" t="s">
        <v>36</v>
      </c>
      <c r="H313" s="4" t="s">
        <v>63</v>
      </c>
      <c r="I313" s="4">
        <v>32</v>
      </c>
      <c r="J313" s="4">
        <f>D315/I313</f>
        <v>9.71875</v>
      </c>
      <c r="K313" s="5">
        <f>E315/D315</f>
        <v>5.197408360128617</v>
      </c>
    </row>
    <row r="314" spans="1:11" hidden="1">
      <c r="A314" s="4" t="s">
        <v>10</v>
      </c>
      <c r="B314" s="4"/>
      <c r="C314" s="4"/>
      <c r="D314" s="4">
        <f>D311+D312</f>
        <v>520</v>
      </c>
      <c r="E314" s="5">
        <f>E311+F311</f>
        <v>7520.1949999999997</v>
      </c>
      <c r="F314" s="5"/>
      <c r="G314" s="4"/>
      <c r="H314" s="4"/>
      <c r="I314" s="4"/>
      <c r="J314" s="4"/>
      <c r="K314" s="4"/>
    </row>
    <row r="315" spans="1:11" hidden="1">
      <c r="A315" s="4" t="s">
        <v>11</v>
      </c>
      <c r="B315" s="4"/>
      <c r="C315" s="4"/>
      <c r="D315" s="4">
        <f>D313</f>
        <v>311</v>
      </c>
      <c r="E315" s="5">
        <f>+E313+F313</f>
        <v>1616.3939999999998</v>
      </c>
      <c r="F315" s="5"/>
      <c r="G315" s="4"/>
      <c r="H315" s="4"/>
      <c r="I315" s="4"/>
      <c r="J315" s="4"/>
      <c r="K315" s="4"/>
    </row>
    <row r="316" spans="1:11" hidden="1">
      <c r="A316" s="4" t="s">
        <v>12</v>
      </c>
      <c r="B316" s="4"/>
      <c r="C316" s="4"/>
      <c r="D316" s="4"/>
      <c r="E316" s="5">
        <f>E314-E315</f>
        <v>5903.8009999999995</v>
      </c>
      <c r="F316" s="5"/>
      <c r="G316" s="4"/>
      <c r="H316" s="4"/>
      <c r="I316" s="4"/>
      <c r="J316" s="4"/>
      <c r="K316" s="4"/>
    </row>
    <row r="317" spans="1:11" hidden="1"/>
    <row r="318" spans="1:11" hidden="1">
      <c r="A318" s="14">
        <v>44166</v>
      </c>
      <c r="E318" s="3"/>
      <c r="F318" s="3"/>
    </row>
    <row r="319" spans="1:11" hidden="1">
      <c r="A319" s="2" t="s">
        <v>1</v>
      </c>
      <c r="B319" s="2" t="s">
        <v>2</v>
      </c>
      <c r="C319" s="2" t="s">
        <v>3</v>
      </c>
      <c r="D319" s="2" t="s">
        <v>4</v>
      </c>
      <c r="E319" s="2" t="s">
        <v>5</v>
      </c>
      <c r="F319" s="2" t="s">
        <v>6</v>
      </c>
      <c r="G319" s="2" t="s">
        <v>13</v>
      </c>
      <c r="H319" s="2" t="s">
        <v>14</v>
      </c>
      <c r="I319" s="2" t="s">
        <v>15</v>
      </c>
      <c r="J319" s="2" t="s">
        <v>16</v>
      </c>
      <c r="K319" s="2" t="s">
        <v>17</v>
      </c>
    </row>
    <row r="320" spans="1:11" hidden="1">
      <c r="A320" s="4" t="s">
        <v>7</v>
      </c>
      <c r="B320" s="4">
        <f>C311</f>
        <v>19950</v>
      </c>
      <c r="C320" s="4">
        <v>20492</v>
      </c>
      <c r="D320" s="4">
        <f>C320-B320</f>
        <v>542</v>
      </c>
      <c r="E320" s="5">
        <f>6318.56318*1.15</f>
        <v>7266.3476569999993</v>
      </c>
      <c r="F320" s="5">
        <f>1432.06*1.15</f>
        <v>1646.8689999999999</v>
      </c>
      <c r="G320" s="4" t="s">
        <v>18</v>
      </c>
      <c r="H320" s="4" t="s">
        <v>64</v>
      </c>
      <c r="I320" s="4">
        <v>53</v>
      </c>
      <c r="J320" s="4">
        <f>(D320+D321)/I320</f>
        <v>13</v>
      </c>
      <c r="K320" s="5">
        <f>E320/D320</f>
        <v>13.406545492619925</v>
      </c>
    </row>
    <row r="321" spans="1:11" hidden="1">
      <c r="A321" s="4" t="s">
        <v>8</v>
      </c>
      <c r="B321" s="4">
        <v>5247</v>
      </c>
      <c r="C321" s="4">
        <v>5394</v>
      </c>
      <c r="D321" s="4">
        <f t="shared" ref="D321:D322" si="36">C321-B321</f>
        <v>147</v>
      </c>
      <c r="E321" s="5"/>
      <c r="F321" s="5"/>
      <c r="G321" s="4"/>
      <c r="H321" s="4"/>
      <c r="I321" s="4"/>
      <c r="J321" s="4"/>
      <c r="K321" s="4"/>
    </row>
    <row r="322" spans="1:11" hidden="1">
      <c r="A322" s="4" t="s">
        <v>9</v>
      </c>
      <c r="B322" s="4">
        <f>C313</f>
        <v>8433</v>
      </c>
      <c r="C322" s="4">
        <v>8776</v>
      </c>
      <c r="D322" s="4">
        <f t="shared" si="36"/>
        <v>343</v>
      </c>
      <c r="E322" s="5">
        <f>1154.62*1.15</f>
        <v>1327.8129999999999</v>
      </c>
      <c r="F322" s="5">
        <f>1405.56*1.15</f>
        <v>1616.3939999999998</v>
      </c>
      <c r="G322" s="4" t="s">
        <v>36</v>
      </c>
      <c r="H322" s="4" t="s">
        <v>65</v>
      </c>
      <c r="I322" s="4">
        <v>27</v>
      </c>
      <c r="J322" s="4">
        <f>D324/I322</f>
        <v>12.703703703703704</v>
      </c>
      <c r="K322" s="5">
        <f>E324/D324</f>
        <v>8.5836938775510188</v>
      </c>
    </row>
    <row r="323" spans="1:11" hidden="1">
      <c r="A323" s="4" t="s">
        <v>10</v>
      </c>
      <c r="B323" s="4"/>
      <c r="C323" s="4"/>
      <c r="D323" s="4">
        <f>D320+D321</f>
        <v>689</v>
      </c>
      <c r="E323" s="5">
        <f>E320+F320</f>
        <v>8913.216656999999</v>
      </c>
      <c r="F323" s="5"/>
      <c r="G323" s="4"/>
      <c r="H323" s="4"/>
      <c r="I323" s="4"/>
      <c r="J323" s="4"/>
      <c r="K323" s="4"/>
    </row>
    <row r="324" spans="1:11" hidden="1">
      <c r="A324" s="4" t="s">
        <v>11</v>
      </c>
      <c r="B324" s="4"/>
      <c r="C324" s="4"/>
      <c r="D324" s="4">
        <f>D322</f>
        <v>343</v>
      </c>
      <c r="E324" s="5">
        <f>+E322+F322</f>
        <v>2944.2069999999994</v>
      </c>
      <c r="F324" s="5"/>
      <c r="G324" s="4"/>
      <c r="H324" s="4"/>
      <c r="I324" s="4"/>
      <c r="J324" s="4"/>
      <c r="K324" s="4"/>
    </row>
    <row r="325" spans="1:11" hidden="1">
      <c r="A325" s="4" t="s">
        <v>12</v>
      </c>
      <c r="B325" s="4"/>
      <c r="C325" s="4"/>
      <c r="D325" s="4"/>
      <c r="E325" s="5">
        <f>E323-E324</f>
        <v>5969.0096569999996</v>
      </c>
      <c r="F325" s="5"/>
      <c r="G325" s="4"/>
      <c r="H325" s="4"/>
      <c r="I325" s="4"/>
      <c r="J325" s="4"/>
      <c r="K325" s="4"/>
    </row>
    <row r="327" spans="1:11">
      <c r="A327" s="14">
        <v>44197</v>
      </c>
      <c r="E327" s="3"/>
      <c r="F327" s="3"/>
    </row>
    <row r="328" spans="1:11" hidden="1">
      <c r="A328" s="2" t="s">
        <v>1</v>
      </c>
      <c r="B328" s="2" t="s">
        <v>2</v>
      </c>
      <c r="C328" s="2" t="s">
        <v>3</v>
      </c>
      <c r="D328" s="2" t="s">
        <v>4</v>
      </c>
      <c r="E328" s="2" t="s">
        <v>5</v>
      </c>
      <c r="F328" s="2" t="s">
        <v>6</v>
      </c>
      <c r="G328" s="2" t="s">
        <v>13</v>
      </c>
      <c r="H328" s="2" t="s">
        <v>14</v>
      </c>
      <c r="I328" s="2" t="s">
        <v>15</v>
      </c>
      <c r="J328" s="2" t="s">
        <v>16</v>
      </c>
      <c r="K328" s="2" t="s">
        <v>17</v>
      </c>
    </row>
    <row r="329" spans="1:11" hidden="1">
      <c r="A329" s="4" t="s">
        <v>7</v>
      </c>
      <c r="B329" s="4">
        <f>C320</f>
        <v>20492</v>
      </c>
      <c r="C329" s="4">
        <v>20915</v>
      </c>
      <c r="D329" s="4">
        <f>C329-B329</f>
        <v>423</v>
      </c>
      <c r="E329" s="5">
        <f>(1901.76+3342.24)*1.15</f>
        <v>6030.5999999999995</v>
      </c>
      <c r="F329" s="5">
        <f>1432.06*1.15</f>
        <v>1646.8689999999999</v>
      </c>
      <c r="G329" s="4" t="s">
        <v>18</v>
      </c>
      <c r="H329" s="4" t="s">
        <v>66</v>
      </c>
      <c r="I329" s="4">
        <v>21</v>
      </c>
      <c r="J329" s="4">
        <f>(D329+D330)/I329</f>
        <v>30.904761904761905</v>
      </c>
      <c r="K329" s="5">
        <f>E329/D329</f>
        <v>14.256737588652481</v>
      </c>
    </row>
    <row r="330" spans="1:11" hidden="1">
      <c r="A330" s="4" t="s">
        <v>8</v>
      </c>
      <c r="B330" s="4">
        <v>5247</v>
      </c>
      <c r="C330" s="4">
        <v>5473</v>
      </c>
      <c r="D330" s="4">
        <f t="shared" ref="D330:D331" si="37">C330-B330</f>
        <v>226</v>
      </c>
      <c r="E330" s="5"/>
      <c r="F330" s="5"/>
      <c r="G330" s="4"/>
      <c r="H330" s="4"/>
      <c r="I330" s="4"/>
      <c r="J330" s="4"/>
      <c r="K330" s="4"/>
    </row>
    <row r="331" spans="1:11" hidden="1">
      <c r="A331" s="4" t="s">
        <v>9</v>
      </c>
      <c r="B331" s="4">
        <f>C322</f>
        <v>8776</v>
      </c>
      <c r="C331" s="4">
        <v>9246</v>
      </c>
      <c r="D331" s="4">
        <f t="shared" si="37"/>
        <v>470</v>
      </c>
      <c r="E331" s="5">
        <f>1582.24*1.15</f>
        <v>1819.5759999999998</v>
      </c>
      <c r="F331" s="5">
        <f>1405.56*1.15</f>
        <v>1616.3939999999998</v>
      </c>
      <c r="G331" s="4" t="s">
        <v>36</v>
      </c>
      <c r="H331" s="4" t="s">
        <v>67</v>
      </c>
      <c r="I331" s="4">
        <v>37</v>
      </c>
      <c r="J331" s="4">
        <f>D333/I331</f>
        <v>12.702702702702704</v>
      </c>
      <c r="K331" s="5">
        <f>E333/D333</f>
        <v>7.3105744680851048</v>
      </c>
    </row>
    <row r="332" spans="1:11" hidden="1">
      <c r="A332" s="4" t="s">
        <v>10</v>
      </c>
      <c r="B332" s="4"/>
      <c r="C332" s="4"/>
      <c r="D332" s="4">
        <f>D329+D330</f>
        <v>649</v>
      </c>
      <c r="E332" s="5">
        <f>E329+F329</f>
        <v>7677.4689999999991</v>
      </c>
      <c r="F332" s="5"/>
      <c r="G332" s="4"/>
      <c r="H332" s="4"/>
      <c r="I332" s="4"/>
      <c r="J332" s="4"/>
      <c r="K332" s="4"/>
    </row>
    <row r="333" spans="1:11" hidden="1">
      <c r="A333" s="4" t="s">
        <v>11</v>
      </c>
      <c r="B333" s="4"/>
      <c r="C333" s="4"/>
      <c r="D333" s="4">
        <f>D331</f>
        <v>470</v>
      </c>
      <c r="E333" s="5">
        <f>+E331+F331</f>
        <v>3435.9699999999993</v>
      </c>
      <c r="F333" s="5"/>
      <c r="G333" s="4"/>
      <c r="H333" s="4"/>
      <c r="I333" s="4"/>
      <c r="J333" s="4"/>
      <c r="K333" s="4"/>
    </row>
    <row r="334" spans="1:11" hidden="1">
      <c r="A334" s="4" t="s">
        <v>12</v>
      </c>
      <c r="B334" s="4"/>
      <c r="C334" s="4"/>
      <c r="D334" s="4"/>
      <c r="E334" s="5">
        <f>E332-E333</f>
        <v>4241.4989999999998</v>
      </c>
      <c r="F334" s="5"/>
      <c r="G334" s="4"/>
      <c r="H334" s="4"/>
      <c r="I334" s="4"/>
      <c r="J334" s="4"/>
      <c r="K334" s="4"/>
    </row>
    <row r="335" spans="1:11" hidden="1"/>
    <row r="336" spans="1:11" hidden="1">
      <c r="A336" s="14">
        <v>44228</v>
      </c>
      <c r="E336" s="3"/>
      <c r="F336" s="3"/>
    </row>
    <row r="337" spans="1:11" hidden="1">
      <c r="A337" s="2" t="s">
        <v>1</v>
      </c>
      <c r="B337" s="2" t="s">
        <v>2</v>
      </c>
      <c r="C337" s="2" t="s">
        <v>3</v>
      </c>
      <c r="D337" s="2" t="s">
        <v>4</v>
      </c>
      <c r="E337" s="2" t="s">
        <v>5</v>
      </c>
      <c r="F337" s="2" t="s">
        <v>6</v>
      </c>
      <c r="G337" s="2" t="s">
        <v>13</v>
      </c>
      <c r="H337" s="2" t="s">
        <v>14</v>
      </c>
      <c r="I337" s="2" t="s">
        <v>15</v>
      </c>
      <c r="J337" s="2" t="s">
        <v>16</v>
      </c>
      <c r="K337" s="2" t="s">
        <v>17</v>
      </c>
    </row>
    <row r="338" spans="1:11" hidden="1">
      <c r="A338" s="4" t="s">
        <v>7</v>
      </c>
      <c r="B338" s="4">
        <f>C329</f>
        <v>20915</v>
      </c>
      <c r="C338" s="4">
        <v>21415</v>
      </c>
      <c r="D338" s="4">
        <f>C338-B338</f>
        <v>500</v>
      </c>
      <c r="E338" s="5">
        <f>(4753.93+1622.34)*1.15</f>
        <v>7332.7105000000001</v>
      </c>
      <c r="F338" s="5">
        <f>1432.06*1.15</f>
        <v>1646.8689999999999</v>
      </c>
      <c r="G338" s="4" t="s">
        <v>18</v>
      </c>
      <c r="H338" s="4" t="s">
        <v>68</v>
      </c>
      <c r="I338" s="4">
        <v>31</v>
      </c>
      <c r="J338" s="4">
        <f>(D338+D339)/I338</f>
        <v>25.93548387096774</v>
      </c>
      <c r="K338" s="5">
        <f>E338/D338</f>
        <v>14.665421</v>
      </c>
    </row>
    <row r="339" spans="1:11" hidden="1">
      <c r="A339" s="4" t="s">
        <v>8</v>
      </c>
      <c r="B339" s="4">
        <v>5247</v>
      </c>
      <c r="C339" s="4">
        <v>5551</v>
      </c>
      <c r="D339" s="4">
        <f t="shared" ref="D339:D340" si="38">C339-B339</f>
        <v>304</v>
      </c>
      <c r="E339" s="5"/>
      <c r="F339" s="5"/>
      <c r="G339" s="4"/>
      <c r="H339" s="4"/>
      <c r="I339" s="4"/>
      <c r="J339" s="4"/>
      <c r="K339" s="4"/>
    </row>
    <row r="340" spans="1:11" hidden="1">
      <c r="A340" s="4" t="s">
        <v>9</v>
      </c>
      <c r="B340" s="4">
        <v>4060</v>
      </c>
      <c r="C340" s="4">
        <v>5575</v>
      </c>
      <c r="D340" s="4">
        <f t="shared" si="38"/>
        <v>1515</v>
      </c>
      <c r="E340" s="5">
        <f>(-3367.78+3367.79+26.31+965.77+1098.98-2530.99+2475.2+1410.5+710.39+1341.85+342.04+947.19)*1.15</f>
        <v>7805.3374999999996</v>
      </c>
      <c r="F340" s="5">
        <f>1405.56*1.15</f>
        <v>1616.3939999999998</v>
      </c>
      <c r="G340" s="4" t="s">
        <v>18</v>
      </c>
      <c r="H340" s="4" t="s">
        <v>69</v>
      </c>
      <c r="I340" s="4">
        <v>498</v>
      </c>
      <c r="J340" s="4">
        <f>D342/I340</f>
        <v>3.0421686746987953</v>
      </c>
      <c r="K340" s="5">
        <f>E342/D342</f>
        <v>6.218964686468647</v>
      </c>
    </row>
    <row r="341" spans="1:11" hidden="1">
      <c r="A341" s="4" t="s">
        <v>10</v>
      </c>
      <c r="B341" s="4"/>
      <c r="C341" s="4"/>
      <c r="D341" s="4">
        <f>D338+D339</f>
        <v>804</v>
      </c>
      <c r="E341" s="5">
        <f>E338+F338</f>
        <v>8979.5794999999998</v>
      </c>
      <c r="F341" s="5"/>
      <c r="G341" s="4"/>
      <c r="H341" s="4"/>
      <c r="I341" s="4"/>
      <c r="J341" s="4"/>
      <c r="K341" s="4"/>
    </row>
    <row r="342" spans="1:11" hidden="1">
      <c r="A342" s="4" t="s">
        <v>11</v>
      </c>
      <c r="B342" s="4"/>
      <c r="C342" s="4"/>
      <c r="D342" s="4">
        <f>D340</f>
        <v>1515</v>
      </c>
      <c r="E342" s="5">
        <f>+E340+F340</f>
        <v>9421.7314999999999</v>
      </c>
      <c r="F342" s="5"/>
      <c r="G342" s="4"/>
      <c r="H342" s="4"/>
      <c r="I342" s="4"/>
      <c r="J342" s="4"/>
      <c r="K342" s="4"/>
    </row>
    <row r="343" spans="1:11" hidden="1">
      <c r="A343" s="4" t="s">
        <v>12</v>
      </c>
      <c r="B343" s="4"/>
      <c r="C343" s="4"/>
      <c r="D343" s="4"/>
      <c r="E343" s="5">
        <f>E341-E342</f>
        <v>-442.15200000000004</v>
      </c>
      <c r="F343" s="5"/>
      <c r="G343" s="4"/>
      <c r="H343" s="4"/>
      <c r="I343" s="4"/>
      <c r="J343" s="4"/>
      <c r="K343" s="4"/>
    </row>
    <row r="344" spans="1:11" hidden="1"/>
    <row r="345" spans="1:11" hidden="1">
      <c r="A345" s="14">
        <v>44256</v>
      </c>
      <c r="E345" s="3"/>
      <c r="F345" s="3"/>
    </row>
    <row r="346" spans="1:11" hidden="1">
      <c r="A346" s="2" t="s">
        <v>1</v>
      </c>
      <c r="B346" s="2" t="s">
        <v>2</v>
      </c>
      <c r="C346" s="2" t="s">
        <v>3</v>
      </c>
      <c r="D346" s="2" t="s">
        <v>4</v>
      </c>
      <c r="E346" s="2" t="s">
        <v>5</v>
      </c>
      <c r="F346" s="2" t="s">
        <v>6</v>
      </c>
      <c r="G346" s="2" t="s">
        <v>13</v>
      </c>
      <c r="H346" s="2" t="s">
        <v>14</v>
      </c>
      <c r="I346" s="2" t="s">
        <v>15</v>
      </c>
      <c r="J346" s="2" t="s">
        <v>16</v>
      </c>
      <c r="K346" s="2" t="s">
        <v>17</v>
      </c>
    </row>
    <row r="347" spans="1:11" hidden="1">
      <c r="A347" s="4" t="s">
        <v>7</v>
      </c>
      <c r="B347" s="4">
        <f>C338</f>
        <v>21415</v>
      </c>
      <c r="C347" s="4">
        <v>21992</v>
      </c>
      <c r="D347" s="4">
        <f>C347-B347</f>
        <v>577</v>
      </c>
      <c r="E347" s="5">
        <f>(8179.41+872.08)*1.15</f>
        <v>10409.2135</v>
      </c>
      <c r="F347" s="5">
        <f>1432.06*1.15</f>
        <v>1646.8689999999999</v>
      </c>
      <c r="G347" s="4" t="s">
        <v>18</v>
      </c>
      <c r="H347" s="4" t="s">
        <v>70</v>
      </c>
      <c r="I347" s="4">
        <v>36</v>
      </c>
      <c r="J347" s="4">
        <f>(D347+D348)/I347</f>
        <v>27.972222222222221</v>
      </c>
      <c r="K347" s="5">
        <f>E347/D347</f>
        <v>18.040231369150778</v>
      </c>
    </row>
    <row r="348" spans="1:11" hidden="1">
      <c r="A348" s="4" t="s">
        <v>8</v>
      </c>
      <c r="B348" s="4">
        <v>5247</v>
      </c>
      <c r="C348" s="4">
        <v>5677</v>
      </c>
      <c r="D348" s="4">
        <f t="shared" ref="D348:D349" si="39">C348-B348</f>
        <v>430</v>
      </c>
      <c r="E348" s="5"/>
      <c r="F348" s="5"/>
      <c r="G348" s="4"/>
      <c r="H348" s="4"/>
      <c r="I348" s="4"/>
      <c r="J348" s="4"/>
      <c r="K348" s="4"/>
    </row>
    <row r="349" spans="1:11" hidden="1">
      <c r="A349" s="4" t="s">
        <v>9</v>
      </c>
      <c r="B349" s="4">
        <v>5551</v>
      </c>
      <c r="C349" s="4">
        <v>5616</v>
      </c>
      <c r="D349" s="4">
        <f t="shared" si="39"/>
        <v>65</v>
      </c>
      <c r="E349" s="5">
        <f>0</f>
        <v>0</v>
      </c>
      <c r="F349" s="5">
        <f>1405.56*1.15</f>
        <v>1616.3939999999998</v>
      </c>
      <c r="G349" s="4" t="s">
        <v>18</v>
      </c>
      <c r="H349" s="4" t="s">
        <v>71</v>
      </c>
      <c r="I349" s="4">
        <v>21</v>
      </c>
      <c r="J349" s="4">
        <f>D351/I349</f>
        <v>3.0952380952380953</v>
      </c>
      <c r="K349" s="5">
        <f>E351/D351</f>
        <v>24.867599999999996</v>
      </c>
    </row>
    <row r="350" spans="1:11" hidden="1">
      <c r="A350" s="4" t="s">
        <v>10</v>
      </c>
      <c r="B350" s="4"/>
      <c r="C350" s="4"/>
      <c r="D350" s="4">
        <f>D347+D348</f>
        <v>1007</v>
      </c>
      <c r="E350" s="5">
        <f>E347+F347</f>
        <v>12056.0825</v>
      </c>
      <c r="F350" s="5"/>
      <c r="G350" s="4"/>
      <c r="H350" s="4"/>
      <c r="I350" s="4"/>
      <c r="J350" s="4"/>
      <c r="K350" s="4"/>
    </row>
    <row r="351" spans="1:11" hidden="1">
      <c r="A351" s="4" t="s">
        <v>11</v>
      </c>
      <c r="B351" s="4"/>
      <c r="C351" s="4"/>
      <c r="D351" s="4">
        <f>D349</f>
        <v>65</v>
      </c>
      <c r="E351" s="5">
        <f>+E349+F349</f>
        <v>1616.3939999999998</v>
      </c>
      <c r="F351" s="5"/>
      <c r="G351" s="4"/>
      <c r="H351" s="4"/>
      <c r="I351" s="4"/>
      <c r="J351" s="4"/>
      <c r="K351" s="4"/>
    </row>
    <row r="352" spans="1:11" hidden="1">
      <c r="A352" s="4" t="s">
        <v>12</v>
      </c>
      <c r="B352" s="4"/>
      <c r="C352" s="4"/>
      <c r="D352" s="4"/>
      <c r="E352" s="5">
        <f>E350-E351</f>
        <v>10439.6885</v>
      </c>
      <c r="F352" s="5"/>
      <c r="G352" s="4"/>
      <c r="H352" s="4"/>
      <c r="I352" s="4"/>
      <c r="J352" s="4"/>
      <c r="K352" s="4"/>
    </row>
    <row r="353" spans="1:11" hidden="1"/>
    <row r="354" spans="1:11" hidden="1">
      <c r="A354" s="14">
        <v>44287</v>
      </c>
      <c r="E354" s="3"/>
      <c r="F354" s="3"/>
    </row>
    <row r="355" spans="1:11" hidden="1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13</v>
      </c>
      <c r="H355" s="2" t="s">
        <v>14</v>
      </c>
      <c r="I355" s="2" t="s">
        <v>15</v>
      </c>
      <c r="J355" s="2" t="s">
        <v>16</v>
      </c>
      <c r="K355" s="2" t="s">
        <v>17</v>
      </c>
    </row>
    <row r="356" spans="1:11" hidden="1">
      <c r="A356" s="4" t="s">
        <v>7</v>
      </c>
      <c r="B356" s="4">
        <f>C347</f>
        <v>21992</v>
      </c>
      <c r="C356" s="4">
        <v>22368</v>
      </c>
      <c r="D356" s="4">
        <f>C356-B356</f>
        <v>376</v>
      </c>
      <c r="E356" s="5">
        <f>(2277.97+1367.28)*1.15</f>
        <v>4192.0374999999995</v>
      </c>
      <c r="F356" s="5">
        <f>1405.56*1.15</f>
        <v>1616.3939999999998</v>
      </c>
      <c r="G356" s="4" t="s">
        <v>18</v>
      </c>
      <c r="H356" s="4" t="s">
        <v>72</v>
      </c>
      <c r="I356" s="4">
        <v>23</v>
      </c>
      <c r="J356" s="4">
        <f>(D356+D357)/I356</f>
        <v>37.739130434782609</v>
      </c>
      <c r="K356" s="5">
        <f>E356/D356</f>
        <v>11.149035904255317</v>
      </c>
    </row>
    <row r="357" spans="1:11" hidden="1">
      <c r="A357" s="4" t="s">
        <v>8</v>
      </c>
      <c r="B357" s="4">
        <v>5247</v>
      </c>
      <c r="C357" s="4">
        <v>5739</v>
      </c>
      <c r="D357" s="4">
        <f t="shared" ref="D357:D358" si="40">C357-B357</f>
        <v>492</v>
      </c>
      <c r="E357" s="5"/>
      <c r="F357" s="5"/>
      <c r="G357" s="4"/>
      <c r="H357" s="4"/>
      <c r="I357" s="4"/>
      <c r="J357" s="4"/>
      <c r="K357" s="4"/>
    </row>
    <row r="358" spans="1:11" hidden="1">
      <c r="A358" s="4" t="s">
        <v>9</v>
      </c>
      <c r="B358" s="4">
        <f>C349</f>
        <v>5616</v>
      </c>
      <c r="C358" s="4">
        <v>5715</v>
      </c>
      <c r="D358" s="4">
        <f t="shared" si="40"/>
        <v>99</v>
      </c>
      <c r="E358" s="5">
        <f>0</f>
        <v>0</v>
      </c>
      <c r="F358" s="5">
        <f>1405.56*1.15</f>
        <v>1616.3939999999998</v>
      </c>
      <c r="G358" s="4" t="s">
        <v>73</v>
      </c>
      <c r="H358" s="4" t="s">
        <v>74</v>
      </c>
      <c r="I358" s="4">
        <v>34</v>
      </c>
      <c r="J358" s="4">
        <f>D360/I358</f>
        <v>2.9117647058823528</v>
      </c>
      <c r="K358" s="5">
        <f>E360/D360</f>
        <v>16.327212121212121</v>
      </c>
    </row>
    <row r="359" spans="1:11" hidden="1">
      <c r="A359" s="4" t="s">
        <v>10</v>
      </c>
      <c r="B359" s="4"/>
      <c r="C359" s="4"/>
      <c r="D359" s="4">
        <f>D356+D357</f>
        <v>868</v>
      </c>
      <c r="E359" s="5">
        <f>E356+F356</f>
        <v>5808.4314999999988</v>
      </c>
      <c r="F359" s="5"/>
      <c r="G359" s="4"/>
      <c r="H359" s="4"/>
      <c r="I359" s="4"/>
      <c r="J359" s="4"/>
      <c r="K359" s="4"/>
    </row>
    <row r="360" spans="1:11" hidden="1">
      <c r="A360" s="4" t="s">
        <v>11</v>
      </c>
      <c r="B360" s="4"/>
      <c r="C360" s="4"/>
      <c r="D360" s="4">
        <f>D358</f>
        <v>99</v>
      </c>
      <c r="E360" s="5">
        <f>+E358+F358</f>
        <v>1616.3939999999998</v>
      </c>
      <c r="F360" s="5"/>
      <c r="G360" s="4"/>
      <c r="H360" s="4"/>
      <c r="I360" s="4"/>
      <c r="J360" s="4"/>
      <c r="K360" s="4"/>
    </row>
    <row r="361" spans="1:11" hidden="1">
      <c r="A361" s="4" t="s">
        <v>12</v>
      </c>
      <c r="B361" s="4"/>
      <c r="C361" s="4"/>
      <c r="D361" s="4"/>
      <c r="E361" s="5">
        <f>E359-E360</f>
        <v>4192.0374999999985</v>
      </c>
      <c r="F361" s="5"/>
      <c r="G361" s="4"/>
      <c r="H361" s="4"/>
      <c r="I361" s="4"/>
      <c r="J361" s="4"/>
      <c r="K361" s="4"/>
    </row>
    <row r="362" spans="1:11" hidden="1"/>
    <row r="363" spans="1:11" hidden="1">
      <c r="A363" s="14">
        <v>44317</v>
      </c>
      <c r="E363" s="3"/>
      <c r="F363" s="3"/>
    </row>
    <row r="364" spans="1:11" hidden="1">
      <c r="A364" s="2" t="s">
        <v>1</v>
      </c>
      <c r="B364" s="2" t="s">
        <v>2</v>
      </c>
      <c r="C364" s="2" t="s">
        <v>3</v>
      </c>
      <c r="D364" s="2" t="s">
        <v>4</v>
      </c>
      <c r="E364" s="2" t="s">
        <v>5</v>
      </c>
      <c r="F364" s="2" t="s">
        <v>6</v>
      </c>
      <c r="G364" s="2" t="s">
        <v>13</v>
      </c>
      <c r="H364" s="2" t="s">
        <v>14</v>
      </c>
      <c r="I364" s="2" t="s">
        <v>15</v>
      </c>
      <c r="J364" s="2" t="s">
        <v>16</v>
      </c>
      <c r="K364" s="2" t="s">
        <v>17</v>
      </c>
    </row>
    <row r="365" spans="1:11" hidden="1">
      <c r="A365" s="4" t="s">
        <v>7</v>
      </c>
      <c r="B365" s="4">
        <f>C356</f>
        <v>22368</v>
      </c>
      <c r="C365" s="4">
        <v>22791</v>
      </c>
      <c r="D365" s="4">
        <f>C365-B365</f>
        <v>423</v>
      </c>
      <c r="E365" s="5">
        <f>(3845.43+417.78)*1.15</f>
        <v>4902.6914999999999</v>
      </c>
      <c r="F365" s="5">
        <f>1405.56*1.15</f>
        <v>1616.3939999999998</v>
      </c>
      <c r="G365" s="4" t="s">
        <v>18</v>
      </c>
      <c r="H365" s="4" t="s">
        <v>75</v>
      </c>
      <c r="I365" s="4">
        <v>29</v>
      </c>
      <c r="J365" s="4">
        <f>(D365+D366)/I365</f>
        <v>16.551724137931036</v>
      </c>
      <c r="K365" s="5">
        <f>E365/D365</f>
        <v>11.590287234042552</v>
      </c>
    </row>
    <row r="366" spans="1:11" hidden="1">
      <c r="A366" s="4" t="s">
        <v>8</v>
      </c>
      <c r="B366" s="4">
        <f>C357</f>
        <v>5739</v>
      </c>
      <c r="C366" s="4">
        <v>5796</v>
      </c>
      <c r="D366" s="4">
        <f t="shared" ref="D366:D367" si="41">C366-B366</f>
        <v>57</v>
      </c>
      <c r="E366" s="5"/>
      <c r="F366" s="5"/>
      <c r="G366" s="4"/>
      <c r="H366" s="4"/>
      <c r="I366" s="4"/>
      <c r="J366" s="4"/>
      <c r="K366" s="4"/>
    </row>
    <row r="367" spans="1:11" hidden="1">
      <c r="A367" s="4" t="s">
        <v>9</v>
      </c>
      <c r="B367" s="4">
        <f>C358</f>
        <v>5715</v>
      </c>
      <c r="C367" s="4">
        <v>5789</v>
      </c>
      <c r="D367" s="4">
        <f t="shared" si="41"/>
        <v>74</v>
      </c>
      <c r="E367" s="5">
        <f>0</f>
        <v>0</v>
      </c>
      <c r="F367" s="5">
        <f>1405.56*1.15</f>
        <v>1616.3939999999998</v>
      </c>
      <c r="G367" s="4" t="s">
        <v>73</v>
      </c>
      <c r="H367" s="4" t="s">
        <v>76</v>
      </c>
      <c r="I367" s="4">
        <v>29</v>
      </c>
      <c r="J367" s="4">
        <f>D369/I367</f>
        <v>2.5517241379310347</v>
      </c>
      <c r="K367" s="5">
        <f>E369/D369</f>
        <v>21.843162162162159</v>
      </c>
    </row>
    <row r="368" spans="1:11" hidden="1">
      <c r="A368" s="4" t="s">
        <v>10</v>
      </c>
      <c r="B368" s="4"/>
      <c r="C368" s="4"/>
      <c r="D368" s="4">
        <f>D365+D366</f>
        <v>480</v>
      </c>
      <c r="E368" s="5">
        <f>E365+F365</f>
        <v>6519.0854999999992</v>
      </c>
      <c r="F368" s="5"/>
      <c r="G368" s="4"/>
      <c r="H368" s="4"/>
      <c r="I368" s="4"/>
      <c r="J368" s="4"/>
      <c r="K368" s="4"/>
    </row>
    <row r="369" spans="1:11" hidden="1">
      <c r="A369" s="4" t="s">
        <v>11</v>
      </c>
      <c r="B369" s="4"/>
      <c r="C369" s="4"/>
      <c r="D369" s="4">
        <f>D367</f>
        <v>74</v>
      </c>
      <c r="E369" s="5">
        <f>+E367+F367</f>
        <v>1616.3939999999998</v>
      </c>
      <c r="F369" s="5"/>
      <c r="G369" s="4"/>
      <c r="H369" s="4"/>
      <c r="I369" s="4"/>
      <c r="J369" s="4"/>
      <c r="K369" s="4"/>
    </row>
    <row r="370" spans="1:11" hidden="1">
      <c r="A370" s="4" t="s">
        <v>12</v>
      </c>
      <c r="B370" s="4"/>
      <c r="C370" s="4"/>
      <c r="D370" s="4"/>
      <c r="E370" s="5">
        <f>E368-E369</f>
        <v>4902.691499999999</v>
      </c>
      <c r="F370" s="5"/>
      <c r="G370" s="4"/>
      <c r="H370" s="4"/>
      <c r="I370" s="4"/>
      <c r="J370" s="4"/>
      <c r="K370" s="4"/>
    </row>
    <row r="371" spans="1:11" hidden="1"/>
    <row r="372" spans="1:11" hidden="1">
      <c r="A372" s="14">
        <v>44348</v>
      </c>
      <c r="E372" s="3"/>
      <c r="F372" s="3"/>
    </row>
    <row r="373" spans="1:11" hidden="1">
      <c r="A373" s="2" t="s">
        <v>1</v>
      </c>
      <c r="B373" s="2" t="s">
        <v>2</v>
      </c>
      <c r="C373" s="2" t="s">
        <v>3</v>
      </c>
      <c r="D373" s="2" t="s">
        <v>4</v>
      </c>
      <c r="E373" s="2" t="s">
        <v>5</v>
      </c>
      <c r="F373" s="2" t="s">
        <v>6</v>
      </c>
      <c r="G373" s="2" t="s">
        <v>13</v>
      </c>
      <c r="H373" s="2" t="s">
        <v>14</v>
      </c>
      <c r="I373" s="2" t="s">
        <v>15</v>
      </c>
      <c r="J373" s="2" t="s">
        <v>16</v>
      </c>
      <c r="K373" s="2" t="s">
        <v>17</v>
      </c>
    </row>
    <row r="374" spans="1:11" hidden="1">
      <c r="A374" s="4" t="s">
        <v>7</v>
      </c>
      <c r="B374" s="4">
        <v>21721</v>
      </c>
      <c r="C374" s="4">
        <v>22282</v>
      </c>
      <c r="D374" s="4">
        <f>C374-B374</f>
        <v>561</v>
      </c>
      <c r="E374" s="5">
        <f>(6812.12+277.48)*1.15</f>
        <v>8153.04</v>
      </c>
      <c r="F374" s="5">
        <f>1500.96*1.15</f>
        <v>1726.1039999999998</v>
      </c>
      <c r="G374" s="4" t="s">
        <v>18</v>
      </c>
      <c r="H374" s="4" t="s">
        <v>77</v>
      </c>
      <c r="I374" s="4">
        <v>34</v>
      </c>
      <c r="J374" s="4">
        <f>(D374+D375)/I374</f>
        <v>17.882352941176471</v>
      </c>
      <c r="K374" s="5">
        <f>E374/D374</f>
        <v>14.533048128342246</v>
      </c>
    </row>
    <row r="375" spans="1:11" hidden="1">
      <c r="A375" s="4" t="s">
        <v>8</v>
      </c>
      <c r="B375" s="4">
        <v>5796</v>
      </c>
      <c r="C375" s="4">
        <v>5843</v>
      </c>
      <c r="D375" s="4">
        <f t="shared" ref="D375:D376" si="42">C375-B375</f>
        <v>47</v>
      </c>
      <c r="E375" s="5"/>
      <c r="F375" s="5"/>
      <c r="G375" s="4"/>
      <c r="H375" s="4"/>
      <c r="I375" s="4"/>
      <c r="J375" s="4"/>
      <c r="K375" s="4"/>
    </row>
    <row r="376" spans="1:11" hidden="1">
      <c r="A376" s="4" t="s">
        <v>9</v>
      </c>
      <c r="B376" s="4">
        <f>C367</f>
        <v>5789</v>
      </c>
      <c r="C376" s="4">
        <v>5826</v>
      </c>
      <c r="D376" s="4">
        <f t="shared" si="42"/>
        <v>37</v>
      </c>
      <c r="E376" s="5">
        <f>0</f>
        <v>0</v>
      </c>
      <c r="F376" s="5">
        <f>1500.96*1.15</f>
        <v>1726.1039999999998</v>
      </c>
      <c r="G376" s="4" t="s">
        <v>36</v>
      </c>
      <c r="H376" s="4" t="s">
        <v>78</v>
      </c>
      <c r="I376" s="4">
        <v>30</v>
      </c>
      <c r="J376" s="4">
        <f>D378/I376</f>
        <v>1.2333333333333334</v>
      </c>
      <c r="K376" s="5">
        <f>E378/D378</f>
        <v>46.651459459459453</v>
      </c>
    </row>
    <row r="377" spans="1:11" hidden="1">
      <c r="A377" s="4" t="s">
        <v>10</v>
      </c>
      <c r="B377" s="4"/>
      <c r="C377" s="4"/>
      <c r="D377" s="4">
        <f>D374+D375</f>
        <v>608</v>
      </c>
      <c r="E377" s="5">
        <f>E374+F374</f>
        <v>9879.1440000000002</v>
      </c>
      <c r="F377" s="5"/>
      <c r="G377" s="4"/>
      <c r="H377" s="4"/>
      <c r="I377" s="4"/>
      <c r="J377" s="4"/>
      <c r="K377" s="4"/>
    </row>
    <row r="378" spans="1:11" hidden="1">
      <c r="A378" s="4" t="s">
        <v>11</v>
      </c>
      <c r="B378" s="4"/>
      <c r="C378" s="4"/>
      <c r="D378" s="4">
        <f>D376</f>
        <v>37</v>
      </c>
      <c r="E378" s="5">
        <f>+E376+F376</f>
        <v>1726.1039999999998</v>
      </c>
      <c r="F378" s="5"/>
      <c r="G378" s="4"/>
      <c r="H378" s="4"/>
      <c r="I378" s="4"/>
      <c r="J378" s="4"/>
      <c r="K378" s="4"/>
    </row>
    <row r="379" spans="1:11" hidden="1">
      <c r="A379" s="4" t="s">
        <v>12</v>
      </c>
      <c r="B379" s="4"/>
      <c r="C379" s="4"/>
      <c r="D379" s="4"/>
      <c r="E379" s="5">
        <f>E377-E378</f>
        <v>8153.0400000000009</v>
      </c>
      <c r="F379" s="5"/>
      <c r="G379" s="4"/>
      <c r="H379" s="4"/>
      <c r="I379" s="4"/>
      <c r="J379" s="4"/>
      <c r="K379" s="4"/>
    </row>
    <row r="380" spans="1:11" hidden="1"/>
    <row r="381" spans="1:11" hidden="1">
      <c r="A381" s="14">
        <v>44378</v>
      </c>
      <c r="E381" s="3"/>
      <c r="F381" s="3"/>
    </row>
    <row r="382" spans="1:11" hidden="1">
      <c r="A382" s="2" t="s">
        <v>1</v>
      </c>
      <c r="B382" s="2" t="s">
        <v>2</v>
      </c>
      <c r="C382" s="2" t="s">
        <v>3</v>
      </c>
      <c r="D382" s="2" t="s">
        <v>4</v>
      </c>
      <c r="E382" s="2" t="s">
        <v>5</v>
      </c>
      <c r="F382" s="2" t="s">
        <v>6</v>
      </c>
      <c r="G382" s="2" t="s">
        <v>13</v>
      </c>
      <c r="H382" s="2" t="s">
        <v>14</v>
      </c>
      <c r="I382" s="2" t="s">
        <v>15</v>
      </c>
      <c r="J382" s="2" t="s">
        <v>16</v>
      </c>
      <c r="K382" s="2" t="s">
        <v>17</v>
      </c>
    </row>
    <row r="383" spans="1:11" hidden="1">
      <c r="A383" s="4" t="s">
        <v>7</v>
      </c>
      <c r="B383" s="4">
        <v>22282</v>
      </c>
      <c r="C383" s="4">
        <v>22743</v>
      </c>
      <c r="D383" s="4">
        <f>C383-B383</f>
        <v>461</v>
      </c>
      <c r="E383" s="5">
        <f>(6080.06+613.93)*1.15</f>
        <v>7698.0884999999998</v>
      </c>
      <c r="F383" s="5">
        <f>1500.96*1.15</f>
        <v>1726.1039999999998</v>
      </c>
      <c r="G383" s="4" t="s">
        <v>18</v>
      </c>
      <c r="H383" s="4" t="s">
        <v>79</v>
      </c>
      <c r="I383" s="4">
        <v>28</v>
      </c>
      <c r="J383" s="4">
        <f>(D383+D384)/I383</f>
        <v>20.714285714285715</v>
      </c>
      <c r="K383" s="5">
        <f>E383/D383</f>
        <v>16.698673535791755</v>
      </c>
    </row>
    <row r="384" spans="1:11" hidden="1">
      <c r="A384" s="4" t="s">
        <v>8</v>
      </c>
      <c r="B384" s="4">
        <v>5843</v>
      </c>
      <c r="C384" s="4">
        <v>5962</v>
      </c>
      <c r="D384" s="4">
        <f t="shared" ref="D384:D385" si="43">C384-B384</f>
        <v>119</v>
      </c>
      <c r="E384" s="5"/>
      <c r="F384" s="5"/>
      <c r="G384" s="4"/>
      <c r="H384" s="4"/>
      <c r="I384" s="4"/>
      <c r="J384" s="4"/>
      <c r="K384" s="4"/>
    </row>
    <row r="385" spans="1:11" hidden="1">
      <c r="A385" s="4" t="s">
        <v>9</v>
      </c>
      <c r="B385" s="4">
        <f>C376</f>
        <v>5826</v>
      </c>
      <c r="C385" s="4">
        <v>5921</v>
      </c>
      <c r="D385" s="4">
        <f t="shared" si="43"/>
        <v>95</v>
      </c>
      <c r="E385" s="5">
        <f>0</f>
        <v>0</v>
      </c>
      <c r="F385" s="5">
        <f>1500.96*1.15</f>
        <v>1726.1039999999998</v>
      </c>
      <c r="G385" s="4" t="s">
        <v>18</v>
      </c>
      <c r="H385" s="4" t="s">
        <v>80</v>
      </c>
      <c r="I385" s="4">
        <v>34</v>
      </c>
      <c r="J385" s="4">
        <f>D387/I385</f>
        <v>2.7941176470588234</v>
      </c>
      <c r="K385" s="5">
        <f>E387/D387</f>
        <v>18.169515789473682</v>
      </c>
    </row>
    <row r="386" spans="1:11" hidden="1">
      <c r="A386" s="4" t="s">
        <v>10</v>
      </c>
      <c r="B386" s="4"/>
      <c r="C386" s="4"/>
      <c r="D386" s="4">
        <f>D383+D384</f>
        <v>580</v>
      </c>
      <c r="E386" s="5">
        <f>E383+F383</f>
        <v>9424.1924999999992</v>
      </c>
      <c r="F386" s="5"/>
      <c r="G386" s="4"/>
      <c r="H386" s="4"/>
      <c r="I386" s="4"/>
      <c r="J386" s="4"/>
      <c r="K386" s="4"/>
    </row>
    <row r="387" spans="1:11" hidden="1">
      <c r="A387" s="4" t="s">
        <v>11</v>
      </c>
      <c r="B387" s="4"/>
      <c r="C387" s="4"/>
      <c r="D387" s="4">
        <f>D385</f>
        <v>95</v>
      </c>
      <c r="E387" s="5">
        <f>+E385+F385</f>
        <v>1726.1039999999998</v>
      </c>
      <c r="F387" s="5"/>
      <c r="G387" s="4"/>
      <c r="H387" s="4"/>
      <c r="I387" s="4"/>
      <c r="J387" s="4"/>
      <c r="K387" s="4"/>
    </row>
    <row r="388" spans="1:11" hidden="1">
      <c r="A388" s="4" t="s">
        <v>12</v>
      </c>
      <c r="B388" s="4"/>
      <c r="C388" s="4"/>
      <c r="D388" s="4"/>
      <c r="E388" s="5">
        <f>E386-E387</f>
        <v>7698.0884999999998</v>
      </c>
      <c r="F388" s="5"/>
      <c r="G388" s="4"/>
      <c r="H388" s="4"/>
      <c r="I388" s="4"/>
      <c r="J388" s="4"/>
      <c r="K388" s="4"/>
    </row>
    <row r="389" spans="1:11" hidden="1"/>
    <row r="390" spans="1:11" hidden="1">
      <c r="A390" s="14">
        <v>44409</v>
      </c>
      <c r="E390" s="3"/>
      <c r="F390" s="3"/>
    </row>
    <row r="391" spans="1:11" hidden="1">
      <c r="A391" s="2" t="s">
        <v>1</v>
      </c>
      <c r="B391" s="2" t="s">
        <v>2</v>
      </c>
      <c r="C391" s="2" t="s">
        <v>3</v>
      </c>
      <c r="D391" s="2" t="s">
        <v>4</v>
      </c>
      <c r="E391" s="2" t="s">
        <v>5</v>
      </c>
      <c r="F391" s="2" t="s">
        <v>6</v>
      </c>
      <c r="G391" s="2" t="s">
        <v>13</v>
      </c>
      <c r="H391" s="2" t="s">
        <v>14</v>
      </c>
      <c r="I391" s="2" t="s">
        <v>15</v>
      </c>
      <c r="J391" s="2" t="s">
        <v>16</v>
      </c>
      <c r="K391" s="2" t="s">
        <v>17</v>
      </c>
    </row>
    <row r="392" spans="1:11" hidden="1">
      <c r="A392" s="4" t="s">
        <v>7</v>
      </c>
      <c r="B392" s="4">
        <f>C383</f>
        <v>22743</v>
      </c>
      <c r="C392" s="4">
        <v>23368</v>
      </c>
      <c r="D392" s="4">
        <f>C392-B392</f>
        <v>625</v>
      </c>
      <c r="E392" s="5">
        <f>(9212.58+656.27)*1.15</f>
        <v>11349.1775</v>
      </c>
      <c r="F392" s="5">
        <f>1500.96*1.15</f>
        <v>1726.1039999999998</v>
      </c>
      <c r="G392" s="4" t="s">
        <v>18</v>
      </c>
      <c r="H392" s="4" t="s">
        <v>81</v>
      </c>
      <c r="I392" s="4">
        <v>35</v>
      </c>
      <c r="J392" s="4">
        <f>(D392+D393)/I392</f>
        <v>20.37142857142857</v>
      </c>
      <c r="K392" s="5">
        <f>E392/D392</f>
        <v>18.158684000000001</v>
      </c>
    </row>
    <row r="393" spans="1:11" hidden="1">
      <c r="A393" s="4" t="s">
        <v>8</v>
      </c>
      <c r="B393" s="4">
        <f t="shared" ref="B393:B394" si="44">C384</f>
        <v>5962</v>
      </c>
      <c r="C393" s="4">
        <v>6050</v>
      </c>
      <c r="D393" s="4">
        <f t="shared" ref="D393:D394" si="45">C393-B393</f>
        <v>88</v>
      </c>
      <c r="E393" s="5"/>
      <c r="F393" s="5"/>
      <c r="G393" s="4"/>
      <c r="H393" s="4"/>
      <c r="I393" s="4"/>
      <c r="J393" s="4"/>
      <c r="K393" s="4"/>
    </row>
    <row r="394" spans="1:11" hidden="1">
      <c r="A394" s="4" t="s">
        <v>9</v>
      </c>
      <c r="B394" s="4">
        <f t="shared" si="44"/>
        <v>5921</v>
      </c>
      <c r="C394" s="4">
        <v>6008</v>
      </c>
      <c r="D394" s="4">
        <f t="shared" si="45"/>
        <v>87</v>
      </c>
      <c r="E394" s="5">
        <f>0</f>
        <v>0</v>
      </c>
      <c r="F394" s="5">
        <f>1500.96*1.15</f>
        <v>1726.1039999999998</v>
      </c>
      <c r="G394" s="4" t="s">
        <v>18</v>
      </c>
      <c r="H394" s="4" t="s">
        <v>82</v>
      </c>
      <c r="I394" s="4">
        <v>27</v>
      </c>
      <c r="J394" s="4">
        <f>D396/I394</f>
        <v>3.2222222222222223</v>
      </c>
      <c r="K394" s="5">
        <f>E396/D396</f>
        <v>19.840275862068964</v>
      </c>
    </row>
    <row r="395" spans="1:11" hidden="1">
      <c r="A395" s="4" t="s">
        <v>10</v>
      </c>
      <c r="B395" s="4"/>
      <c r="C395" s="4"/>
      <c r="D395" s="4">
        <f>D392+D393</f>
        <v>713</v>
      </c>
      <c r="E395" s="5">
        <f>E392+F392</f>
        <v>13075.281499999999</v>
      </c>
      <c r="F395" s="5"/>
      <c r="G395" s="4"/>
      <c r="H395" s="4"/>
      <c r="I395" s="4"/>
      <c r="J395" s="4"/>
      <c r="K395" s="4"/>
    </row>
    <row r="396" spans="1:11" hidden="1">
      <c r="A396" s="4" t="s">
        <v>11</v>
      </c>
      <c r="B396" s="4"/>
      <c r="C396" s="4"/>
      <c r="D396" s="4">
        <f>D394</f>
        <v>87</v>
      </c>
      <c r="E396" s="5">
        <f>+E394+F394</f>
        <v>1726.1039999999998</v>
      </c>
      <c r="F396" s="5"/>
      <c r="G396" s="4"/>
      <c r="H396" s="4"/>
      <c r="I396" s="4"/>
      <c r="J396" s="4"/>
      <c r="K396" s="4"/>
    </row>
    <row r="397" spans="1:11" hidden="1">
      <c r="A397" s="4" t="s">
        <v>12</v>
      </c>
      <c r="B397" s="4"/>
      <c r="C397" s="4"/>
      <c r="D397" s="4"/>
      <c r="E397" s="5">
        <f>E395-E396</f>
        <v>11349.1775</v>
      </c>
      <c r="F397" s="5"/>
      <c r="G397" s="4"/>
      <c r="H397" s="4"/>
      <c r="I397" s="4"/>
      <c r="J397" s="4"/>
      <c r="K397" s="4"/>
    </row>
    <row r="398" spans="1:11" hidden="1"/>
    <row r="399" spans="1:11" hidden="1">
      <c r="A399" s="14">
        <v>44440</v>
      </c>
      <c r="E399" s="3"/>
      <c r="F399" s="3"/>
    </row>
    <row r="400" spans="1:11" hidden="1">
      <c r="A400" s="2" t="s">
        <v>1</v>
      </c>
      <c r="B400" s="2" t="s">
        <v>2</v>
      </c>
      <c r="C400" s="2" t="s">
        <v>3</v>
      </c>
      <c r="D400" s="2" t="s">
        <v>4</v>
      </c>
      <c r="E400" s="2" t="s">
        <v>5</v>
      </c>
      <c r="F400" s="2" t="s">
        <v>6</v>
      </c>
      <c r="G400" s="2" t="s">
        <v>13</v>
      </c>
      <c r="H400" s="2" t="s">
        <v>14</v>
      </c>
      <c r="I400" s="2" t="s">
        <v>15</v>
      </c>
      <c r="J400" s="2" t="s">
        <v>16</v>
      </c>
      <c r="K400" s="2" t="s">
        <v>17</v>
      </c>
    </row>
    <row r="401" spans="1:11" hidden="1">
      <c r="A401" s="4" t="s">
        <v>7</v>
      </c>
      <c r="B401" s="4">
        <f>C392</f>
        <v>23368</v>
      </c>
      <c r="C401" s="4">
        <v>23872</v>
      </c>
      <c r="D401" s="4">
        <f>C401-B401</f>
        <v>504</v>
      </c>
      <c r="E401" s="5">
        <f>(6950.81+778.09)*1.15</f>
        <v>8888.2350000000006</v>
      </c>
      <c r="F401" s="5">
        <f>1500.96*1.15</f>
        <v>1726.1039999999998</v>
      </c>
      <c r="G401" s="4" t="s">
        <v>18</v>
      </c>
      <c r="H401" s="4" t="s">
        <v>83</v>
      </c>
      <c r="I401" s="4">
        <v>27</v>
      </c>
      <c r="J401" s="4">
        <f>(D401+D402)/I401</f>
        <v>25.62962962962963</v>
      </c>
      <c r="K401" s="5">
        <f>E401/D401</f>
        <v>17.635386904761905</v>
      </c>
    </row>
    <row r="402" spans="1:11" hidden="1">
      <c r="A402" s="4" t="s">
        <v>8</v>
      </c>
      <c r="B402" s="4">
        <f t="shared" ref="B402:B403" si="46">C393</f>
        <v>6050</v>
      </c>
      <c r="C402" s="4">
        <v>6238</v>
      </c>
      <c r="D402" s="4">
        <f t="shared" ref="D402:D403" si="47">C402-B402</f>
        <v>188</v>
      </c>
      <c r="E402" s="5"/>
      <c r="F402" s="5"/>
      <c r="G402" s="4"/>
      <c r="H402" s="4"/>
      <c r="I402" s="4"/>
      <c r="J402" s="4"/>
      <c r="K402" s="4"/>
    </row>
    <row r="403" spans="1:11" hidden="1">
      <c r="A403" s="4" t="s">
        <v>9</v>
      </c>
      <c r="B403" s="4">
        <f t="shared" si="46"/>
        <v>6008</v>
      </c>
      <c r="C403" s="4">
        <v>6147</v>
      </c>
      <c r="D403" s="4">
        <f t="shared" si="47"/>
        <v>139</v>
      </c>
      <c r="E403" s="5">
        <f>0</f>
        <v>0</v>
      </c>
      <c r="F403" s="5">
        <f>1500.96*1.15</f>
        <v>1726.1039999999998</v>
      </c>
      <c r="G403" s="4" t="s">
        <v>18</v>
      </c>
      <c r="H403" s="4" t="s">
        <v>84</v>
      </c>
      <c r="I403" s="4">
        <v>32</v>
      </c>
      <c r="J403" s="4">
        <f>D405/I403</f>
        <v>4.34375</v>
      </c>
      <c r="K403" s="5">
        <f>E405/D405</f>
        <v>12.418014388489206</v>
      </c>
    </row>
    <row r="404" spans="1:11" hidden="1">
      <c r="A404" s="4" t="s">
        <v>10</v>
      </c>
      <c r="B404" s="4"/>
      <c r="C404" s="4"/>
      <c r="D404" s="4">
        <f>D401+D402</f>
        <v>692</v>
      </c>
      <c r="E404" s="5">
        <f>E401+F401</f>
        <v>10614.339</v>
      </c>
      <c r="F404" s="5"/>
      <c r="G404" s="4"/>
      <c r="H404" s="4"/>
      <c r="I404" s="4"/>
      <c r="J404" s="4"/>
      <c r="K404" s="4"/>
    </row>
    <row r="405" spans="1:11" hidden="1">
      <c r="A405" s="4" t="s">
        <v>11</v>
      </c>
      <c r="B405" s="4"/>
      <c r="C405" s="4"/>
      <c r="D405" s="4">
        <f>D403</f>
        <v>139</v>
      </c>
      <c r="E405" s="5">
        <f>+E403+F403</f>
        <v>1726.1039999999998</v>
      </c>
      <c r="F405" s="5"/>
      <c r="G405" s="4"/>
      <c r="H405" s="4"/>
      <c r="I405" s="4"/>
      <c r="J405" s="4"/>
      <c r="K405" s="4"/>
    </row>
    <row r="406" spans="1:11" hidden="1">
      <c r="A406" s="4" t="s">
        <v>12</v>
      </c>
      <c r="B406" s="4"/>
      <c r="C406" s="4"/>
      <c r="D406" s="4"/>
      <c r="E406" s="5">
        <f>E404-E405</f>
        <v>8888.2350000000006</v>
      </c>
      <c r="F406" s="5"/>
      <c r="G406" s="4"/>
      <c r="H406" s="4"/>
      <c r="I406" s="4"/>
      <c r="J406" s="4"/>
      <c r="K406" s="4"/>
    </row>
    <row r="407" spans="1:11" hidden="1"/>
    <row r="408" spans="1:11" hidden="1">
      <c r="A408" s="14">
        <v>44470</v>
      </c>
      <c r="E408" s="3"/>
      <c r="F408" s="3"/>
    </row>
    <row r="409" spans="1:11" hidden="1">
      <c r="A409" s="2" t="s">
        <v>1</v>
      </c>
      <c r="B409" s="2" t="s">
        <v>2</v>
      </c>
      <c r="C409" s="2" t="s">
        <v>3</v>
      </c>
      <c r="D409" s="2" t="s">
        <v>4</v>
      </c>
      <c r="E409" s="2" t="s">
        <v>5</v>
      </c>
      <c r="F409" s="2" t="s">
        <v>6</v>
      </c>
      <c r="G409" s="2" t="s">
        <v>13</v>
      </c>
      <c r="H409" s="2" t="s">
        <v>14</v>
      </c>
      <c r="I409" s="2" t="s">
        <v>15</v>
      </c>
      <c r="J409" s="2" t="s">
        <v>16</v>
      </c>
      <c r="K409" s="2" t="s">
        <v>17</v>
      </c>
    </row>
    <row r="410" spans="1:11" hidden="1">
      <c r="A410" s="4" t="s">
        <v>7</v>
      </c>
      <c r="B410" s="4">
        <f>C401</f>
        <v>23872</v>
      </c>
      <c r="C410" s="4">
        <v>24472</v>
      </c>
      <c r="D410" s="4">
        <f>C410-B410</f>
        <v>600</v>
      </c>
      <c r="E410" s="5">
        <f>(6990.66+166.65)*1.15</f>
        <v>8230.9064999999991</v>
      </c>
      <c r="F410" s="5">
        <f>1500.96*1.15</f>
        <v>1726.1039999999998</v>
      </c>
      <c r="G410" s="4" t="s">
        <v>18</v>
      </c>
      <c r="H410" s="4" t="s">
        <v>85</v>
      </c>
      <c r="I410" s="4">
        <v>28</v>
      </c>
      <c r="J410" s="4">
        <f>(D410+D411)/I410</f>
        <v>23.75</v>
      </c>
      <c r="K410" s="5">
        <f>E410/D410</f>
        <v>13.718177499999998</v>
      </c>
    </row>
    <row r="411" spans="1:11" hidden="1">
      <c r="A411" s="4" t="s">
        <v>8</v>
      </c>
      <c r="B411" s="4">
        <f t="shared" ref="B411:B412" si="48">C402</f>
        <v>6238</v>
      </c>
      <c r="C411" s="4">
        <v>6303</v>
      </c>
      <c r="D411" s="4">
        <f t="shared" ref="D411:D412" si="49">C411-B411</f>
        <v>65</v>
      </c>
      <c r="E411" s="5"/>
      <c r="F411" s="5"/>
      <c r="G411" s="4"/>
      <c r="H411" s="4"/>
      <c r="I411" s="4"/>
      <c r="J411" s="4"/>
      <c r="K411" s="4"/>
    </row>
    <row r="412" spans="1:11" hidden="1">
      <c r="A412" s="4" t="s">
        <v>9</v>
      </c>
      <c r="B412" s="4">
        <f t="shared" si="48"/>
        <v>6147</v>
      </c>
      <c r="C412" s="4">
        <v>6278</v>
      </c>
      <c r="D412" s="4">
        <f t="shared" si="49"/>
        <v>131</v>
      </c>
      <c r="E412" s="5">
        <f>0</f>
        <v>0</v>
      </c>
      <c r="F412" s="5">
        <f>1500.96*1.15</f>
        <v>1726.1039999999998</v>
      </c>
      <c r="G412" s="4" t="s">
        <v>18</v>
      </c>
      <c r="H412" s="4" t="s">
        <v>86</v>
      </c>
      <c r="I412" s="4">
        <v>30</v>
      </c>
      <c r="J412" s="4">
        <f>D414/I412</f>
        <v>4.3666666666666663</v>
      </c>
      <c r="K412" s="5">
        <f>E414/D414</f>
        <v>13.176366412213738</v>
      </c>
    </row>
    <row r="413" spans="1:11" hidden="1">
      <c r="A413" s="4" t="s">
        <v>10</v>
      </c>
      <c r="B413" s="4"/>
      <c r="C413" s="4"/>
      <c r="D413" s="4">
        <f>D410+D411</f>
        <v>665</v>
      </c>
      <c r="E413" s="5">
        <f>E410+F410</f>
        <v>9957.0104999999985</v>
      </c>
      <c r="F413" s="5"/>
      <c r="G413" s="4"/>
      <c r="H413" s="4"/>
      <c r="I413" s="4"/>
      <c r="J413" s="4"/>
      <c r="K413" s="4"/>
    </row>
    <row r="414" spans="1:11" hidden="1">
      <c r="A414" s="4" t="s">
        <v>11</v>
      </c>
      <c r="B414" s="4"/>
      <c r="C414" s="4"/>
      <c r="D414" s="4">
        <f>D412</f>
        <v>131</v>
      </c>
      <c r="E414" s="5">
        <f>+E412+F412</f>
        <v>1726.1039999999998</v>
      </c>
      <c r="F414" s="5"/>
      <c r="G414" s="4"/>
      <c r="H414" s="4"/>
      <c r="I414" s="4"/>
      <c r="J414" s="4"/>
      <c r="K414" s="4"/>
    </row>
    <row r="415" spans="1:11" hidden="1">
      <c r="A415" s="4" t="s">
        <v>12</v>
      </c>
      <c r="B415" s="4"/>
      <c r="C415" s="4"/>
      <c r="D415" s="4"/>
      <c r="E415" s="5">
        <f>E413-E414</f>
        <v>8230.9064999999991</v>
      </c>
      <c r="F415" s="5"/>
      <c r="G415" s="4"/>
      <c r="H415" s="4"/>
      <c r="I415" s="4"/>
      <c r="J415" s="4"/>
      <c r="K415" s="4"/>
    </row>
    <row r="416" spans="1:11" hidden="1"/>
    <row r="417" spans="1:11" hidden="1">
      <c r="A417" s="14">
        <v>44501</v>
      </c>
      <c r="E417" s="3"/>
      <c r="F417" s="3"/>
    </row>
    <row r="418" spans="1:11" hidden="1">
      <c r="A418" s="2" t="s">
        <v>1</v>
      </c>
      <c r="B418" s="2" t="s">
        <v>2</v>
      </c>
      <c r="C418" s="2" t="s">
        <v>3</v>
      </c>
      <c r="D418" s="2" t="s">
        <v>4</v>
      </c>
      <c r="E418" s="2" t="s">
        <v>5</v>
      </c>
      <c r="F418" s="2" t="s">
        <v>6</v>
      </c>
      <c r="G418" s="2" t="s">
        <v>13</v>
      </c>
      <c r="H418" s="2" t="s">
        <v>14</v>
      </c>
      <c r="I418" s="2" t="s">
        <v>15</v>
      </c>
      <c r="J418" s="2" t="s">
        <v>16</v>
      </c>
      <c r="K418" s="2" t="s">
        <v>17</v>
      </c>
    </row>
    <row r="419" spans="1:11" hidden="1">
      <c r="A419" s="4" t="s">
        <v>7</v>
      </c>
      <c r="B419" s="4">
        <f>C410</f>
        <v>24472</v>
      </c>
      <c r="C419" s="4">
        <v>24866</v>
      </c>
      <c r="D419" s="4">
        <f>C419-B419</f>
        <v>394</v>
      </c>
      <c r="E419" s="5">
        <f>7626.13*1.15</f>
        <v>8770.0494999999992</v>
      </c>
      <c r="F419" s="5">
        <f>1500.96*1.15</f>
        <v>1726.1039999999998</v>
      </c>
      <c r="G419" s="4" t="s">
        <v>18</v>
      </c>
      <c r="H419" s="4" t="s">
        <v>87</v>
      </c>
      <c r="I419" s="4">
        <v>35</v>
      </c>
      <c r="J419" s="4">
        <f>(D419+D420)/I419</f>
        <v>13.657142857142857</v>
      </c>
      <c r="K419" s="5">
        <f>E419/D419</f>
        <v>22.259008883248729</v>
      </c>
    </row>
    <row r="420" spans="1:11" hidden="1">
      <c r="A420" s="4" t="s">
        <v>8</v>
      </c>
      <c r="B420" s="4">
        <f t="shared" ref="B420:B421" si="50">C411</f>
        <v>6303</v>
      </c>
      <c r="C420" s="4">
        <v>6387</v>
      </c>
      <c r="D420" s="4">
        <f t="shared" ref="D420:D421" si="51">C420-B420</f>
        <v>84</v>
      </c>
      <c r="E420" s="5"/>
      <c r="F420" s="5"/>
      <c r="G420" s="4"/>
      <c r="H420" s="4"/>
      <c r="I420" s="4"/>
      <c r="J420" s="4"/>
      <c r="K420" s="4"/>
    </row>
    <row r="421" spans="1:11" hidden="1">
      <c r="A421" s="4" t="s">
        <v>9</v>
      </c>
      <c r="B421" s="4">
        <f t="shared" si="50"/>
        <v>6278</v>
      </c>
      <c r="C421" s="4">
        <v>6361</v>
      </c>
      <c r="D421" s="4">
        <f t="shared" si="51"/>
        <v>83</v>
      </c>
      <c r="E421" s="5">
        <f>0</f>
        <v>0</v>
      </c>
      <c r="F421" s="5">
        <f>1500.96*1.15</f>
        <v>1726.1039999999998</v>
      </c>
      <c r="G421" s="4" t="s">
        <v>18</v>
      </c>
      <c r="H421" s="4" t="s">
        <v>88</v>
      </c>
      <c r="I421" s="4">
        <v>31</v>
      </c>
      <c r="J421" s="4">
        <f>D423/I421</f>
        <v>2.6774193548387095</v>
      </c>
      <c r="K421" s="5">
        <f>E421/D423</f>
        <v>0</v>
      </c>
    </row>
    <row r="422" spans="1:11" hidden="1">
      <c r="A422" s="4" t="s">
        <v>10</v>
      </c>
      <c r="B422" s="4"/>
      <c r="C422" s="4"/>
      <c r="D422" s="4">
        <f>D419+D420</f>
        <v>478</v>
      </c>
      <c r="E422" s="5">
        <f>E419+F419</f>
        <v>10496.153499999999</v>
      </c>
      <c r="F422" s="5"/>
      <c r="G422" s="4"/>
      <c r="H422" s="4"/>
      <c r="I422" s="4"/>
      <c r="J422" s="4"/>
      <c r="K422" s="4"/>
    </row>
    <row r="423" spans="1:11" hidden="1">
      <c r="A423" s="4" t="s">
        <v>11</v>
      </c>
      <c r="B423" s="4"/>
      <c r="C423" s="4"/>
      <c r="D423" s="4">
        <f>D421</f>
        <v>83</v>
      </c>
      <c r="E423" s="5">
        <f>+E421+F421</f>
        <v>1726.1039999999998</v>
      </c>
      <c r="F423" s="5"/>
      <c r="G423" s="4"/>
      <c r="H423" s="4"/>
      <c r="I423" s="4"/>
      <c r="J423" s="4"/>
      <c r="K423" s="4"/>
    </row>
    <row r="424" spans="1:11" hidden="1">
      <c r="A424" s="4" t="s">
        <v>12</v>
      </c>
      <c r="B424" s="4"/>
      <c r="C424" s="4"/>
      <c r="D424" s="4"/>
      <c r="E424" s="5">
        <f>E422-E423</f>
        <v>8770.0494999999992</v>
      </c>
      <c r="F424" s="5"/>
      <c r="G424" s="4"/>
      <c r="H424" s="4"/>
      <c r="I424" s="4"/>
      <c r="J424" s="4"/>
      <c r="K424" s="4"/>
    </row>
    <row r="425" spans="1:11" hidden="1"/>
    <row r="426" spans="1:11" hidden="1">
      <c r="A426" s="14">
        <v>44531</v>
      </c>
      <c r="E426" s="3"/>
      <c r="F426" s="3"/>
    </row>
    <row r="427" spans="1:11" hidden="1">
      <c r="A427" s="2" t="s">
        <v>1</v>
      </c>
      <c r="B427" s="2" t="s">
        <v>2</v>
      </c>
      <c r="C427" s="2" t="s">
        <v>3</v>
      </c>
      <c r="D427" s="2" t="s">
        <v>4</v>
      </c>
      <c r="E427" s="2" t="s">
        <v>5</v>
      </c>
      <c r="F427" s="2" t="s">
        <v>6</v>
      </c>
      <c r="G427" s="2" t="s">
        <v>13</v>
      </c>
      <c r="H427" s="2" t="s">
        <v>14</v>
      </c>
      <c r="I427" s="2" t="s">
        <v>15</v>
      </c>
      <c r="J427" s="2" t="s">
        <v>16</v>
      </c>
      <c r="K427" s="2" t="s">
        <v>17</v>
      </c>
    </row>
    <row r="428" spans="1:11" hidden="1">
      <c r="A428" s="4" t="s">
        <v>7</v>
      </c>
      <c r="B428" s="4">
        <f>C419</f>
        <v>24866</v>
      </c>
      <c r="C428" s="4">
        <v>25413</v>
      </c>
      <c r="D428" s="4">
        <f>C428-B428</f>
        <v>547</v>
      </c>
      <c r="E428" s="5">
        <f>(5013.55+407.82)*1.15</f>
        <v>6234.575499999999</v>
      </c>
      <c r="F428" s="5">
        <f>1500.96*1.15</f>
        <v>1726.1039999999998</v>
      </c>
      <c r="G428" s="4" t="s">
        <v>18</v>
      </c>
      <c r="H428" s="4" t="s">
        <v>89</v>
      </c>
      <c r="I428" s="4">
        <v>32</v>
      </c>
      <c r="J428" s="4">
        <f>(D428+D429)/I428</f>
        <v>18.21875</v>
      </c>
      <c r="K428" s="5">
        <f>E428/D428</f>
        <v>11.397761425959779</v>
      </c>
    </row>
    <row r="429" spans="1:11" hidden="1">
      <c r="A429" s="4" t="s">
        <v>8</v>
      </c>
      <c r="B429" s="4">
        <f t="shared" ref="B429:B430" si="52">C420</f>
        <v>6387</v>
      </c>
      <c r="C429" s="4">
        <v>6423</v>
      </c>
      <c r="D429" s="4">
        <f t="shared" ref="D429:D430" si="53">C429-B429</f>
        <v>36</v>
      </c>
      <c r="E429" s="5"/>
      <c r="F429" s="5"/>
      <c r="G429" s="4"/>
      <c r="H429" s="4"/>
      <c r="I429" s="4"/>
      <c r="J429" s="4"/>
      <c r="K429" s="4"/>
    </row>
    <row r="430" spans="1:11" hidden="1">
      <c r="A430" s="4" t="s">
        <v>9</v>
      </c>
      <c r="B430" s="4">
        <f t="shared" si="52"/>
        <v>6361</v>
      </c>
      <c r="C430" s="4">
        <v>6449</v>
      </c>
      <c r="D430" s="4">
        <f t="shared" si="53"/>
        <v>88</v>
      </c>
      <c r="E430" s="5">
        <f>0</f>
        <v>0</v>
      </c>
      <c r="F430" s="5">
        <f>1500.96*1.15</f>
        <v>1726.1039999999998</v>
      </c>
      <c r="G430" s="4" t="s">
        <v>36</v>
      </c>
      <c r="H430" s="4" t="s">
        <v>90</v>
      </c>
      <c r="I430" s="4">
        <v>30</v>
      </c>
      <c r="J430" s="4">
        <f>D432/I430</f>
        <v>2.9333333333333331</v>
      </c>
      <c r="K430" s="5">
        <f>E430/D432</f>
        <v>0</v>
      </c>
    </row>
    <row r="431" spans="1:11" hidden="1">
      <c r="A431" s="4" t="s">
        <v>10</v>
      </c>
      <c r="B431" s="4"/>
      <c r="C431" s="4"/>
      <c r="D431" s="4">
        <f>D428+D429</f>
        <v>583</v>
      </c>
      <c r="E431" s="5">
        <f>E428+F428</f>
        <v>7960.6794999999984</v>
      </c>
      <c r="F431" s="5"/>
      <c r="G431" s="4"/>
      <c r="H431" s="4"/>
      <c r="I431" s="4"/>
      <c r="J431" s="4"/>
      <c r="K431" s="4"/>
    </row>
    <row r="432" spans="1:11" hidden="1">
      <c r="A432" s="4" t="s">
        <v>11</v>
      </c>
      <c r="B432" s="4"/>
      <c r="C432" s="4"/>
      <c r="D432" s="4">
        <f>D430</f>
        <v>88</v>
      </c>
      <c r="E432" s="5">
        <f>+E430+F430</f>
        <v>1726.1039999999998</v>
      </c>
      <c r="F432" s="5"/>
      <c r="G432" s="4"/>
      <c r="H432" s="4"/>
      <c r="I432" s="4"/>
      <c r="J432" s="4"/>
      <c r="K432" s="4"/>
    </row>
    <row r="433" spans="1:11" hidden="1">
      <c r="A433" s="4" t="s">
        <v>12</v>
      </c>
      <c r="B433" s="4"/>
      <c r="C433" s="4"/>
      <c r="D433" s="4"/>
      <c r="E433" s="5">
        <f>E431-E432</f>
        <v>6234.575499999999</v>
      </c>
      <c r="F433" s="5"/>
      <c r="G433" s="4"/>
      <c r="H433" s="4"/>
      <c r="I433" s="4"/>
      <c r="J433" s="4"/>
      <c r="K433" s="4"/>
    </row>
    <row r="435" spans="1:11">
      <c r="A435" s="14">
        <v>44562</v>
      </c>
      <c r="E435" s="3"/>
      <c r="F435" s="3"/>
    </row>
    <row r="436" spans="1:11">
      <c r="A436" s="2" t="s">
        <v>1</v>
      </c>
      <c r="B436" s="2" t="s">
        <v>2</v>
      </c>
      <c r="C436" s="2" t="s">
        <v>3</v>
      </c>
      <c r="D436" s="2" t="s">
        <v>4</v>
      </c>
      <c r="E436" s="2" t="s">
        <v>5</v>
      </c>
      <c r="F436" s="2" t="s">
        <v>6</v>
      </c>
      <c r="G436" s="2" t="s">
        <v>13</v>
      </c>
      <c r="H436" s="2" t="s">
        <v>14</v>
      </c>
      <c r="I436" s="2" t="s">
        <v>15</v>
      </c>
      <c r="J436" s="2" t="s">
        <v>16</v>
      </c>
      <c r="K436" s="2" t="s">
        <v>17</v>
      </c>
    </row>
    <row r="437" spans="1:11">
      <c r="A437" s="4" t="s">
        <v>7</v>
      </c>
      <c r="B437" s="4">
        <f>C428</f>
        <v>25413</v>
      </c>
      <c r="C437" s="4">
        <v>25615</v>
      </c>
      <c r="D437" s="4">
        <f>C437-B437</f>
        <v>202</v>
      </c>
      <c r="E437" s="5">
        <f>(3194.05+1500.96)*1.15</f>
        <v>5399.2614999999996</v>
      </c>
      <c r="F437" s="5">
        <f>1500.96*1.15</f>
        <v>1726.1039999999998</v>
      </c>
      <c r="G437" s="4" t="s">
        <v>18</v>
      </c>
      <c r="H437" s="4" t="s">
        <v>91</v>
      </c>
      <c r="I437" s="4">
        <v>25</v>
      </c>
      <c r="J437" s="4">
        <f>(D437+D438)/I437</f>
        <v>10.4</v>
      </c>
      <c r="K437" s="5">
        <f>E437/D437</f>
        <v>26.72901732673267</v>
      </c>
    </row>
    <row r="438" spans="1:11">
      <c r="A438" s="4" t="s">
        <v>8</v>
      </c>
      <c r="B438" s="4">
        <f t="shared" ref="B438:B439" si="54">C429</f>
        <v>6423</v>
      </c>
      <c r="C438" s="4">
        <v>6481</v>
      </c>
      <c r="D438" s="4">
        <f t="shared" ref="D438:D439" si="55">C438-B438</f>
        <v>58</v>
      </c>
      <c r="E438" s="5"/>
      <c r="F438" s="5"/>
      <c r="G438" s="4"/>
      <c r="H438" s="4"/>
      <c r="I438" s="4"/>
      <c r="J438" s="4"/>
      <c r="K438" s="4"/>
    </row>
    <row r="439" spans="1:11">
      <c r="A439" s="4" t="s">
        <v>9</v>
      </c>
      <c r="B439" s="4">
        <f t="shared" si="54"/>
        <v>6449</v>
      </c>
      <c r="C439" s="4">
        <v>6464</v>
      </c>
      <c r="D439" s="4">
        <f t="shared" si="55"/>
        <v>15</v>
      </c>
      <c r="E439" s="5">
        <f>0</f>
        <v>0</v>
      </c>
      <c r="F439" s="5">
        <f>1500.96*1.15</f>
        <v>1726.1039999999998</v>
      </c>
      <c r="G439" s="4" t="s">
        <v>18</v>
      </c>
      <c r="H439" s="4" t="s">
        <v>92</v>
      </c>
      <c r="I439" s="4">
        <v>61</v>
      </c>
      <c r="J439" s="4">
        <f>D441/I439</f>
        <v>0.24590163934426229</v>
      </c>
      <c r="K439" s="5">
        <f>E439/D441</f>
        <v>0</v>
      </c>
    </row>
    <row r="440" spans="1:11">
      <c r="A440" s="4" t="s">
        <v>10</v>
      </c>
      <c r="B440" s="4"/>
      <c r="C440" s="4"/>
      <c r="D440" s="4">
        <f>D437+D438</f>
        <v>260</v>
      </c>
      <c r="E440" s="5">
        <f>E437+F437</f>
        <v>7125.3654999999999</v>
      </c>
      <c r="F440" s="5"/>
      <c r="G440" s="4"/>
      <c r="H440" s="4"/>
      <c r="I440" s="4"/>
      <c r="J440" s="4"/>
      <c r="K440" s="4"/>
    </row>
    <row r="441" spans="1:11">
      <c r="A441" s="4" t="s">
        <v>11</v>
      </c>
      <c r="B441" s="4"/>
      <c r="C441" s="4"/>
      <c r="D441" s="4">
        <f>D439</f>
        <v>15</v>
      </c>
      <c r="E441" s="5">
        <f>+E439+F439</f>
        <v>1726.1039999999998</v>
      </c>
      <c r="F441" s="5"/>
      <c r="G441" s="4"/>
      <c r="H441" s="4"/>
      <c r="I441" s="4"/>
      <c r="J441" s="4"/>
      <c r="K441" s="4"/>
    </row>
    <row r="442" spans="1:11">
      <c r="A442" s="4" t="s">
        <v>12</v>
      </c>
      <c r="B442" s="4"/>
      <c r="C442" s="4"/>
      <c r="D442" s="4"/>
      <c r="E442" s="5">
        <f>E440-E441</f>
        <v>5399.2615000000005</v>
      </c>
      <c r="F442" s="5"/>
      <c r="G442" s="4"/>
      <c r="H442" s="4"/>
      <c r="I442" s="4"/>
      <c r="J442" s="4"/>
      <c r="K442" s="4"/>
    </row>
    <row r="444" spans="1:11">
      <c r="A444" s="14">
        <v>44593</v>
      </c>
      <c r="E444" s="3"/>
      <c r="F444" s="3"/>
    </row>
    <row r="445" spans="1:11">
      <c r="A445" s="2" t="s">
        <v>1</v>
      </c>
      <c r="B445" s="2" t="s">
        <v>2</v>
      </c>
      <c r="C445" s="2" t="s">
        <v>3</v>
      </c>
      <c r="D445" s="2" t="s">
        <v>4</v>
      </c>
      <c r="E445" s="2" t="s">
        <v>5</v>
      </c>
      <c r="F445" s="2" t="s">
        <v>6</v>
      </c>
      <c r="G445" s="2" t="s">
        <v>13</v>
      </c>
      <c r="H445" s="2" t="s">
        <v>14</v>
      </c>
      <c r="I445" s="2" t="s">
        <v>15</v>
      </c>
      <c r="J445" s="2" t="s">
        <v>16</v>
      </c>
      <c r="K445" s="2" t="s">
        <v>17</v>
      </c>
    </row>
    <row r="446" spans="1:11">
      <c r="A446" s="4" t="s">
        <v>7</v>
      </c>
      <c r="B446" s="4">
        <f>C437</f>
        <v>25615</v>
      </c>
      <c r="C446" s="4">
        <v>26004</v>
      </c>
      <c r="D446" s="4">
        <f>C446-B446</f>
        <v>389</v>
      </c>
      <c r="E446" s="5">
        <f>5121.15*1.15</f>
        <v>5889.3224999999993</v>
      </c>
      <c r="F446" s="5">
        <f>1500.96*1.15</f>
        <v>1726.1039999999998</v>
      </c>
      <c r="G446" s="4" t="s">
        <v>18</v>
      </c>
      <c r="H446" s="4" t="s">
        <v>93</v>
      </c>
      <c r="I446" s="4">
        <v>29</v>
      </c>
      <c r="J446" s="4">
        <f>(D446+D447)/I446</f>
        <v>16</v>
      </c>
      <c r="K446" s="5">
        <f>E446/D446</f>
        <v>15.139646529562981</v>
      </c>
    </row>
    <row r="447" spans="1:11">
      <c r="A447" s="4" t="s">
        <v>8</v>
      </c>
      <c r="B447" s="4">
        <f t="shared" ref="B447:B448" si="56">C438</f>
        <v>6481</v>
      </c>
      <c r="C447" s="4">
        <v>6556</v>
      </c>
      <c r="D447" s="4">
        <f t="shared" ref="D447:D448" si="57">C447-B447</f>
        <v>75</v>
      </c>
      <c r="E447" s="5"/>
      <c r="F447" s="5"/>
      <c r="G447" s="4"/>
      <c r="H447" s="4"/>
      <c r="I447" s="4"/>
      <c r="J447" s="4"/>
      <c r="K447" s="4"/>
    </row>
    <row r="448" spans="1:11">
      <c r="A448" s="4" t="s">
        <v>9</v>
      </c>
      <c r="B448" s="4">
        <f t="shared" si="56"/>
        <v>6464</v>
      </c>
      <c r="C448" s="4">
        <v>6537</v>
      </c>
      <c r="D448" s="4">
        <f t="shared" si="57"/>
        <v>73</v>
      </c>
      <c r="E448" s="5">
        <f>0</f>
        <v>0</v>
      </c>
      <c r="F448" s="5">
        <f>1500.96*1.15</f>
        <v>1726.1039999999998</v>
      </c>
      <c r="G448" s="4" t="s">
        <v>18</v>
      </c>
      <c r="H448" s="4" t="s">
        <v>94</v>
      </c>
      <c r="I448" s="4">
        <v>30</v>
      </c>
      <c r="J448" s="4">
        <f>D450/I448</f>
        <v>2.4333333333333331</v>
      </c>
      <c r="K448" s="5">
        <f>E448/D450</f>
        <v>0</v>
      </c>
    </row>
    <row r="449" spans="1:11">
      <c r="A449" s="4" t="s">
        <v>10</v>
      </c>
      <c r="B449" s="4"/>
      <c r="C449" s="4"/>
      <c r="D449" s="4">
        <f>D446+D447</f>
        <v>464</v>
      </c>
      <c r="E449" s="5">
        <f>E446+F446</f>
        <v>7615.4264999999996</v>
      </c>
      <c r="F449" s="5"/>
      <c r="G449" s="4"/>
      <c r="H449" s="4"/>
      <c r="I449" s="4"/>
      <c r="J449" s="4"/>
      <c r="K449" s="4"/>
    </row>
    <row r="450" spans="1:11">
      <c r="A450" s="4" t="s">
        <v>11</v>
      </c>
      <c r="B450" s="4"/>
      <c r="C450" s="4"/>
      <c r="D450" s="4">
        <f>D448</f>
        <v>73</v>
      </c>
      <c r="E450" s="5">
        <f>+E448+F448</f>
        <v>1726.1039999999998</v>
      </c>
      <c r="F450" s="5"/>
      <c r="G450" s="4"/>
      <c r="H450" s="4"/>
      <c r="I450" s="4"/>
      <c r="J450" s="4"/>
      <c r="K450" s="4"/>
    </row>
    <row r="451" spans="1:11">
      <c r="A451" s="4" t="s">
        <v>12</v>
      </c>
      <c r="B451" s="4"/>
      <c r="C451" s="4"/>
      <c r="D451" s="4"/>
      <c r="E451" s="5">
        <f>E449-E450</f>
        <v>5889.3225000000002</v>
      </c>
      <c r="F451" s="5"/>
      <c r="G451" s="4"/>
      <c r="H451" s="4"/>
      <c r="I451" s="4"/>
      <c r="J451" s="4"/>
      <c r="K451" s="4"/>
    </row>
    <row r="453" spans="1:11">
      <c r="A453" s="14">
        <v>44621</v>
      </c>
      <c r="E453" s="3"/>
      <c r="F453" s="3"/>
    </row>
    <row r="454" spans="1:11">
      <c r="A454" s="2" t="s">
        <v>1</v>
      </c>
      <c r="B454" s="2" t="s">
        <v>2</v>
      </c>
      <c r="C454" s="2" t="s">
        <v>3</v>
      </c>
      <c r="D454" s="2" t="s">
        <v>4</v>
      </c>
      <c r="E454" s="2" t="s">
        <v>5</v>
      </c>
      <c r="F454" s="2" t="s">
        <v>6</v>
      </c>
      <c r="G454" s="2" t="s">
        <v>13</v>
      </c>
      <c r="H454" s="2" t="s">
        <v>14</v>
      </c>
      <c r="I454" s="2" t="s">
        <v>15</v>
      </c>
      <c r="J454" s="2" t="s">
        <v>16</v>
      </c>
      <c r="K454" s="2" t="s">
        <v>17</v>
      </c>
    </row>
    <row r="455" spans="1:11">
      <c r="A455" s="4" t="s">
        <v>7</v>
      </c>
      <c r="B455" s="4">
        <f>C446</f>
        <v>26004</v>
      </c>
      <c r="C455" s="4">
        <v>26520</v>
      </c>
      <c r="D455" s="4">
        <f>C455-B455</f>
        <v>516</v>
      </c>
      <c r="E455" s="5">
        <f>6471.81*1.15</f>
        <v>7442.5815000000002</v>
      </c>
      <c r="F455" s="5">
        <f>1500.96*1.15</f>
        <v>1726.1039999999998</v>
      </c>
      <c r="G455" s="4" t="s">
        <v>18</v>
      </c>
      <c r="H455" s="4" t="s">
        <v>95</v>
      </c>
      <c r="I455" s="4">
        <v>34</v>
      </c>
      <c r="J455" s="4">
        <f>(D455+D456)/I455</f>
        <v>15.911764705882353</v>
      </c>
      <c r="K455" s="5">
        <f>E455/D455</f>
        <v>14.423607558139535</v>
      </c>
    </row>
    <row r="456" spans="1:11">
      <c r="A456" s="4" t="s">
        <v>8</v>
      </c>
      <c r="B456" s="4">
        <f t="shared" ref="B456:B457" si="58">C447</f>
        <v>6556</v>
      </c>
      <c r="C456" s="4">
        <v>6581</v>
      </c>
      <c r="D456" s="4">
        <f t="shared" ref="D456:D457" si="59">C456-B456</f>
        <v>25</v>
      </c>
      <c r="E456" s="5"/>
      <c r="F456" s="5"/>
      <c r="G456" s="4"/>
      <c r="H456" s="4"/>
      <c r="I456" s="4"/>
      <c r="J456" s="4"/>
      <c r="K456" s="4"/>
    </row>
    <row r="457" spans="1:11">
      <c r="A457" s="4" t="s">
        <v>9</v>
      </c>
      <c r="B457" s="4">
        <f t="shared" si="58"/>
        <v>6537</v>
      </c>
      <c r="C457" s="4">
        <v>6576</v>
      </c>
      <c r="D457" s="4">
        <f t="shared" si="59"/>
        <v>39</v>
      </c>
      <c r="E457" s="5">
        <f>0</f>
        <v>0</v>
      </c>
      <c r="F457" s="5">
        <f>1500.96*1.15</f>
        <v>1726.1039999999998</v>
      </c>
      <c r="G457" s="4" t="s">
        <v>18</v>
      </c>
      <c r="H457" s="4" t="s">
        <v>96</v>
      </c>
      <c r="I457" s="4">
        <v>31</v>
      </c>
      <c r="J457" s="4">
        <f>D459/I457</f>
        <v>1.2580645161290323</v>
      </c>
      <c r="K457" s="5">
        <f>E457/D459</f>
        <v>0</v>
      </c>
    </row>
    <row r="458" spans="1:11">
      <c r="A458" s="4" t="s">
        <v>10</v>
      </c>
      <c r="B458" s="4"/>
      <c r="C458" s="4"/>
      <c r="D458" s="4">
        <f>D455+D456</f>
        <v>541</v>
      </c>
      <c r="E458" s="5">
        <f>E455+F455</f>
        <v>9168.6854999999996</v>
      </c>
      <c r="F458" s="5"/>
      <c r="G458" s="4"/>
      <c r="H458" s="4"/>
      <c r="I458" s="4"/>
      <c r="J458" s="4"/>
      <c r="K458" s="4"/>
    </row>
    <row r="459" spans="1:11">
      <c r="A459" s="4" t="s">
        <v>11</v>
      </c>
      <c r="B459" s="4"/>
      <c r="C459" s="4"/>
      <c r="D459" s="4">
        <f>D457</f>
        <v>39</v>
      </c>
      <c r="E459" s="5">
        <f>+E457+F457</f>
        <v>1726.1039999999998</v>
      </c>
      <c r="F459" s="5"/>
      <c r="G459" s="4"/>
      <c r="H459" s="4"/>
      <c r="I459" s="4"/>
      <c r="J459" s="4"/>
      <c r="K459" s="4"/>
    </row>
    <row r="460" spans="1:11">
      <c r="A460" s="4" t="s">
        <v>12</v>
      </c>
      <c r="B460" s="4"/>
      <c r="C460" s="4"/>
      <c r="D460" s="4"/>
      <c r="E460" s="5">
        <f>E458-E459</f>
        <v>7442.5815000000002</v>
      </c>
      <c r="F460" s="5"/>
      <c r="G460" s="4"/>
      <c r="H460" s="4"/>
      <c r="I460" s="4"/>
      <c r="J460" s="4"/>
      <c r="K460" s="4"/>
    </row>
    <row r="462" spans="1:11">
      <c r="A462" s="14">
        <v>44652</v>
      </c>
      <c r="E462" s="3"/>
      <c r="F462" s="3"/>
    </row>
    <row r="463" spans="1:11">
      <c r="A463" s="2" t="s">
        <v>1</v>
      </c>
      <c r="B463" s="2" t="s">
        <v>2</v>
      </c>
      <c r="C463" s="2" t="s">
        <v>3</v>
      </c>
      <c r="D463" s="2" t="s">
        <v>4</v>
      </c>
      <c r="E463" s="2" t="s">
        <v>5</v>
      </c>
      <c r="F463" s="2" t="s">
        <v>6</v>
      </c>
      <c r="G463" s="2" t="s">
        <v>13</v>
      </c>
      <c r="H463" s="2" t="s">
        <v>14</v>
      </c>
      <c r="I463" s="2" t="s">
        <v>15</v>
      </c>
      <c r="J463" s="2" t="s">
        <v>16</v>
      </c>
      <c r="K463" s="2" t="s">
        <v>17</v>
      </c>
    </row>
    <row r="464" spans="1:11">
      <c r="A464" s="4" t="s">
        <v>7</v>
      </c>
      <c r="B464" s="4">
        <f>C455</f>
        <v>26520</v>
      </c>
      <c r="C464" s="4">
        <v>26919</v>
      </c>
      <c r="D464" s="4">
        <f>C464-B464</f>
        <v>399</v>
      </c>
      <c r="E464" s="5">
        <f>4223.87*1.15</f>
        <v>4857.4504999999999</v>
      </c>
      <c r="F464" s="5">
        <f>1500.96*1.15</f>
        <v>1726.1039999999998</v>
      </c>
      <c r="G464" s="4" t="s">
        <v>18</v>
      </c>
      <c r="H464" s="4" t="s">
        <v>97</v>
      </c>
      <c r="I464" s="4">
        <v>28</v>
      </c>
      <c r="J464" s="4">
        <f>(D464+D465)/I464</f>
        <v>15.785714285714286</v>
      </c>
      <c r="K464" s="5">
        <f>E464/D464</f>
        <v>12.174061403508771</v>
      </c>
    </row>
    <row r="465" spans="1:11">
      <c r="A465" s="4" t="s">
        <v>8</v>
      </c>
      <c r="B465" s="4">
        <f t="shared" ref="B465:B466" si="60">C456</f>
        <v>6581</v>
      </c>
      <c r="C465" s="4">
        <v>6624</v>
      </c>
      <c r="D465" s="4">
        <f t="shared" ref="D465:D466" si="61">C465-B465</f>
        <v>43</v>
      </c>
      <c r="E465" s="5"/>
      <c r="F465" s="5"/>
      <c r="G465" s="4"/>
      <c r="H465" s="4"/>
      <c r="I465" s="4"/>
      <c r="J465" s="4"/>
      <c r="K465" s="4"/>
    </row>
    <row r="466" spans="1:11">
      <c r="A466" s="4" t="s">
        <v>9</v>
      </c>
      <c r="B466" s="4">
        <f t="shared" si="60"/>
        <v>6576</v>
      </c>
      <c r="C466" s="4">
        <v>6654</v>
      </c>
      <c r="D466" s="4">
        <f t="shared" si="61"/>
        <v>78</v>
      </c>
      <c r="E466" s="5">
        <f>0</f>
        <v>0</v>
      </c>
      <c r="F466" s="5">
        <f>1500.96*1.15</f>
        <v>1726.1039999999998</v>
      </c>
      <c r="G466" s="4" t="s">
        <v>36</v>
      </c>
      <c r="H466" s="4" t="s">
        <v>98</v>
      </c>
      <c r="I466" s="4">
        <v>30</v>
      </c>
      <c r="J466" s="4">
        <f>D468/I466</f>
        <v>2.6</v>
      </c>
      <c r="K466" s="5">
        <f>E466/D468</f>
        <v>0</v>
      </c>
    </row>
    <row r="467" spans="1:11">
      <c r="A467" s="4" t="s">
        <v>10</v>
      </c>
      <c r="B467" s="4"/>
      <c r="C467" s="4"/>
      <c r="D467" s="4">
        <f>D464+D465</f>
        <v>442</v>
      </c>
      <c r="E467" s="5">
        <f>E464+F464</f>
        <v>6583.5545000000002</v>
      </c>
      <c r="F467" s="5"/>
      <c r="G467" s="4"/>
      <c r="H467" s="4"/>
      <c r="I467" s="4"/>
      <c r="J467" s="4"/>
      <c r="K467" s="4"/>
    </row>
    <row r="468" spans="1:11">
      <c r="A468" s="4" t="s">
        <v>11</v>
      </c>
      <c r="B468" s="4"/>
      <c r="C468" s="4"/>
      <c r="D468" s="4">
        <f>D466</f>
        <v>78</v>
      </c>
      <c r="E468" s="5">
        <f>+E466+F466</f>
        <v>1726.1039999999998</v>
      </c>
      <c r="F468" s="5"/>
      <c r="G468" s="4"/>
      <c r="H468" s="4"/>
      <c r="I468" s="4"/>
      <c r="J468" s="4"/>
      <c r="K468" s="4"/>
    </row>
    <row r="469" spans="1:11">
      <c r="A469" s="4" t="s">
        <v>12</v>
      </c>
      <c r="B469" s="4"/>
      <c r="C469" s="4"/>
      <c r="D469" s="4"/>
      <c r="E469" s="5">
        <f>E467-E468</f>
        <v>4857.4505000000008</v>
      </c>
      <c r="F469" s="5"/>
      <c r="G469" s="4"/>
      <c r="H469" s="4"/>
      <c r="I469" s="4"/>
      <c r="J469" s="4"/>
      <c r="K469" s="4"/>
    </row>
    <row r="471" spans="1:11">
      <c r="A471" s="14">
        <v>44682</v>
      </c>
      <c r="E471" s="3"/>
      <c r="F471" s="3"/>
    </row>
    <row r="472" spans="1:11">
      <c r="A472" s="2" t="s">
        <v>1</v>
      </c>
      <c r="B472" s="2" t="s">
        <v>2</v>
      </c>
      <c r="C472" s="2" t="s">
        <v>3</v>
      </c>
      <c r="D472" s="2" t="s">
        <v>4</v>
      </c>
      <c r="E472" s="2" t="s">
        <v>5</v>
      </c>
      <c r="F472" s="2" t="s">
        <v>6</v>
      </c>
      <c r="G472" s="2" t="s">
        <v>13</v>
      </c>
      <c r="H472" s="2" t="s">
        <v>14</v>
      </c>
      <c r="I472" s="2" t="s">
        <v>15</v>
      </c>
      <c r="J472" s="2" t="s">
        <v>16</v>
      </c>
      <c r="K472" s="2" t="s">
        <v>17</v>
      </c>
    </row>
    <row r="473" spans="1:11">
      <c r="A473" s="4" t="s">
        <v>7</v>
      </c>
      <c r="B473" s="4">
        <f>C464</f>
        <v>26919</v>
      </c>
      <c r="C473" s="4">
        <v>27466</v>
      </c>
      <c r="D473" s="4">
        <f>C473-B473</f>
        <v>547</v>
      </c>
      <c r="E473" s="5">
        <f>8456.82*1.15</f>
        <v>9725.3429999999989</v>
      </c>
      <c r="F473" s="5">
        <f>1500.96*1.15</f>
        <v>1726.1039999999998</v>
      </c>
      <c r="G473" s="4" t="s">
        <v>18</v>
      </c>
      <c r="H473" s="4" t="s">
        <v>99</v>
      </c>
      <c r="I473" s="4">
        <v>35</v>
      </c>
      <c r="J473" s="4">
        <f>(D473+D474)/I473</f>
        <v>17.885714285714286</v>
      </c>
      <c r="K473" s="5">
        <f>E473/D473</f>
        <v>17.779420475319924</v>
      </c>
    </row>
    <row r="474" spans="1:11">
      <c r="A474" s="4" t="s">
        <v>8</v>
      </c>
      <c r="B474" s="4">
        <f t="shared" ref="B474:B475" si="62">C465</f>
        <v>6624</v>
      </c>
      <c r="C474" s="4">
        <v>6703</v>
      </c>
      <c r="D474" s="4">
        <f t="shared" ref="D474:D475" si="63">C474-B474</f>
        <v>79</v>
      </c>
      <c r="E474" s="5"/>
      <c r="F474" s="5"/>
      <c r="G474" s="4"/>
      <c r="H474" s="4"/>
      <c r="I474" s="4"/>
      <c r="J474" s="4"/>
      <c r="K474" s="4"/>
    </row>
    <row r="475" spans="1:11">
      <c r="A475" s="4" t="s">
        <v>9</v>
      </c>
      <c r="B475" s="4">
        <f t="shared" si="62"/>
        <v>6654</v>
      </c>
      <c r="C475" s="4">
        <v>6670</v>
      </c>
      <c r="D475" s="4">
        <f t="shared" si="63"/>
        <v>16</v>
      </c>
      <c r="E475" s="5">
        <f>0</f>
        <v>0</v>
      </c>
      <c r="F475" s="5">
        <f>1500.96*1.15</f>
        <v>1726.1039999999998</v>
      </c>
      <c r="G475" s="4" t="s">
        <v>18</v>
      </c>
      <c r="H475" s="4" t="s">
        <v>100</v>
      </c>
      <c r="I475" s="4">
        <v>57</v>
      </c>
      <c r="J475" s="4">
        <f>D477/I475</f>
        <v>0.2807017543859649</v>
      </c>
      <c r="K475" s="5">
        <f>E475/D477</f>
        <v>0</v>
      </c>
    </row>
    <row r="476" spans="1:11">
      <c r="A476" s="4" t="s">
        <v>10</v>
      </c>
      <c r="B476" s="4"/>
      <c r="C476" s="4"/>
      <c r="D476" s="4">
        <f>D473+D474</f>
        <v>626</v>
      </c>
      <c r="E476" s="5">
        <f>E473+F473</f>
        <v>11451.446999999998</v>
      </c>
      <c r="F476" s="5"/>
      <c r="G476" s="4"/>
      <c r="H476" s="4"/>
      <c r="I476" s="4"/>
      <c r="J476" s="4"/>
      <c r="K476" s="4"/>
    </row>
    <row r="477" spans="1:11">
      <c r="A477" s="4" t="s">
        <v>11</v>
      </c>
      <c r="B477" s="4"/>
      <c r="C477" s="4"/>
      <c r="D477" s="4">
        <f>D475</f>
        <v>16</v>
      </c>
      <c r="E477" s="5">
        <f>+E475+F475</f>
        <v>1726.1039999999998</v>
      </c>
      <c r="F477" s="5"/>
      <c r="G477" s="4"/>
      <c r="H477" s="4"/>
      <c r="I477" s="4"/>
      <c r="J477" s="4"/>
      <c r="K477" s="4"/>
    </row>
    <row r="478" spans="1:11">
      <c r="A478" s="4" t="s">
        <v>12</v>
      </c>
      <c r="B478" s="4"/>
      <c r="C478" s="4"/>
      <c r="D478" s="4"/>
      <c r="E478" s="5">
        <f>E476-E477</f>
        <v>9725.3429999999989</v>
      </c>
      <c r="F478" s="5"/>
      <c r="G478" s="4"/>
      <c r="H478" s="4"/>
      <c r="I478" s="4"/>
      <c r="J478" s="4"/>
      <c r="K478" s="4"/>
    </row>
    <row r="480" spans="1:11">
      <c r="A480" s="14">
        <v>44713</v>
      </c>
      <c r="E480" s="3"/>
      <c r="F480" s="3"/>
    </row>
    <row r="481" spans="1:11">
      <c r="A481" s="2" t="s">
        <v>1</v>
      </c>
      <c r="B481" s="2" t="s">
        <v>2</v>
      </c>
      <c r="C481" s="2" t="s">
        <v>3</v>
      </c>
      <c r="D481" s="2" t="s">
        <v>4</v>
      </c>
      <c r="E481" s="2" t="s">
        <v>5</v>
      </c>
      <c r="F481" s="2" t="s">
        <v>6</v>
      </c>
      <c r="G481" s="2" t="s">
        <v>13</v>
      </c>
      <c r="H481" s="2" t="s">
        <v>14</v>
      </c>
      <c r="I481" s="2" t="s">
        <v>15</v>
      </c>
      <c r="J481" s="2" t="s">
        <v>16</v>
      </c>
      <c r="K481" s="2" t="s">
        <v>17</v>
      </c>
    </row>
    <row r="482" spans="1:11">
      <c r="A482" s="4" t="s">
        <v>7</v>
      </c>
      <c r="B482" s="4">
        <f>C473</f>
        <v>27466</v>
      </c>
      <c r="C482" s="4">
        <v>27914</v>
      </c>
      <c r="D482" s="4">
        <f>C482-B482</f>
        <v>448</v>
      </c>
      <c r="E482" s="5">
        <f>4740.17*1.15</f>
        <v>5451.1954999999998</v>
      </c>
      <c r="F482" s="5">
        <f>1647.24*1.15</f>
        <v>1894.3259999999998</v>
      </c>
      <c r="G482" s="4" t="s">
        <v>18</v>
      </c>
      <c r="H482" s="4" t="s">
        <v>101</v>
      </c>
      <c r="I482" s="4">
        <v>28</v>
      </c>
      <c r="J482" s="4">
        <f>(D482+D483)/I482</f>
        <v>18.107142857142858</v>
      </c>
      <c r="K482" s="5">
        <f>E482/D482</f>
        <v>12.167847098214285</v>
      </c>
    </row>
    <row r="483" spans="1:11">
      <c r="A483" s="4" t="s">
        <v>8</v>
      </c>
      <c r="B483" s="4">
        <f t="shared" ref="B483:B484" si="64">C474</f>
        <v>6703</v>
      </c>
      <c r="C483" s="4">
        <v>6762</v>
      </c>
      <c r="D483" s="4">
        <f t="shared" ref="D483:D484" si="65">C483-B483</f>
        <v>59</v>
      </c>
      <c r="E483" s="5"/>
      <c r="F483" s="5"/>
      <c r="G483" s="4"/>
      <c r="H483" s="4"/>
      <c r="I483" s="4"/>
      <c r="J483" s="4"/>
      <c r="K483" s="4"/>
    </row>
    <row r="484" spans="1:11">
      <c r="A484" s="4" t="s">
        <v>9</v>
      </c>
      <c r="B484" s="4">
        <f t="shared" si="64"/>
        <v>6670</v>
      </c>
      <c r="C484" s="4">
        <v>6751</v>
      </c>
      <c r="D484" s="4">
        <f t="shared" si="65"/>
        <v>81</v>
      </c>
      <c r="E484" s="5">
        <f>0</f>
        <v>0</v>
      </c>
      <c r="F484" s="5">
        <f>1647.24*1.15</f>
        <v>1894.3259999999998</v>
      </c>
      <c r="G484" s="4" t="s">
        <v>18</v>
      </c>
      <c r="H484" s="4" t="s">
        <v>102</v>
      </c>
      <c r="I484" s="4">
        <v>35</v>
      </c>
      <c r="J484" s="4">
        <f>D486/I484</f>
        <v>2.3142857142857145</v>
      </c>
      <c r="K484" s="5">
        <f>E484/D486</f>
        <v>0</v>
      </c>
    </row>
    <row r="485" spans="1:11">
      <c r="A485" s="4" t="s">
        <v>10</v>
      </c>
      <c r="B485" s="4"/>
      <c r="C485" s="4"/>
      <c r="D485" s="4">
        <f>D482+D483</f>
        <v>507</v>
      </c>
      <c r="E485" s="5">
        <f>E482+F482</f>
        <v>7345.5214999999998</v>
      </c>
      <c r="F485" s="5"/>
      <c r="G485" s="4"/>
      <c r="H485" s="4"/>
      <c r="I485" s="4"/>
      <c r="J485" s="4"/>
      <c r="K485" s="4"/>
    </row>
    <row r="486" spans="1:11">
      <c r="A486" s="4" t="s">
        <v>11</v>
      </c>
      <c r="B486" s="4"/>
      <c r="C486" s="4"/>
      <c r="D486" s="4">
        <f>D484</f>
        <v>81</v>
      </c>
      <c r="E486" s="5">
        <f>+E484+F484</f>
        <v>1894.3259999999998</v>
      </c>
      <c r="F486" s="5"/>
      <c r="G486" s="4"/>
      <c r="H486" s="4"/>
      <c r="I486" s="4"/>
      <c r="J486" s="4"/>
      <c r="K486" s="4"/>
    </row>
    <row r="487" spans="1:11">
      <c r="A487" s="4" t="s">
        <v>12</v>
      </c>
      <c r="B487" s="4"/>
      <c r="C487" s="4"/>
      <c r="D487" s="4"/>
      <c r="E487" s="5">
        <f>E485-E486</f>
        <v>5451.1954999999998</v>
      </c>
      <c r="F487" s="5"/>
      <c r="G487" s="4"/>
      <c r="H487" s="4"/>
      <c r="I487" s="4"/>
      <c r="J487" s="4"/>
      <c r="K487" s="4"/>
    </row>
    <row r="489" spans="1:11">
      <c r="A489" s="14">
        <v>44743</v>
      </c>
      <c r="E489" s="3"/>
      <c r="F489" s="3"/>
    </row>
    <row r="490" spans="1:11">
      <c r="A490" s="2" t="s">
        <v>1</v>
      </c>
      <c r="B490" s="2" t="s">
        <v>2</v>
      </c>
      <c r="C490" s="2" t="s">
        <v>3</v>
      </c>
      <c r="D490" s="2" t="s">
        <v>4</v>
      </c>
      <c r="E490" s="2" t="s">
        <v>5</v>
      </c>
      <c r="F490" s="2" t="s">
        <v>6</v>
      </c>
      <c r="G490" s="2" t="s">
        <v>13</v>
      </c>
      <c r="H490" s="2" t="s">
        <v>14</v>
      </c>
      <c r="I490" s="2" t="s">
        <v>15</v>
      </c>
      <c r="J490" s="2" t="s">
        <v>16</v>
      </c>
      <c r="K490" s="2" t="s">
        <v>17</v>
      </c>
    </row>
    <row r="491" spans="1:11">
      <c r="A491" s="4" t="s">
        <v>7</v>
      </c>
      <c r="B491" s="4">
        <f>C482</f>
        <v>27914</v>
      </c>
      <c r="C491" s="4">
        <v>28361</v>
      </c>
      <c r="D491" s="4">
        <f>C491-B491</f>
        <v>447</v>
      </c>
      <c r="E491" s="5">
        <f>4570.08*1.15</f>
        <v>5255.5919999999996</v>
      </c>
      <c r="F491" s="5">
        <f>1647.24*1.15</f>
        <v>1894.3259999999998</v>
      </c>
      <c r="G491" s="4" t="s">
        <v>18</v>
      </c>
      <c r="H491" s="4" t="s">
        <v>103</v>
      </c>
      <c r="I491" s="4">
        <v>28</v>
      </c>
      <c r="J491" s="4">
        <f>(D491+D492)/I491</f>
        <v>16.642857142857142</v>
      </c>
      <c r="K491" s="5">
        <f>E491/D491</f>
        <v>11.757476510067113</v>
      </c>
    </row>
    <row r="492" spans="1:11">
      <c r="A492" s="4" t="s">
        <v>8</v>
      </c>
      <c r="B492" s="4">
        <f t="shared" ref="B492:B493" si="66">C483</f>
        <v>6762</v>
      </c>
      <c r="C492" s="4">
        <v>6781</v>
      </c>
      <c r="D492" s="4">
        <f t="shared" ref="D492:D493" si="67">C492-B492</f>
        <v>19</v>
      </c>
      <c r="E492" s="5"/>
      <c r="F492" s="5"/>
      <c r="G492" s="4"/>
      <c r="H492" s="4"/>
      <c r="I492" s="4"/>
      <c r="J492" s="4"/>
      <c r="K492" s="4"/>
    </row>
    <row r="493" spans="1:11">
      <c r="A493" s="4" t="s">
        <v>9</v>
      </c>
      <c r="B493" s="4">
        <f t="shared" si="66"/>
        <v>6751</v>
      </c>
      <c r="C493" s="4">
        <v>6774</v>
      </c>
      <c r="D493" s="4">
        <f t="shared" si="67"/>
        <v>23</v>
      </c>
      <c r="E493" s="5">
        <f>0</f>
        <v>0</v>
      </c>
      <c r="F493" s="5">
        <f>1647.24*1.15</f>
        <v>1894.3259999999998</v>
      </c>
      <c r="G493" s="4" t="s">
        <v>18</v>
      </c>
      <c r="H493" s="4" t="s">
        <v>104</v>
      </c>
      <c r="I493" s="4">
        <v>27</v>
      </c>
      <c r="J493" s="4">
        <f>D495/I493</f>
        <v>0.85185185185185186</v>
      </c>
      <c r="K493" s="5">
        <f>E493/D495</f>
        <v>0</v>
      </c>
    </row>
    <row r="494" spans="1:11">
      <c r="A494" s="4" t="s">
        <v>10</v>
      </c>
      <c r="B494" s="4"/>
      <c r="C494" s="4"/>
      <c r="D494" s="4">
        <f>D491+D492</f>
        <v>466</v>
      </c>
      <c r="E494" s="5">
        <f>E491+F491</f>
        <v>7149.9179999999997</v>
      </c>
      <c r="F494" s="5"/>
      <c r="G494" s="4"/>
      <c r="H494" s="4"/>
      <c r="I494" s="4"/>
      <c r="J494" s="4"/>
      <c r="K494" s="4"/>
    </row>
    <row r="495" spans="1:11">
      <c r="A495" s="4" t="s">
        <v>11</v>
      </c>
      <c r="B495" s="4"/>
      <c r="C495" s="4"/>
      <c r="D495" s="4">
        <f>D493</f>
        <v>23</v>
      </c>
      <c r="E495" s="5">
        <f>+E493+F493</f>
        <v>1894.3259999999998</v>
      </c>
      <c r="F495" s="5"/>
      <c r="G495" s="4"/>
      <c r="H495" s="4"/>
      <c r="I495" s="4"/>
      <c r="J495" s="4"/>
      <c r="K495" s="4"/>
    </row>
    <row r="496" spans="1:11">
      <c r="A496" s="4" t="s">
        <v>12</v>
      </c>
      <c r="B496" s="4"/>
      <c r="C496" s="4"/>
      <c r="D496" s="4"/>
      <c r="E496" s="5">
        <f>E494-E495</f>
        <v>5255.5919999999996</v>
      </c>
      <c r="F496" s="5"/>
      <c r="G496" s="4"/>
      <c r="H496" s="4"/>
      <c r="I496" s="4"/>
      <c r="J496" s="4"/>
      <c r="K496" s="4"/>
    </row>
    <row r="498" spans="1:11">
      <c r="A498" s="14">
        <v>44774</v>
      </c>
      <c r="E498" s="3"/>
      <c r="F498" s="3"/>
    </row>
    <row r="499" spans="1:11">
      <c r="A499" s="2" t="s">
        <v>1</v>
      </c>
      <c r="B499" s="2" t="s">
        <v>2</v>
      </c>
      <c r="C499" s="2" t="s">
        <v>3</v>
      </c>
      <c r="D499" s="2" t="s">
        <v>4</v>
      </c>
      <c r="E499" s="2" t="s">
        <v>5</v>
      </c>
      <c r="F499" s="2" t="s">
        <v>6</v>
      </c>
      <c r="G499" s="2" t="s">
        <v>13</v>
      </c>
      <c r="H499" s="2" t="s">
        <v>14</v>
      </c>
      <c r="I499" s="2" t="s">
        <v>15</v>
      </c>
      <c r="J499" s="2" t="s">
        <v>16</v>
      </c>
      <c r="K499" s="2" t="s">
        <v>17</v>
      </c>
    </row>
    <row r="500" spans="1:11">
      <c r="A500" s="4" t="s">
        <v>7</v>
      </c>
      <c r="B500" s="4">
        <f>C491</f>
        <v>28361</v>
      </c>
      <c r="C500" s="4">
        <v>28951</v>
      </c>
      <c r="D500" s="4">
        <f>C500-B500</f>
        <v>590</v>
      </c>
      <c r="E500" s="5">
        <f>(9658.45-1965.89)*1.15</f>
        <v>8846.4439999999995</v>
      </c>
      <c r="F500" s="5">
        <f>1647.24*1.15</f>
        <v>1894.3259999999998</v>
      </c>
      <c r="G500" s="4" t="s">
        <v>18</v>
      </c>
      <c r="H500" s="4" t="s">
        <v>105</v>
      </c>
      <c r="I500" s="4">
        <v>35</v>
      </c>
      <c r="J500" s="4">
        <f>(D500+D501)/I500</f>
        <v>18.8</v>
      </c>
      <c r="K500" s="5">
        <f>E500/D500</f>
        <v>14.993972881355932</v>
      </c>
    </row>
    <row r="501" spans="1:11">
      <c r="A501" s="4" t="s">
        <v>8</v>
      </c>
      <c r="B501" s="4">
        <f t="shared" ref="B501:B502" si="68">C492</f>
        <v>6781</v>
      </c>
      <c r="C501" s="4">
        <v>6849</v>
      </c>
      <c r="D501" s="4">
        <f t="shared" ref="D501:D502" si="69">C501-B501</f>
        <v>68</v>
      </c>
      <c r="E501" s="5"/>
      <c r="F501" s="5"/>
      <c r="G501" s="4"/>
      <c r="H501" s="4"/>
      <c r="I501" s="4"/>
      <c r="J501" s="4"/>
      <c r="K501" s="4"/>
    </row>
    <row r="502" spans="1:11">
      <c r="A502" s="4" t="s">
        <v>9</v>
      </c>
      <c r="B502" s="4">
        <f t="shared" si="68"/>
        <v>6774</v>
      </c>
      <c r="C502" s="4">
        <v>6833</v>
      </c>
      <c r="D502" s="4">
        <f t="shared" si="69"/>
        <v>59</v>
      </c>
      <c r="E502" s="5">
        <f>0</f>
        <v>0</v>
      </c>
      <c r="F502" s="5">
        <f>1647.24*1.15</f>
        <v>1894.3259999999998</v>
      </c>
      <c r="G502" s="4" t="s">
        <v>18</v>
      </c>
      <c r="H502" s="4" t="s">
        <v>106</v>
      </c>
      <c r="I502" s="4">
        <v>34</v>
      </c>
      <c r="J502" s="4">
        <f>D504/I502</f>
        <v>1.7352941176470589</v>
      </c>
      <c r="K502" s="5">
        <f>E502/D504</f>
        <v>0</v>
      </c>
    </row>
    <row r="503" spans="1:11">
      <c r="A503" s="4" t="s">
        <v>10</v>
      </c>
      <c r="B503" s="4"/>
      <c r="C503" s="4"/>
      <c r="D503" s="4">
        <f>D500+D501</f>
        <v>658</v>
      </c>
      <c r="E503" s="5">
        <f>E500+F500</f>
        <v>10740.769999999999</v>
      </c>
      <c r="F503" s="5"/>
      <c r="G503" s="4"/>
      <c r="H503" s="4"/>
      <c r="I503" s="4"/>
      <c r="J503" s="4"/>
      <c r="K503" s="4"/>
    </row>
    <row r="504" spans="1:11">
      <c r="A504" s="4" t="s">
        <v>11</v>
      </c>
      <c r="B504" s="4"/>
      <c r="C504" s="4"/>
      <c r="D504" s="4">
        <f>D502</f>
        <v>59</v>
      </c>
      <c r="E504" s="5">
        <f>+E502+F502</f>
        <v>1894.3259999999998</v>
      </c>
      <c r="F504" s="5"/>
      <c r="G504" s="4"/>
      <c r="H504" s="4"/>
      <c r="I504" s="4"/>
      <c r="J504" s="4"/>
      <c r="K504" s="4"/>
    </row>
    <row r="505" spans="1:11">
      <c r="A505" s="4" t="s">
        <v>12</v>
      </c>
      <c r="B505" s="4"/>
      <c r="C505" s="4"/>
      <c r="D505" s="4"/>
      <c r="E505" s="5">
        <f>E503-E504</f>
        <v>8846.4439999999995</v>
      </c>
      <c r="F505" s="5"/>
      <c r="G505" s="4"/>
      <c r="H505" s="4"/>
      <c r="I505" s="4"/>
      <c r="J505" s="4"/>
      <c r="K505" s="4"/>
    </row>
    <row r="507" spans="1:11">
      <c r="A507" s="14">
        <v>44805</v>
      </c>
      <c r="E507" s="3"/>
      <c r="F507" s="3"/>
    </row>
    <row r="508" spans="1:11">
      <c r="A508" s="2" t="s">
        <v>1</v>
      </c>
      <c r="B508" s="2" t="s">
        <v>2</v>
      </c>
      <c r="C508" s="2" t="s">
        <v>3</v>
      </c>
      <c r="D508" s="2" t="s">
        <v>4</v>
      </c>
      <c r="E508" s="2" t="s">
        <v>5</v>
      </c>
      <c r="F508" s="2" t="s">
        <v>6</v>
      </c>
      <c r="G508" s="2" t="s">
        <v>13</v>
      </c>
      <c r="H508" s="2" t="s">
        <v>14</v>
      </c>
      <c r="I508" s="2" t="s">
        <v>15</v>
      </c>
      <c r="J508" s="2" t="s">
        <v>16</v>
      </c>
      <c r="K508" s="2" t="s">
        <v>17</v>
      </c>
    </row>
    <row r="509" spans="1:11">
      <c r="A509" s="4" t="s">
        <v>7</v>
      </c>
      <c r="B509" s="4">
        <f>C500</f>
        <v>28951</v>
      </c>
      <c r="C509" s="4">
        <v>29447</v>
      </c>
      <c r="D509" s="4">
        <f>C509-B509</f>
        <v>496</v>
      </c>
      <c r="E509" s="5">
        <f>(6650.09-1303.76)*1.15</f>
        <v>6148.2794999999996</v>
      </c>
      <c r="F509" s="5">
        <f>1647.24*1.15</f>
        <v>1894.3259999999998</v>
      </c>
      <c r="G509" s="4" t="s">
        <v>18</v>
      </c>
      <c r="H509" s="4" t="s">
        <v>107</v>
      </c>
      <c r="I509" s="4">
        <v>29</v>
      </c>
      <c r="J509" s="4">
        <f>(D509+D510)/I509</f>
        <v>19.206896551724139</v>
      </c>
      <c r="K509" s="5">
        <f>E509/D509</f>
        <v>12.395724798387096</v>
      </c>
    </row>
    <row r="510" spans="1:11">
      <c r="A510" s="4" t="s">
        <v>8</v>
      </c>
      <c r="B510" s="4">
        <f t="shared" ref="B510:B511" si="70">C501</f>
        <v>6849</v>
      </c>
      <c r="C510" s="4">
        <v>6910</v>
      </c>
      <c r="D510" s="4">
        <f t="shared" ref="D510:D511" si="71">C510-B510</f>
        <v>61</v>
      </c>
      <c r="E510" s="5"/>
      <c r="F510" s="5"/>
      <c r="G510" s="4"/>
      <c r="H510" s="4"/>
      <c r="I510" s="4"/>
      <c r="J510" s="4"/>
      <c r="K510" s="4"/>
    </row>
    <row r="511" spans="1:11">
      <c r="A511" s="4" t="s">
        <v>9</v>
      </c>
      <c r="B511" s="4">
        <f t="shared" si="70"/>
        <v>6833</v>
      </c>
      <c r="C511" s="4">
        <v>6894</v>
      </c>
      <c r="D511" s="4">
        <f t="shared" si="71"/>
        <v>61</v>
      </c>
      <c r="E511" s="5">
        <f>0</f>
        <v>0</v>
      </c>
      <c r="F511" s="5">
        <f>1647.24*1.15</f>
        <v>1894.3259999999998</v>
      </c>
      <c r="G511" s="4" t="s">
        <v>18</v>
      </c>
      <c r="H511" s="4" t="s">
        <v>108</v>
      </c>
      <c r="I511" s="4">
        <v>27</v>
      </c>
      <c r="J511" s="4">
        <f>D513/I511</f>
        <v>2.2592592592592591</v>
      </c>
      <c r="K511" s="5">
        <f>E511/D513</f>
        <v>0</v>
      </c>
    </row>
    <row r="512" spans="1:11">
      <c r="A512" s="4" t="s">
        <v>10</v>
      </c>
      <c r="B512" s="4"/>
      <c r="C512" s="4"/>
      <c r="D512" s="4">
        <f>D509+D510</f>
        <v>557</v>
      </c>
      <c r="E512" s="5">
        <f>E509+F509</f>
        <v>8042.6054999999997</v>
      </c>
      <c r="F512" s="5"/>
      <c r="G512" s="4"/>
      <c r="H512" s="4"/>
      <c r="I512" s="4"/>
      <c r="J512" s="4"/>
      <c r="K512" s="4"/>
    </row>
    <row r="513" spans="1:11">
      <c r="A513" s="4" t="s">
        <v>11</v>
      </c>
      <c r="B513" s="4"/>
      <c r="C513" s="4"/>
      <c r="D513" s="4">
        <f>D511</f>
        <v>61</v>
      </c>
      <c r="E513" s="5">
        <f>+E511+F511</f>
        <v>1894.3259999999998</v>
      </c>
      <c r="F513" s="5"/>
      <c r="G513" s="4"/>
      <c r="H513" s="4"/>
      <c r="I513" s="4"/>
      <c r="J513" s="4"/>
      <c r="K513" s="4"/>
    </row>
    <row r="514" spans="1:11">
      <c r="A514" s="4" t="s">
        <v>12</v>
      </c>
      <c r="B514" s="4"/>
      <c r="C514" s="4"/>
      <c r="D514" s="4"/>
      <c r="E514" s="5">
        <f>E512-E513</f>
        <v>6148.2794999999996</v>
      </c>
      <c r="F514" s="5"/>
      <c r="G514" s="4"/>
      <c r="H514" s="4"/>
      <c r="I514" s="4"/>
      <c r="J514" s="4"/>
      <c r="K514" s="4"/>
    </row>
    <row r="516" spans="1:11">
      <c r="A516" s="14">
        <v>44835</v>
      </c>
      <c r="E516" s="3"/>
      <c r="F516" s="3"/>
    </row>
    <row r="517" spans="1:11">
      <c r="A517" s="2" t="s">
        <v>1</v>
      </c>
      <c r="B517" s="2" t="s">
        <v>2</v>
      </c>
      <c r="C517" s="2" t="s">
        <v>3</v>
      </c>
      <c r="D517" s="2" t="s">
        <v>4</v>
      </c>
      <c r="E517" s="2" t="s">
        <v>5</v>
      </c>
      <c r="F517" s="2" t="s">
        <v>6</v>
      </c>
      <c r="G517" s="2" t="s">
        <v>13</v>
      </c>
      <c r="H517" s="2" t="s">
        <v>14</v>
      </c>
      <c r="I517" s="2" t="s">
        <v>15</v>
      </c>
      <c r="J517" s="2" t="s">
        <v>16</v>
      </c>
      <c r="K517" s="2" t="s">
        <v>17</v>
      </c>
    </row>
    <row r="518" spans="1:11">
      <c r="A518" s="4" t="s">
        <v>7</v>
      </c>
      <c r="B518" s="4">
        <f>C509</f>
        <v>29447</v>
      </c>
      <c r="C518" s="4">
        <v>29947</v>
      </c>
      <c r="D518" s="4">
        <f>C518-B518</f>
        <v>500</v>
      </c>
      <c r="E518" s="5">
        <f>(6346.4-1139.45)*1.15</f>
        <v>5987.9924999999994</v>
      </c>
      <c r="F518" s="5">
        <f>1647.24*1.15</f>
        <v>1894.3259999999998</v>
      </c>
      <c r="G518" s="4" t="s">
        <v>18</v>
      </c>
      <c r="H518" s="4" t="s">
        <v>109</v>
      </c>
      <c r="I518" s="4">
        <v>29</v>
      </c>
      <c r="J518" s="4">
        <f>(D518+D519)/I518</f>
        <v>19</v>
      </c>
      <c r="K518" s="5">
        <f>E518/D518</f>
        <v>11.975984999999998</v>
      </c>
    </row>
    <row r="519" spans="1:11">
      <c r="A519" s="4" t="s">
        <v>8</v>
      </c>
      <c r="B519" s="4">
        <f t="shared" ref="B519:B520" si="72">C510</f>
        <v>6910</v>
      </c>
      <c r="C519" s="4">
        <v>6961</v>
      </c>
      <c r="D519" s="4">
        <f t="shared" ref="D519:D520" si="73">C519-B519</f>
        <v>51</v>
      </c>
      <c r="E519" s="5"/>
      <c r="F519" s="5"/>
      <c r="G519" s="4"/>
      <c r="H519" s="4"/>
      <c r="I519" s="4"/>
      <c r="J519" s="4"/>
      <c r="K519" s="4"/>
    </row>
    <row r="520" spans="1:11" ht="60.75">
      <c r="A520" s="4" t="s">
        <v>110</v>
      </c>
      <c r="B520" s="4">
        <f t="shared" si="72"/>
        <v>6894</v>
      </c>
      <c r="C520" s="4">
        <v>6941</v>
      </c>
      <c r="D520" s="4">
        <f t="shared" si="73"/>
        <v>47</v>
      </c>
      <c r="E520" s="5">
        <f>0</f>
        <v>0</v>
      </c>
      <c r="F520" s="5">
        <f>1647.24*1.15</f>
        <v>1894.3259999999998</v>
      </c>
      <c r="G520" s="4" t="s">
        <v>36</v>
      </c>
      <c r="H520" s="18" t="s">
        <v>111</v>
      </c>
      <c r="I520" s="4">
        <v>31</v>
      </c>
      <c r="J520" s="4">
        <f>D523/I520</f>
        <v>1.8709677419354838</v>
      </c>
      <c r="K520" s="5">
        <f>E520/D523</f>
        <v>0</v>
      </c>
    </row>
    <row r="521" spans="1:11">
      <c r="A521" s="4" t="s">
        <v>112</v>
      </c>
      <c r="B521" s="4">
        <v>28651</v>
      </c>
      <c r="C521" s="4">
        <v>28662</v>
      </c>
      <c r="D521" s="4">
        <f t="shared" ref="D521" si="74">C521-B521</f>
        <v>11</v>
      </c>
      <c r="E521" s="5"/>
      <c r="F521" s="5"/>
      <c r="G521" s="4"/>
      <c r="H521" s="4"/>
      <c r="I521" s="4"/>
      <c r="J521" s="4"/>
      <c r="K521" s="5"/>
    </row>
    <row r="522" spans="1:11">
      <c r="A522" s="4" t="s">
        <v>10</v>
      </c>
      <c r="B522" s="4"/>
      <c r="C522" s="4"/>
      <c r="D522" s="4">
        <f>D518+D519</f>
        <v>551</v>
      </c>
      <c r="E522" s="5">
        <f>E518+F518</f>
        <v>7882.3184999999994</v>
      </c>
      <c r="F522" s="5"/>
      <c r="G522" s="4"/>
      <c r="H522" s="4"/>
      <c r="I522" s="4"/>
      <c r="J522" s="4"/>
      <c r="K522" s="4"/>
    </row>
    <row r="523" spans="1:11">
      <c r="A523" s="4" t="s">
        <v>11</v>
      </c>
      <c r="B523" s="4"/>
      <c r="C523" s="4"/>
      <c r="D523" s="4">
        <f>D520+D521</f>
        <v>58</v>
      </c>
      <c r="E523" s="5">
        <f>+E520+F520</f>
        <v>1894.3259999999998</v>
      </c>
      <c r="F523" s="5"/>
      <c r="G523" s="4"/>
      <c r="H523" s="4"/>
      <c r="I523" s="4"/>
      <c r="J523" s="4"/>
      <c r="K523" s="4"/>
    </row>
    <row r="524" spans="1:11">
      <c r="A524" s="4" t="s">
        <v>12</v>
      </c>
      <c r="B524" s="4"/>
      <c r="C524" s="4"/>
      <c r="D524" s="4"/>
      <c r="E524" s="5">
        <f>E522-E523</f>
        <v>5987.9924999999994</v>
      </c>
      <c r="F524" s="5"/>
      <c r="G524" s="4"/>
      <c r="H524" s="4"/>
      <c r="I524" s="4"/>
      <c r="J524" s="4"/>
      <c r="K524" s="4"/>
    </row>
    <row r="526" spans="1:11">
      <c r="A526" s="14">
        <v>44866</v>
      </c>
      <c r="E526" s="3"/>
      <c r="F526" s="3"/>
    </row>
    <row r="527" spans="1:11">
      <c r="A527" s="2" t="s">
        <v>1</v>
      </c>
      <c r="B527" s="2" t="s">
        <v>2</v>
      </c>
      <c r="C527" s="2" t="s">
        <v>3</v>
      </c>
      <c r="D527" s="2" t="s">
        <v>4</v>
      </c>
      <c r="E527" s="2" t="s">
        <v>5</v>
      </c>
      <c r="F527" s="2" t="s">
        <v>6</v>
      </c>
      <c r="G527" s="2" t="s">
        <v>13</v>
      </c>
      <c r="H527" s="2" t="s">
        <v>14</v>
      </c>
      <c r="I527" s="2" t="s">
        <v>15</v>
      </c>
      <c r="J527" s="2" t="s">
        <v>16</v>
      </c>
      <c r="K527" s="2" t="s">
        <v>17</v>
      </c>
    </row>
    <row r="528" spans="1:11">
      <c r="A528" s="4" t="s">
        <v>7</v>
      </c>
      <c r="B528" s="4">
        <f>C518</f>
        <v>29947</v>
      </c>
      <c r="C528" s="4">
        <v>30467</v>
      </c>
      <c r="D528" s="4">
        <f>C528-B528</f>
        <v>520</v>
      </c>
      <c r="E528" s="5">
        <f>9797.66*1.15</f>
        <v>11267.308999999999</v>
      </c>
      <c r="F528" s="5">
        <f>1647.24*1.15</f>
        <v>1894.3259999999998</v>
      </c>
      <c r="G528" s="4" t="s">
        <v>18</v>
      </c>
      <c r="H528" s="4" t="s">
        <v>113</v>
      </c>
      <c r="I528" s="4">
        <v>35</v>
      </c>
      <c r="J528" s="4">
        <f>(D528+D529)/I528</f>
        <v>16.085714285714285</v>
      </c>
      <c r="K528" s="5">
        <f>E528/D528</f>
        <v>21.667901923076922</v>
      </c>
    </row>
    <row r="529" spans="1:11">
      <c r="A529" s="4" t="s">
        <v>8</v>
      </c>
      <c r="B529" s="4">
        <f>C519</f>
        <v>6961</v>
      </c>
      <c r="C529" s="4">
        <v>7004</v>
      </c>
      <c r="D529" s="4">
        <f t="shared" ref="D529:D531" si="75">C529-B529</f>
        <v>43</v>
      </c>
      <c r="E529" s="5"/>
      <c r="F529" s="5"/>
      <c r="G529" s="4"/>
      <c r="H529" s="4"/>
      <c r="I529" s="4"/>
      <c r="J529" s="4"/>
      <c r="K529" s="4"/>
    </row>
    <row r="530" spans="1:11">
      <c r="A530" s="4" t="s">
        <v>110</v>
      </c>
      <c r="B530" s="4">
        <f t="shared" ref="B529:B530" si="76">C521</f>
        <v>28662</v>
      </c>
      <c r="C530" s="4">
        <v>28695</v>
      </c>
      <c r="D530" s="4">
        <f t="shared" si="75"/>
        <v>33</v>
      </c>
      <c r="E530" s="5">
        <f>0</f>
        <v>0</v>
      </c>
      <c r="F530" s="5">
        <f>1647.24*1.15</f>
        <v>1894.3259999999998</v>
      </c>
      <c r="G530" s="4" t="s">
        <v>36</v>
      </c>
      <c r="H530" s="18" t="s">
        <v>114</v>
      </c>
      <c r="I530" s="4">
        <v>33</v>
      </c>
      <c r="J530" s="4">
        <f>D533/I530</f>
        <v>2.4545454545454546</v>
      </c>
      <c r="K530" s="5">
        <f>E530/D533</f>
        <v>0</v>
      </c>
    </row>
    <row r="531" spans="1:11">
      <c r="A531" s="4" t="s">
        <v>112</v>
      </c>
      <c r="B531" s="4">
        <v>6941</v>
      </c>
      <c r="C531" s="4">
        <v>6989</v>
      </c>
      <c r="D531" s="4">
        <f t="shared" si="75"/>
        <v>48</v>
      </c>
      <c r="E531" s="5"/>
      <c r="F531" s="5"/>
      <c r="G531" s="4"/>
      <c r="H531" s="4"/>
      <c r="I531" s="4"/>
      <c r="J531" s="4"/>
      <c r="K531" s="5"/>
    </row>
    <row r="532" spans="1:11">
      <c r="A532" s="4" t="s">
        <v>10</v>
      </c>
      <c r="B532" s="4"/>
      <c r="C532" s="4"/>
      <c r="D532" s="4">
        <f>D528+D529</f>
        <v>563</v>
      </c>
      <c r="E532" s="5">
        <f>E528+F528</f>
        <v>13161.634999999998</v>
      </c>
      <c r="F532" s="5"/>
      <c r="G532" s="4"/>
      <c r="H532" s="4"/>
      <c r="I532" s="4"/>
      <c r="J532" s="4"/>
      <c r="K532" s="4"/>
    </row>
    <row r="533" spans="1:11">
      <c r="A533" s="4" t="s">
        <v>11</v>
      </c>
      <c r="B533" s="4"/>
      <c r="C533" s="4"/>
      <c r="D533" s="4">
        <f>D530+D531</f>
        <v>81</v>
      </c>
      <c r="E533" s="5">
        <f>+E530+F530</f>
        <v>1894.3259999999998</v>
      </c>
      <c r="F533" s="5"/>
      <c r="G533" s="4"/>
      <c r="H533" s="4"/>
      <c r="I533" s="4"/>
      <c r="J533" s="4"/>
      <c r="K533" s="4"/>
    </row>
    <row r="534" spans="1:11">
      <c r="A534" s="4" t="s">
        <v>12</v>
      </c>
      <c r="B534" s="4"/>
      <c r="C534" s="4"/>
      <c r="D534" s="4"/>
      <c r="E534" s="5">
        <f>E532-E533</f>
        <v>11267.308999999999</v>
      </c>
      <c r="F534" s="5"/>
      <c r="G534" s="4"/>
      <c r="H534" s="4"/>
      <c r="I534" s="4"/>
      <c r="J534" s="4"/>
      <c r="K534" s="4"/>
    </row>
    <row r="536" spans="1:11">
      <c r="A536" s="14">
        <v>44896</v>
      </c>
      <c r="E536" s="3"/>
      <c r="F536" s="3"/>
    </row>
    <row r="537" spans="1:11">
      <c r="A537" s="2" t="s">
        <v>1</v>
      </c>
      <c r="B537" s="2" t="s">
        <v>2</v>
      </c>
      <c r="C537" s="2" t="s">
        <v>3</v>
      </c>
      <c r="D537" s="2" t="s">
        <v>4</v>
      </c>
      <c r="E537" s="2" t="s">
        <v>5</v>
      </c>
      <c r="F537" s="2" t="s">
        <v>6</v>
      </c>
      <c r="G537" s="2" t="s">
        <v>13</v>
      </c>
      <c r="H537" s="2" t="s">
        <v>14</v>
      </c>
      <c r="I537" s="2" t="s">
        <v>15</v>
      </c>
      <c r="J537" s="2" t="s">
        <v>16</v>
      </c>
      <c r="K537" s="2" t="s">
        <v>17</v>
      </c>
    </row>
    <row r="538" spans="1:11">
      <c r="A538" s="4" t="s">
        <v>7</v>
      </c>
      <c r="B538" s="4">
        <f>C528</f>
        <v>30467</v>
      </c>
      <c r="C538" s="4">
        <v>31048</v>
      </c>
      <c r="D538" s="4">
        <f>C538-B538</f>
        <v>581</v>
      </c>
      <c r="E538" s="5">
        <f>9104.1*1.15</f>
        <v>10469.715</v>
      </c>
      <c r="F538" s="5">
        <f>1647.24*1.15</f>
        <v>1894.3259999999998</v>
      </c>
      <c r="G538" s="4" t="s">
        <v>18</v>
      </c>
      <c r="H538" s="4" t="s">
        <v>115</v>
      </c>
      <c r="I538" s="4">
        <v>36</v>
      </c>
      <c r="J538" s="4">
        <f>(D538+D539)/I538</f>
        <v>17.444444444444443</v>
      </c>
      <c r="K538" s="5">
        <f>E538/D538</f>
        <v>18.020163511187608</v>
      </c>
    </row>
    <row r="539" spans="1:11">
      <c r="A539" s="4" t="s">
        <v>8</v>
      </c>
      <c r="B539" s="4">
        <f>C529</f>
        <v>7004</v>
      </c>
      <c r="C539" s="4">
        <v>7051</v>
      </c>
      <c r="D539" s="4">
        <f t="shared" ref="D539:D541" si="77">C539-B539</f>
        <v>47</v>
      </c>
      <c r="E539" s="5"/>
      <c r="F539" s="5"/>
      <c r="G539" s="4"/>
      <c r="H539" s="4"/>
      <c r="I539" s="4"/>
      <c r="J539" s="4"/>
      <c r="K539" s="4"/>
    </row>
    <row r="540" spans="1:11">
      <c r="A540" s="4" t="s">
        <v>110</v>
      </c>
      <c r="B540" s="4">
        <v>28651</v>
      </c>
      <c r="C540" s="4">
        <v>30613</v>
      </c>
      <c r="D540" s="4">
        <f t="shared" si="77"/>
        <v>1962</v>
      </c>
      <c r="E540" s="5">
        <f>27387.42*1.15</f>
        <v>31495.532999999996</v>
      </c>
      <c r="F540" s="5">
        <f>1647.24*1.15</f>
        <v>1894.3259999999998</v>
      </c>
      <c r="G540" s="4" t="s">
        <v>18</v>
      </c>
      <c r="H540" s="18" t="s">
        <v>116</v>
      </c>
      <c r="I540" s="4">
        <v>84</v>
      </c>
      <c r="J540" s="4">
        <f>D543/I540</f>
        <v>24.773809523809526</v>
      </c>
      <c r="K540" s="5">
        <f>E540/D543</f>
        <v>15.134806823642478</v>
      </c>
    </row>
    <row r="541" spans="1:11">
      <c r="A541" s="4" t="s">
        <v>112</v>
      </c>
      <c r="B541" s="4">
        <v>6894</v>
      </c>
      <c r="C541" s="4">
        <v>7013</v>
      </c>
      <c r="D541" s="4">
        <f t="shared" si="77"/>
        <v>119</v>
      </c>
      <c r="E541" s="5"/>
      <c r="F541" s="5"/>
      <c r="G541" s="4"/>
      <c r="H541" s="4"/>
      <c r="I541" s="4"/>
      <c r="J541" s="4"/>
      <c r="K541" s="5"/>
    </row>
    <row r="542" spans="1:11">
      <c r="A542" s="4" t="s">
        <v>10</v>
      </c>
      <c r="B542" s="4"/>
      <c r="C542" s="4"/>
      <c r="D542" s="4">
        <f>D538+D539</f>
        <v>628</v>
      </c>
      <c r="E542" s="5">
        <f>E538+F538</f>
        <v>12364.040999999999</v>
      </c>
      <c r="F542" s="5"/>
      <c r="G542" s="4"/>
      <c r="H542" s="4"/>
      <c r="I542" s="4"/>
      <c r="J542" s="4"/>
      <c r="K542" s="4"/>
    </row>
    <row r="543" spans="1:11">
      <c r="A543" s="4" t="s">
        <v>11</v>
      </c>
      <c r="B543" s="4"/>
      <c r="C543" s="4"/>
      <c r="D543" s="4">
        <f>D540+D541</f>
        <v>2081</v>
      </c>
      <c r="E543" s="5">
        <f>+E540+F540</f>
        <v>33389.858999999997</v>
      </c>
      <c r="F543" s="5"/>
      <c r="G543" s="4"/>
      <c r="H543" s="4"/>
      <c r="I543" s="4"/>
      <c r="J543" s="4"/>
      <c r="K543" s="4"/>
    </row>
    <row r="544" spans="1:11">
      <c r="A544" s="4" t="s">
        <v>12</v>
      </c>
      <c r="B544" s="4"/>
      <c r="C544" s="4"/>
      <c r="D544" s="4"/>
      <c r="E544" s="5">
        <f>E542-E543</f>
        <v>-21025.817999999999</v>
      </c>
      <c r="F544" s="5"/>
      <c r="G544" s="4"/>
      <c r="H544" s="4"/>
      <c r="I544" s="4"/>
      <c r="J544" s="4"/>
      <c r="K544" s="4"/>
    </row>
  </sheetData>
  <pageMargins left="0.25" right="0.25" top="0.75" bottom="0.75" header="0.3" footer="0.3"/>
  <pageSetup paperSize="9" scale="69" fitToHeight="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8003-AD42-49A0-8A8A-E3B2A568D25A}">
  <dimension ref="A1:AE24"/>
  <sheetViews>
    <sheetView topLeftCell="B2" workbookViewId="0">
      <selection activeCell="AE13" sqref="AE13"/>
    </sheetView>
  </sheetViews>
  <sheetFormatPr defaultRowHeight="15"/>
  <cols>
    <col min="13" max="13" width="12.5703125" hidden="1" customWidth="1"/>
    <col min="14" max="14" width="11.5703125" hidden="1" customWidth="1"/>
    <col min="15" max="15" width="17.42578125" hidden="1" customWidth="1"/>
    <col min="17" max="17" width="12.5703125" hidden="1" customWidth="1"/>
    <col min="18" max="18" width="11.5703125" hidden="1" customWidth="1"/>
    <col min="19" max="19" width="17.42578125" hidden="1" customWidth="1"/>
    <col min="21" max="21" width="12.7109375" hidden="1" customWidth="1"/>
    <col min="22" max="22" width="11.7109375" hidden="1" customWidth="1"/>
    <col min="23" max="23" width="17.42578125" hidden="1" customWidth="1"/>
    <col min="24" max="24" width="0" hidden="1" customWidth="1"/>
    <col min="25" max="25" width="12.7109375" hidden="1" customWidth="1"/>
    <col min="26" max="26" width="11.7109375" hidden="1" customWidth="1"/>
    <col min="27" max="27" width="17.42578125" hidden="1" customWidth="1"/>
    <col min="29" max="30" width="12" bestFit="1" customWidth="1"/>
    <col min="31" max="31" width="17.42578125" bestFit="1" customWidth="1"/>
  </cols>
  <sheetData>
    <row r="1" spans="1:31" ht="18.75">
      <c r="A1" s="6" t="s">
        <v>117</v>
      </c>
    </row>
    <row r="2" spans="1:31">
      <c r="M2" t="s">
        <v>118</v>
      </c>
      <c r="N2" t="s">
        <v>119</v>
      </c>
      <c r="O2" t="s">
        <v>120</v>
      </c>
      <c r="Q2" t="s">
        <v>118</v>
      </c>
      <c r="R2" t="s">
        <v>119</v>
      </c>
      <c r="S2" t="s">
        <v>120</v>
      </c>
      <c r="U2" t="s">
        <v>118</v>
      </c>
      <c r="V2" t="s">
        <v>119</v>
      </c>
      <c r="W2" t="s">
        <v>120</v>
      </c>
      <c r="Y2" t="s">
        <v>118</v>
      </c>
      <c r="Z2" t="s">
        <v>119</v>
      </c>
      <c r="AA2" t="s">
        <v>120</v>
      </c>
      <c r="AC2" t="s">
        <v>118</v>
      </c>
      <c r="AD2" t="s">
        <v>119</v>
      </c>
      <c r="AE2" t="s">
        <v>120</v>
      </c>
    </row>
    <row r="3" spans="1:31">
      <c r="L3" s="1">
        <v>43466</v>
      </c>
      <c r="M3" s="8">
        <v>15483.949999999988</v>
      </c>
      <c r="N3" s="8">
        <v>2665.3779999999997</v>
      </c>
      <c r="O3" s="10" t="s">
        <v>121</v>
      </c>
      <c r="P3" s="1">
        <v>43586</v>
      </c>
      <c r="Q3" s="8">
        <v>15483.95</v>
      </c>
      <c r="R3" s="8">
        <v>2789.16</v>
      </c>
      <c r="S3" s="10" t="s">
        <v>121</v>
      </c>
      <c r="T3" s="1">
        <v>43952</v>
      </c>
      <c r="U3" s="8">
        <v>7410.7955000000002</v>
      </c>
      <c r="V3" s="8">
        <v>28787.444000000003</v>
      </c>
      <c r="W3" s="10" t="s">
        <v>122</v>
      </c>
      <c r="X3" s="1">
        <v>44317</v>
      </c>
      <c r="Y3" s="16">
        <v>6519.0854999999992</v>
      </c>
      <c r="Z3" s="16">
        <v>1616.3939999999998</v>
      </c>
      <c r="AA3" s="11" t="s">
        <v>121</v>
      </c>
      <c r="AB3" s="1">
        <v>44682</v>
      </c>
      <c r="AC3" s="16">
        <v>11451.446999999998</v>
      </c>
      <c r="AD3" s="16">
        <v>1726.1039999999998</v>
      </c>
      <c r="AE3" s="11" t="s">
        <v>121</v>
      </c>
    </row>
    <row r="4" spans="1:31">
      <c r="L4" s="1">
        <v>43497</v>
      </c>
      <c r="M4" s="8">
        <v>15483.949999999988</v>
      </c>
      <c r="N4" s="8">
        <v>2541.5919999999996</v>
      </c>
      <c r="O4" s="10" t="s">
        <v>121</v>
      </c>
      <c r="P4" s="1">
        <v>43617</v>
      </c>
      <c r="Q4" s="8">
        <v>15483.95</v>
      </c>
      <c r="R4" s="8">
        <v>2763.82</v>
      </c>
      <c r="S4" s="10" t="s">
        <v>121</v>
      </c>
      <c r="T4" s="1">
        <v>43983</v>
      </c>
      <c r="U4" s="8">
        <v>6739.2977119999996</v>
      </c>
      <c r="V4" s="8">
        <v>4842.098</v>
      </c>
      <c r="W4" s="10" t="s">
        <v>123</v>
      </c>
      <c r="X4" s="1">
        <v>44348</v>
      </c>
      <c r="Y4" s="16">
        <v>9879.1440000000002</v>
      </c>
      <c r="Z4" s="16">
        <v>1726.1039999999998</v>
      </c>
      <c r="AA4" s="11" t="s">
        <v>123</v>
      </c>
      <c r="AB4" s="1">
        <v>44713</v>
      </c>
      <c r="AC4" s="16">
        <v>7345.5214999999998</v>
      </c>
      <c r="AD4" s="16">
        <v>1894.3259999999998</v>
      </c>
      <c r="AE4" s="11" t="s">
        <v>121</v>
      </c>
    </row>
    <row r="5" spans="1:31">
      <c r="L5" s="1">
        <v>43525</v>
      </c>
      <c r="M5" s="8">
        <v>15483.949999999988</v>
      </c>
      <c r="N5" s="8">
        <v>2798.6859999999997</v>
      </c>
      <c r="O5" s="10" t="s">
        <v>121</v>
      </c>
      <c r="P5" s="1">
        <v>43647</v>
      </c>
      <c r="Q5" s="8">
        <v>15483.95</v>
      </c>
      <c r="R5" s="8">
        <v>2383.41</v>
      </c>
      <c r="S5" s="10" t="s">
        <v>121</v>
      </c>
      <c r="T5" s="1">
        <v>44013</v>
      </c>
      <c r="U5" s="8">
        <v>6336.2592129999994</v>
      </c>
      <c r="V5" s="8">
        <v>1710.4294999999997</v>
      </c>
      <c r="W5" s="10" t="s">
        <v>123</v>
      </c>
      <c r="X5" s="1">
        <v>44378</v>
      </c>
      <c r="Y5" s="16">
        <v>9424.1924999999992</v>
      </c>
      <c r="Z5" s="16">
        <v>1726.1039999999998</v>
      </c>
      <c r="AA5" s="11" t="s">
        <v>121</v>
      </c>
      <c r="AB5" s="1">
        <v>44743</v>
      </c>
      <c r="AC5" s="16">
        <v>7149.9179999999997</v>
      </c>
      <c r="AD5" s="16">
        <v>1894.3259999999998</v>
      </c>
      <c r="AE5" s="11" t="s">
        <v>121</v>
      </c>
    </row>
    <row r="6" spans="1:31" ht="45.75">
      <c r="L6" s="1">
        <v>43556</v>
      </c>
      <c r="M6" s="8">
        <v>15483.949999999988</v>
      </c>
      <c r="N6" s="8">
        <v>2446.3719999999998</v>
      </c>
      <c r="O6" s="10" t="s">
        <v>121</v>
      </c>
      <c r="P6" s="1">
        <v>43678</v>
      </c>
      <c r="Q6" s="8">
        <v>9593.76</v>
      </c>
      <c r="R6" s="8">
        <v>3095.8712500000001</v>
      </c>
      <c r="S6" s="10" t="s">
        <v>121</v>
      </c>
      <c r="T6" s="1">
        <v>44044</v>
      </c>
      <c r="U6" s="8">
        <v>6375.7494999999999</v>
      </c>
      <c r="V6" s="8">
        <v>1616.3939999999998</v>
      </c>
      <c r="W6" s="10" t="s">
        <v>123</v>
      </c>
      <c r="X6" s="1">
        <v>44409</v>
      </c>
      <c r="Y6" s="16">
        <v>13075.281499999999</v>
      </c>
      <c r="Z6" s="16">
        <v>1726.1039999999998</v>
      </c>
      <c r="AA6" s="11" t="s">
        <v>121</v>
      </c>
      <c r="AB6" s="1">
        <v>44774</v>
      </c>
      <c r="AC6" s="16">
        <v>10740.769999999999</v>
      </c>
      <c r="AD6" s="16">
        <v>1894.3259999999998</v>
      </c>
      <c r="AE6" s="17" t="s">
        <v>124</v>
      </c>
    </row>
    <row r="7" spans="1:31" ht="45.75">
      <c r="L7" s="1">
        <v>43586</v>
      </c>
      <c r="M7" s="8">
        <v>15483.95</v>
      </c>
      <c r="N7" s="8">
        <v>2789.16</v>
      </c>
      <c r="O7" s="10" t="s">
        <v>121</v>
      </c>
      <c r="P7" s="1">
        <v>43709</v>
      </c>
      <c r="Q7" s="8">
        <v>6445.4049999999988</v>
      </c>
      <c r="R7" s="8">
        <v>3095.8712500000001</v>
      </c>
      <c r="S7" s="11" t="s">
        <v>123</v>
      </c>
      <c r="T7" s="1">
        <v>44075</v>
      </c>
      <c r="U7" s="13">
        <v>26685.657999999999</v>
      </c>
      <c r="V7" s="8">
        <v>1616.3939999999998</v>
      </c>
      <c r="W7" s="11" t="s">
        <v>123</v>
      </c>
      <c r="X7" s="1">
        <v>44440</v>
      </c>
      <c r="Y7" s="16">
        <v>10614.339</v>
      </c>
      <c r="Z7" s="16">
        <v>1726.1039999999998</v>
      </c>
      <c r="AA7" s="11" t="s">
        <v>121</v>
      </c>
      <c r="AB7" s="1">
        <v>44805</v>
      </c>
      <c r="AC7" s="16">
        <v>8042.6054999999997</v>
      </c>
      <c r="AD7" s="16">
        <v>1894.3259999999998</v>
      </c>
      <c r="AE7" s="17" t="s">
        <v>124</v>
      </c>
    </row>
    <row r="8" spans="1:31" ht="30.75">
      <c r="L8" s="1">
        <v>43617</v>
      </c>
      <c r="M8" s="8">
        <v>15483.95</v>
      </c>
      <c r="N8" s="8">
        <v>2763.82</v>
      </c>
      <c r="O8" s="10" t="s">
        <v>121</v>
      </c>
      <c r="P8" s="1">
        <v>43739</v>
      </c>
      <c r="Q8" s="8">
        <v>12345.559396000001</v>
      </c>
      <c r="R8" s="8">
        <v>1648.13</v>
      </c>
      <c r="S8" s="11" t="s">
        <v>123</v>
      </c>
      <c r="T8" s="1">
        <v>44105</v>
      </c>
      <c r="U8" s="13">
        <v>17510.383000000002</v>
      </c>
      <c r="V8" s="8">
        <v>1616.3939999999998</v>
      </c>
      <c r="W8" s="11" t="s">
        <v>123</v>
      </c>
      <c r="X8" s="1">
        <v>44470</v>
      </c>
      <c r="Y8" s="16">
        <v>9957.0104999999985</v>
      </c>
      <c r="Z8" s="16">
        <v>1726.1039999999998</v>
      </c>
      <c r="AA8" s="11" t="s">
        <v>121</v>
      </c>
      <c r="AB8" s="1">
        <v>44835</v>
      </c>
      <c r="AC8" s="16">
        <v>7882.3184999999994</v>
      </c>
      <c r="AD8" s="16">
        <v>1894.3259999999998</v>
      </c>
      <c r="AE8" s="17" t="s">
        <v>125</v>
      </c>
    </row>
    <row r="9" spans="1:31">
      <c r="L9" s="1">
        <v>43647</v>
      </c>
      <c r="M9" s="8">
        <v>15483.95</v>
      </c>
      <c r="N9" s="8">
        <v>2383.41</v>
      </c>
      <c r="O9" s="10" t="s">
        <v>121</v>
      </c>
      <c r="P9" s="1">
        <v>43770</v>
      </c>
      <c r="Q9" s="13">
        <v>10383.855907999998</v>
      </c>
      <c r="R9" s="8">
        <v>2627.0715</v>
      </c>
      <c r="S9" s="11" t="s">
        <v>123</v>
      </c>
      <c r="T9" s="1">
        <v>44136</v>
      </c>
      <c r="U9" s="13">
        <v>7520.1949999999997</v>
      </c>
      <c r="V9" s="8">
        <v>1616.3939999999998</v>
      </c>
      <c r="W9" s="11" t="s">
        <v>123</v>
      </c>
      <c r="X9" s="1">
        <v>44501</v>
      </c>
      <c r="Y9" s="16">
        <v>10496.153499999999</v>
      </c>
      <c r="Z9" s="16">
        <v>1726.1039999999998</v>
      </c>
      <c r="AA9" s="11" t="s">
        <v>121</v>
      </c>
      <c r="AB9" s="1">
        <v>44866</v>
      </c>
      <c r="AC9" s="16">
        <v>13161.634999999998</v>
      </c>
      <c r="AD9" s="16">
        <v>1894.3259999999998</v>
      </c>
      <c r="AE9" s="11" t="s">
        <v>123</v>
      </c>
    </row>
    <row r="10" spans="1:31">
      <c r="L10" s="1">
        <v>43678</v>
      </c>
      <c r="M10" s="8">
        <v>9593.76</v>
      </c>
      <c r="N10" s="8">
        <v>3095.8712500000001</v>
      </c>
      <c r="O10" s="10" t="s">
        <v>121</v>
      </c>
      <c r="P10" s="1">
        <v>43800</v>
      </c>
      <c r="Q10" s="8">
        <v>8627.6679999999997</v>
      </c>
      <c r="R10" s="8">
        <v>2780.2629999999999</v>
      </c>
      <c r="S10" s="11" t="s">
        <v>123</v>
      </c>
      <c r="T10" s="1">
        <v>44166</v>
      </c>
      <c r="U10" s="13">
        <v>8913.216656999999</v>
      </c>
      <c r="V10" s="8">
        <v>2944.2069999999994</v>
      </c>
      <c r="W10" s="11" t="s">
        <v>123</v>
      </c>
      <c r="X10" s="1">
        <v>44531</v>
      </c>
      <c r="Y10" s="16">
        <v>7960.6794999999984</v>
      </c>
      <c r="Z10" s="16">
        <v>1726.1039999999998</v>
      </c>
      <c r="AA10" s="11" t="s">
        <v>123</v>
      </c>
      <c r="AB10" s="1">
        <v>44896</v>
      </c>
      <c r="AC10" s="16">
        <v>12364.040999999999</v>
      </c>
      <c r="AD10" s="16">
        <v>33389.858999999997</v>
      </c>
      <c r="AE10" s="11" t="s">
        <v>126</v>
      </c>
    </row>
    <row r="11" spans="1:31">
      <c r="L11" s="1">
        <v>43709</v>
      </c>
      <c r="M11" s="8">
        <v>6445.4049999999988</v>
      </c>
      <c r="N11" s="8">
        <v>3095.8712500000001</v>
      </c>
      <c r="O11" s="11" t="s">
        <v>123</v>
      </c>
      <c r="P11" s="1">
        <v>43831</v>
      </c>
      <c r="Q11" s="8">
        <v>5602.3284999999996</v>
      </c>
      <c r="R11" s="8">
        <v>1452.2774999999999</v>
      </c>
      <c r="S11" s="10" t="s">
        <v>121</v>
      </c>
      <c r="T11" s="1">
        <v>44197</v>
      </c>
      <c r="U11" s="16">
        <v>7677.4689999999991</v>
      </c>
      <c r="V11" s="16">
        <v>3435.9699999999993</v>
      </c>
      <c r="W11" s="11" t="s">
        <v>123</v>
      </c>
      <c r="X11" s="1">
        <v>44562</v>
      </c>
      <c r="Y11" s="16">
        <v>7125.3654999999999</v>
      </c>
      <c r="Z11" s="16">
        <v>1726.1039999999998</v>
      </c>
      <c r="AA11" s="11" t="s">
        <v>121</v>
      </c>
      <c r="AB11" s="1">
        <v>44927</v>
      </c>
      <c r="AC11" s="16"/>
      <c r="AD11" s="16"/>
      <c r="AE11" s="11"/>
    </row>
    <row r="12" spans="1:31">
      <c r="L12" s="1">
        <v>43739</v>
      </c>
      <c r="M12" s="8">
        <v>12345.559396000001</v>
      </c>
      <c r="N12" s="8">
        <v>1648.13</v>
      </c>
      <c r="O12" s="11" t="s">
        <v>123</v>
      </c>
      <c r="P12" s="1">
        <v>43862</v>
      </c>
      <c r="Q12" s="13">
        <v>7016.1844999999994</v>
      </c>
      <c r="R12" s="8">
        <v>3138.5109999999995</v>
      </c>
      <c r="S12" s="10" t="s">
        <v>121</v>
      </c>
      <c r="T12" s="1">
        <v>44228</v>
      </c>
      <c r="U12" s="16">
        <v>8979.5794999999998</v>
      </c>
      <c r="V12" s="16">
        <v>9421.7314999999999</v>
      </c>
      <c r="W12" s="11" t="s">
        <v>127</v>
      </c>
      <c r="X12" s="1">
        <v>44593</v>
      </c>
      <c r="Y12" s="16">
        <v>7615.4264999999996</v>
      </c>
      <c r="Z12" s="16">
        <v>1726.1039999999998</v>
      </c>
      <c r="AA12" s="11" t="s">
        <v>123</v>
      </c>
      <c r="AB12" s="1">
        <v>44958</v>
      </c>
      <c r="AC12" s="16"/>
      <c r="AD12" s="16"/>
      <c r="AE12" s="11"/>
    </row>
    <row r="13" spans="1:31">
      <c r="L13" s="1">
        <v>43770</v>
      </c>
      <c r="M13" s="13">
        <v>10383.855907999998</v>
      </c>
      <c r="N13" s="8">
        <v>2627.0715</v>
      </c>
      <c r="O13" s="11" t="s">
        <v>123</v>
      </c>
      <c r="P13" s="1">
        <v>43891</v>
      </c>
      <c r="Q13" s="13">
        <v>6826.5724999999993</v>
      </c>
      <c r="R13" s="8">
        <v>2553.9314999999997</v>
      </c>
      <c r="S13" s="10" t="s">
        <v>123</v>
      </c>
      <c r="T13" s="1">
        <v>44256</v>
      </c>
      <c r="U13" s="16">
        <v>12056.0825</v>
      </c>
      <c r="V13" s="16">
        <v>1616.3939999999998</v>
      </c>
      <c r="W13" s="11" t="s">
        <v>121</v>
      </c>
      <c r="X13" s="1">
        <v>44621</v>
      </c>
      <c r="Y13" s="16">
        <v>9168.6854999999996</v>
      </c>
      <c r="Z13" s="16">
        <v>1726.1039999999998</v>
      </c>
      <c r="AA13" s="11" t="s">
        <v>123</v>
      </c>
      <c r="AB13" s="1">
        <v>44986</v>
      </c>
      <c r="AC13" s="16"/>
      <c r="AD13" s="16"/>
      <c r="AE13" s="11"/>
    </row>
    <row r="14" spans="1:31">
      <c r="L14" s="1">
        <v>43800</v>
      </c>
      <c r="M14" s="8">
        <v>8627.6679999999997</v>
      </c>
      <c r="N14" s="8">
        <v>2780.2629999999999</v>
      </c>
      <c r="O14" s="11" t="s">
        <v>123</v>
      </c>
      <c r="P14" s="1">
        <v>43922</v>
      </c>
      <c r="Q14" s="13">
        <v>7592.7369999999992</v>
      </c>
      <c r="R14" s="8">
        <v>3109.616</v>
      </c>
      <c r="S14" s="10" t="s">
        <v>123</v>
      </c>
      <c r="T14" s="1">
        <v>44287</v>
      </c>
      <c r="U14" s="16">
        <v>5808.4314999999988</v>
      </c>
      <c r="V14" s="16">
        <v>1616.3939999999998</v>
      </c>
      <c r="W14" s="11" t="s">
        <v>121</v>
      </c>
      <c r="X14" s="1">
        <v>44652</v>
      </c>
      <c r="Y14" s="16">
        <v>6583.5545000000002</v>
      </c>
      <c r="Z14" s="16">
        <v>1726.1039999999998</v>
      </c>
      <c r="AA14" s="11" t="s">
        <v>123</v>
      </c>
      <c r="AB14" s="1">
        <v>45017</v>
      </c>
      <c r="AC14" s="16"/>
      <c r="AD14" s="16"/>
      <c r="AE14" s="11"/>
    </row>
    <row r="15" spans="1:31">
      <c r="M15" s="9">
        <f>SUM(M3:M14)</f>
        <v>155783.89830399994</v>
      </c>
      <c r="N15" s="9">
        <f>SUM(N3:N14)</f>
        <v>31635.625</v>
      </c>
      <c r="O15" s="9">
        <f>M15-N15</f>
        <v>124148.27330399994</v>
      </c>
      <c r="U15" s="9">
        <f>SUM(U3:U14)</f>
        <v>122013.11708199998</v>
      </c>
      <c r="V15" s="9">
        <f>SUM(V3:V14)</f>
        <v>60840.244000000006</v>
      </c>
      <c r="W15" s="9">
        <f>U15-V15</f>
        <v>61172.873081999976</v>
      </c>
      <c r="Y15" s="9">
        <f>SUM(Y3:Y14)</f>
        <v>108418.91799999998</v>
      </c>
      <c r="Z15" s="9">
        <f>SUM(Z3:Z14)</f>
        <v>20603.537999999993</v>
      </c>
      <c r="AA15" s="9">
        <f>Y15-Z15</f>
        <v>87815.379999999976</v>
      </c>
      <c r="AC15" s="9">
        <f>SUM(AC3:AC14)</f>
        <v>78138.256499999989</v>
      </c>
      <c r="AD15" s="9">
        <f>SUM(AD3:AD14)</f>
        <v>46481.918999999994</v>
      </c>
      <c r="AE15" s="9">
        <f>AC15-AD15</f>
        <v>31656.337499999994</v>
      </c>
    </row>
    <row r="17" spans="12:12" ht="21">
      <c r="L17" s="7" t="s">
        <v>128</v>
      </c>
    </row>
    <row r="18" spans="12:12">
      <c r="L18" t="s">
        <v>129</v>
      </c>
    </row>
    <row r="19" spans="12:12">
      <c r="L19" t="s">
        <v>130</v>
      </c>
    </row>
    <row r="20" spans="12:12">
      <c r="L20" t="s">
        <v>131</v>
      </c>
    </row>
    <row r="21" spans="12:12">
      <c r="L21" t="s">
        <v>132</v>
      </c>
    </row>
    <row r="22" spans="12:12">
      <c r="L22" t="s">
        <v>133</v>
      </c>
    </row>
    <row r="23" spans="12:12">
      <c r="L23" t="s">
        <v>134</v>
      </c>
    </row>
    <row r="24" spans="12:12">
      <c r="L24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FF1E-300B-45F8-BEF3-5E96FA170788}">
  <dimension ref="A1:Y36"/>
  <sheetViews>
    <sheetView topLeftCell="A5" workbookViewId="0">
      <selection activeCell="Y33" sqref="Y33"/>
    </sheetView>
  </sheetViews>
  <sheetFormatPr defaultRowHeight="15"/>
  <cols>
    <col min="12" max="13" width="9.140625" hidden="1" customWidth="1"/>
    <col min="15" max="16" width="9.140625" hidden="1" customWidth="1"/>
    <col min="18" max="19" width="9.140625" hidden="1" customWidth="1"/>
    <col min="21" max="22" width="0" hidden="1" customWidth="1"/>
  </cols>
  <sheetData>
    <row r="1" spans="1:25" ht="18.75">
      <c r="A1" s="6" t="s">
        <v>136</v>
      </c>
    </row>
    <row r="2" spans="1:25">
      <c r="L2" t="s">
        <v>118</v>
      </c>
      <c r="M2" t="s">
        <v>119</v>
      </c>
      <c r="O2" t="s">
        <v>118</v>
      </c>
      <c r="P2" t="s">
        <v>119</v>
      </c>
      <c r="R2" t="s">
        <v>118</v>
      </c>
      <c r="S2" t="s">
        <v>119</v>
      </c>
      <c r="U2" t="s">
        <v>118</v>
      </c>
      <c r="V2" t="s">
        <v>119</v>
      </c>
      <c r="X2" t="s">
        <v>118</v>
      </c>
      <c r="Y2" t="s">
        <v>119</v>
      </c>
    </row>
    <row r="3" spans="1:25">
      <c r="K3" s="1">
        <v>43466</v>
      </c>
      <c r="L3">
        <v>428</v>
      </c>
      <c r="M3">
        <v>135</v>
      </c>
      <c r="N3" s="1">
        <v>43586</v>
      </c>
      <c r="O3">
        <v>586</v>
      </c>
      <c r="P3">
        <v>148</v>
      </c>
      <c r="Q3" s="1">
        <v>43952</v>
      </c>
      <c r="R3">
        <v>562</v>
      </c>
      <c r="S3">
        <v>2278</v>
      </c>
      <c r="T3" s="1">
        <v>44317</v>
      </c>
      <c r="U3">
        <v>480</v>
      </c>
      <c r="V3">
        <v>74</v>
      </c>
      <c r="W3" s="1">
        <v>44682</v>
      </c>
      <c r="X3">
        <v>626</v>
      </c>
      <c r="Y3">
        <v>16</v>
      </c>
    </row>
    <row r="4" spans="1:25">
      <c r="K4" s="1">
        <v>43497</v>
      </c>
      <c r="L4">
        <v>477</v>
      </c>
      <c r="M4">
        <v>122</v>
      </c>
      <c r="N4" s="1">
        <v>43617</v>
      </c>
      <c r="O4">
        <v>577</v>
      </c>
      <c r="P4">
        <v>131</v>
      </c>
      <c r="Q4" s="1">
        <v>43983</v>
      </c>
      <c r="R4">
        <v>428</v>
      </c>
      <c r="S4">
        <v>308</v>
      </c>
      <c r="T4" s="1">
        <v>44348</v>
      </c>
      <c r="U4">
        <v>608</v>
      </c>
      <c r="V4">
        <v>37</v>
      </c>
      <c r="W4" s="1">
        <v>44713</v>
      </c>
      <c r="X4">
        <v>507</v>
      </c>
      <c r="Y4">
        <v>81</v>
      </c>
    </row>
    <row r="5" spans="1:25">
      <c r="K5" s="1">
        <v>43525</v>
      </c>
      <c r="L5">
        <v>532</v>
      </c>
      <c r="M5">
        <v>149</v>
      </c>
      <c r="N5" s="1">
        <v>43647</v>
      </c>
      <c r="O5">
        <v>682</v>
      </c>
      <c r="P5">
        <v>85</v>
      </c>
      <c r="Q5" s="1">
        <v>44013</v>
      </c>
      <c r="R5">
        <v>454</v>
      </c>
      <c r="S5">
        <v>350</v>
      </c>
      <c r="T5" s="1">
        <v>44378</v>
      </c>
      <c r="U5">
        <v>580</v>
      </c>
      <c r="V5">
        <v>95</v>
      </c>
      <c r="W5" s="1">
        <v>44743</v>
      </c>
      <c r="X5">
        <v>466</v>
      </c>
      <c r="Y5">
        <v>23</v>
      </c>
    </row>
    <row r="6" spans="1:25">
      <c r="K6" s="1">
        <v>43556</v>
      </c>
      <c r="L6">
        <v>580</v>
      </c>
      <c r="M6">
        <v>112</v>
      </c>
      <c r="N6" s="1">
        <v>43678</v>
      </c>
      <c r="O6">
        <v>583</v>
      </c>
      <c r="P6" s="12">
        <f>4649/12</f>
        <v>387.41666666666669</v>
      </c>
      <c r="Q6" s="1">
        <v>44044</v>
      </c>
      <c r="R6">
        <v>452</v>
      </c>
      <c r="S6">
        <v>301</v>
      </c>
      <c r="T6" s="1">
        <v>44409</v>
      </c>
      <c r="U6">
        <v>713</v>
      </c>
      <c r="V6">
        <v>87</v>
      </c>
      <c r="W6" s="1">
        <v>44774</v>
      </c>
      <c r="X6">
        <v>658</v>
      </c>
      <c r="Y6">
        <v>59</v>
      </c>
    </row>
    <row r="7" spans="1:25">
      <c r="N7" s="1">
        <v>43709</v>
      </c>
      <c r="O7">
        <v>384</v>
      </c>
      <c r="P7" s="12">
        <f>4649/12</f>
        <v>387.41666666666669</v>
      </c>
      <c r="Q7" s="1">
        <v>44075</v>
      </c>
      <c r="R7">
        <v>1253</v>
      </c>
      <c r="S7">
        <v>292</v>
      </c>
      <c r="T7" s="1">
        <v>44440</v>
      </c>
      <c r="U7">
        <v>692</v>
      </c>
      <c r="V7">
        <v>139</v>
      </c>
      <c r="W7" s="1">
        <v>44805</v>
      </c>
      <c r="X7">
        <v>557</v>
      </c>
      <c r="Y7">
        <v>61</v>
      </c>
    </row>
    <row r="8" spans="1:25">
      <c r="N8" s="1">
        <v>43739</v>
      </c>
      <c r="O8">
        <v>642</v>
      </c>
      <c r="P8">
        <v>298</v>
      </c>
      <c r="Q8" s="1">
        <v>44105</v>
      </c>
      <c r="R8">
        <v>706</v>
      </c>
      <c r="S8">
        <v>106</v>
      </c>
      <c r="T8" s="1">
        <v>44470</v>
      </c>
      <c r="U8">
        <v>665</v>
      </c>
      <c r="V8">
        <v>131</v>
      </c>
      <c r="W8" s="1">
        <v>44835</v>
      </c>
      <c r="X8">
        <v>551</v>
      </c>
      <c r="Y8">
        <v>58</v>
      </c>
    </row>
    <row r="9" spans="1:25">
      <c r="N9" s="1">
        <v>43770</v>
      </c>
      <c r="O9">
        <v>524</v>
      </c>
      <c r="P9">
        <v>106</v>
      </c>
      <c r="Q9" s="1">
        <v>44136</v>
      </c>
      <c r="R9">
        <v>520</v>
      </c>
      <c r="S9">
        <v>311</v>
      </c>
      <c r="T9" s="1">
        <v>44501</v>
      </c>
      <c r="U9">
        <v>478</v>
      </c>
      <c r="V9">
        <v>83</v>
      </c>
      <c r="W9" s="1">
        <v>44866</v>
      </c>
      <c r="X9">
        <v>563</v>
      </c>
      <c r="Y9">
        <v>81</v>
      </c>
    </row>
    <row r="10" spans="1:25">
      <c r="N10" s="1">
        <v>43800</v>
      </c>
      <c r="O10">
        <v>602</v>
      </c>
      <c r="P10">
        <v>121</v>
      </c>
      <c r="Q10" s="1">
        <v>44166</v>
      </c>
      <c r="R10">
        <v>689</v>
      </c>
      <c r="S10">
        <v>343</v>
      </c>
      <c r="T10" s="1">
        <v>44531</v>
      </c>
      <c r="U10">
        <v>583</v>
      </c>
      <c r="V10">
        <v>88</v>
      </c>
      <c r="W10" s="1">
        <v>44896</v>
      </c>
      <c r="X10">
        <v>628</v>
      </c>
      <c r="Y10">
        <v>2081</v>
      </c>
    </row>
    <row r="11" spans="1:25">
      <c r="N11" s="1">
        <v>43831</v>
      </c>
      <c r="O11">
        <v>356</v>
      </c>
      <c r="P11">
        <v>272</v>
      </c>
      <c r="Q11" s="1">
        <v>44197</v>
      </c>
      <c r="R11">
        <v>649</v>
      </c>
      <c r="S11">
        <v>470</v>
      </c>
      <c r="T11" s="1">
        <v>44562</v>
      </c>
      <c r="U11">
        <v>260</v>
      </c>
      <c r="V11">
        <v>15</v>
      </c>
      <c r="W11" s="1">
        <v>44927</v>
      </c>
    </row>
    <row r="12" spans="1:25">
      <c r="N12" s="1">
        <v>43862</v>
      </c>
      <c r="O12">
        <v>436</v>
      </c>
      <c r="P12">
        <v>155</v>
      </c>
      <c r="Q12" s="1">
        <v>44228</v>
      </c>
      <c r="R12">
        <v>804</v>
      </c>
      <c r="S12">
        <v>1515</v>
      </c>
      <c r="T12" s="1">
        <v>44593</v>
      </c>
      <c r="U12">
        <v>464</v>
      </c>
      <c r="V12">
        <v>73</v>
      </c>
      <c r="W12" s="1">
        <v>44958</v>
      </c>
    </row>
    <row r="13" spans="1:25">
      <c r="N13" s="1">
        <v>43891</v>
      </c>
      <c r="O13">
        <v>444</v>
      </c>
      <c r="P13">
        <v>99</v>
      </c>
      <c r="Q13" s="1">
        <v>44256</v>
      </c>
      <c r="R13">
        <v>1007</v>
      </c>
      <c r="S13">
        <v>65</v>
      </c>
      <c r="T13" s="1">
        <v>44621</v>
      </c>
      <c r="U13">
        <v>541</v>
      </c>
      <c r="V13">
        <v>39</v>
      </c>
      <c r="W13" s="1">
        <v>44986</v>
      </c>
    </row>
    <row r="14" spans="1:25">
      <c r="N14" s="1">
        <v>43922</v>
      </c>
      <c r="O14">
        <v>376</v>
      </c>
      <c r="P14">
        <v>175</v>
      </c>
      <c r="Q14" s="1">
        <v>44287</v>
      </c>
      <c r="R14">
        <v>868</v>
      </c>
      <c r="S14">
        <v>99</v>
      </c>
      <c r="T14" s="1">
        <v>44652</v>
      </c>
      <c r="U14">
        <v>442</v>
      </c>
      <c r="V14">
        <v>78</v>
      </c>
      <c r="W14" s="1">
        <v>45017</v>
      </c>
    </row>
    <row r="24" spans="11:25">
      <c r="K24" s="15" t="s">
        <v>137</v>
      </c>
      <c r="L24" t="s">
        <v>118</v>
      </c>
      <c r="M24" t="s">
        <v>119</v>
      </c>
      <c r="O24" t="s">
        <v>118</v>
      </c>
      <c r="P24" t="s">
        <v>119</v>
      </c>
      <c r="R24" t="s">
        <v>118</v>
      </c>
      <c r="S24" t="s">
        <v>119</v>
      </c>
      <c r="U24" t="s">
        <v>118</v>
      </c>
      <c r="V24" t="s">
        <v>119</v>
      </c>
      <c r="X24" t="s">
        <v>118</v>
      </c>
      <c r="Y24" t="s">
        <v>119</v>
      </c>
    </row>
    <row r="25" spans="11:25">
      <c r="K25" s="1">
        <v>43466</v>
      </c>
      <c r="L25" s="12">
        <v>17.833333333333332</v>
      </c>
      <c r="M25" s="12">
        <v>3</v>
      </c>
      <c r="N25" s="1">
        <v>43586</v>
      </c>
      <c r="O25" s="12">
        <v>19.533333333333335</v>
      </c>
      <c r="P25" s="12">
        <v>5</v>
      </c>
      <c r="Q25" s="1">
        <v>43952</v>
      </c>
      <c r="R25">
        <v>19</v>
      </c>
      <c r="S25" s="12">
        <v>25.032967032967033</v>
      </c>
      <c r="T25" s="1">
        <v>44317</v>
      </c>
      <c r="U25" s="12">
        <v>17</v>
      </c>
      <c r="V25" s="12">
        <v>3</v>
      </c>
      <c r="W25" s="1">
        <v>44682</v>
      </c>
      <c r="X25" s="12">
        <v>18</v>
      </c>
      <c r="Y25" s="12">
        <v>1</v>
      </c>
    </row>
    <row r="26" spans="11:25">
      <c r="K26" s="1">
        <v>43497</v>
      </c>
      <c r="L26" s="12">
        <v>17.035714285714285</v>
      </c>
      <c r="M26" s="12">
        <v>4</v>
      </c>
      <c r="N26" s="1">
        <v>43617</v>
      </c>
      <c r="O26" s="12">
        <v>20.607142857142858</v>
      </c>
      <c r="P26" s="12">
        <v>4</v>
      </c>
      <c r="Q26" s="1">
        <v>43983</v>
      </c>
      <c r="R26">
        <v>14</v>
      </c>
      <c r="S26" s="12">
        <v>8.5555555555555554</v>
      </c>
      <c r="T26" s="1">
        <v>44348</v>
      </c>
      <c r="U26" s="12">
        <v>18</v>
      </c>
      <c r="V26" s="12">
        <v>1</v>
      </c>
      <c r="W26" s="1">
        <v>44713</v>
      </c>
      <c r="X26" s="12">
        <v>18</v>
      </c>
      <c r="Y26" s="12">
        <v>2</v>
      </c>
    </row>
    <row r="27" spans="11:25">
      <c r="K27" s="1">
        <v>43525</v>
      </c>
      <c r="L27" s="12">
        <v>17.161290322580644</v>
      </c>
      <c r="M27" s="12">
        <v>5</v>
      </c>
      <c r="N27" s="1">
        <v>43647</v>
      </c>
      <c r="O27" s="12">
        <v>20.058823529411764</v>
      </c>
      <c r="P27" s="12">
        <v>3</v>
      </c>
      <c r="Q27" s="1">
        <v>44013</v>
      </c>
      <c r="R27" s="12">
        <v>14.64516129032258</v>
      </c>
      <c r="S27" s="12">
        <v>8.9743589743589745</v>
      </c>
      <c r="T27" s="1">
        <v>44378</v>
      </c>
      <c r="U27" s="12">
        <v>21</v>
      </c>
      <c r="V27" s="12">
        <v>3</v>
      </c>
      <c r="W27" s="1">
        <v>44743</v>
      </c>
      <c r="X27" s="12">
        <v>17</v>
      </c>
      <c r="Y27" s="12">
        <v>1</v>
      </c>
    </row>
    <row r="28" spans="11:25">
      <c r="K28" s="1">
        <v>43556</v>
      </c>
      <c r="L28" s="12">
        <v>18.70967741935484</v>
      </c>
      <c r="M28" s="12">
        <v>4</v>
      </c>
      <c r="N28" s="1">
        <v>43678</v>
      </c>
      <c r="O28" s="12">
        <v>17.147058823529413</v>
      </c>
      <c r="P28" s="12">
        <v>5</v>
      </c>
      <c r="Q28" s="1">
        <v>44044</v>
      </c>
      <c r="R28">
        <v>15</v>
      </c>
      <c r="S28" s="12">
        <v>10</v>
      </c>
      <c r="T28" s="1">
        <v>44409</v>
      </c>
      <c r="U28" s="12">
        <v>20</v>
      </c>
      <c r="V28" s="12">
        <v>3</v>
      </c>
      <c r="W28" s="1">
        <v>44774</v>
      </c>
      <c r="X28" s="12">
        <v>19</v>
      </c>
      <c r="Y28" s="12">
        <v>2</v>
      </c>
    </row>
    <row r="29" spans="11:25">
      <c r="N29" s="1">
        <v>43709</v>
      </c>
      <c r="O29" s="12">
        <v>17</v>
      </c>
      <c r="P29" s="12">
        <v>5</v>
      </c>
      <c r="Q29" s="1">
        <v>44075</v>
      </c>
      <c r="R29">
        <v>42</v>
      </c>
      <c r="S29" s="12">
        <v>10</v>
      </c>
      <c r="T29" s="1">
        <v>44440</v>
      </c>
      <c r="U29" s="12">
        <v>26</v>
      </c>
      <c r="V29" s="12">
        <v>4</v>
      </c>
      <c r="W29" s="1">
        <v>44805</v>
      </c>
      <c r="X29" s="12">
        <v>19</v>
      </c>
      <c r="Y29" s="12">
        <v>2</v>
      </c>
    </row>
    <row r="30" spans="11:25">
      <c r="N30" s="1">
        <v>43739</v>
      </c>
      <c r="O30" s="12">
        <v>19</v>
      </c>
      <c r="P30" s="12">
        <v>3</v>
      </c>
      <c r="Q30" s="1">
        <v>44105</v>
      </c>
      <c r="R30">
        <v>23</v>
      </c>
      <c r="S30" s="12">
        <v>10</v>
      </c>
      <c r="T30" s="1">
        <v>44470</v>
      </c>
      <c r="U30" s="12">
        <v>24</v>
      </c>
      <c r="V30" s="12">
        <v>4</v>
      </c>
      <c r="W30" s="1">
        <v>44835</v>
      </c>
      <c r="X30" s="12">
        <v>19</v>
      </c>
      <c r="Y30" s="12">
        <v>2</v>
      </c>
    </row>
    <row r="31" spans="11:25">
      <c r="N31" s="1">
        <v>43770</v>
      </c>
      <c r="O31" s="12">
        <v>18</v>
      </c>
      <c r="P31" s="12">
        <v>1</v>
      </c>
      <c r="Q31" s="1">
        <v>44136</v>
      </c>
      <c r="R31">
        <v>21</v>
      </c>
      <c r="S31" s="12">
        <v>10</v>
      </c>
      <c r="T31" s="1">
        <v>44501</v>
      </c>
      <c r="U31" s="12">
        <v>14</v>
      </c>
      <c r="V31" s="12">
        <v>3</v>
      </c>
      <c r="W31" s="1">
        <v>44866</v>
      </c>
      <c r="X31" s="12">
        <v>16</v>
      </c>
      <c r="Y31" s="12">
        <v>3</v>
      </c>
    </row>
    <row r="32" spans="11:25">
      <c r="N32" s="1">
        <v>43800</v>
      </c>
      <c r="O32" s="12">
        <v>21</v>
      </c>
      <c r="P32" s="12">
        <v>4</v>
      </c>
      <c r="Q32" s="1">
        <v>44166</v>
      </c>
      <c r="R32">
        <v>13</v>
      </c>
      <c r="S32" s="12">
        <v>13</v>
      </c>
      <c r="T32" s="1">
        <v>44531</v>
      </c>
      <c r="U32" s="12">
        <v>18</v>
      </c>
      <c r="V32" s="12">
        <v>3</v>
      </c>
      <c r="W32" s="1">
        <v>44896</v>
      </c>
      <c r="X32" s="12">
        <v>17</v>
      </c>
      <c r="Y32" s="12">
        <v>25</v>
      </c>
    </row>
    <row r="33" spans="14:23">
      <c r="N33" s="1">
        <v>43831</v>
      </c>
      <c r="O33">
        <v>15</v>
      </c>
      <c r="P33">
        <v>3</v>
      </c>
      <c r="Q33" s="1">
        <v>44197</v>
      </c>
      <c r="R33" s="12">
        <v>30.904761904761905</v>
      </c>
      <c r="S33" s="12">
        <v>12.702702702702704</v>
      </c>
      <c r="T33" s="1">
        <v>44562</v>
      </c>
      <c r="U33">
        <v>10</v>
      </c>
      <c r="V33">
        <v>0</v>
      </c>
      <c r="W33" s="1">
        <v>44927</v>
      </c>
    </row>
    <row r="34" spans="14:23">
      <c r="N34" s="1">
        <v>43862</v>
      </c>
      <c r="O34" s="12">
        <v>14.533333333333333</v>
      </c>
      <c r="P34" s="12">
        <v>4.1891891891891895</v>
      </c>
      <c r="Q34" s="1">
        <v>44228</v>
      </c>
      <c r="R34" s="12">
        <v>25.93548387096774</v>
      </c>
      <c r="S34" s="12">
        <v>3.0421686746987953</v>
      </c>
      <c r="T34" s="1">
        <v>44593</v>
      </c>
      <c r="U34">
        <v>16</v>
      </c>
      <c r="V34">
        <v>2</v>
      </c>
      <c r="W34" s="1">
        <v>44958</v>
      </c>
    </row>
    <row r="35" spans="14:23">
      <c r="N35" s="1">
        <v>43891</v>
      </c>
      <c r="O35">
        <v>18</v>
      </c>
      <c r="P35">
        <v>4</v>
      </c>
      <c r="Q35" s="1">
        <v>44256</v>
      </c>
      <c r="R35" s="12">
        <v>27.972222222222221</v>
      </c>
      <c r="S35" s="12">
        <v>3.0952380952380953</v>
      </c>
      <c r="T35" s="1">
        <v>44621</v>
      </c>
      <c r="U35">
        <v>16</v>
      </c>
      <c r="V35">
        <v>1</v>
      </c>
      <c r="W35" s="1">
        <v>44986</v>
      </c>
    </row>
    <row r="36" spans="14:23">
      <c r="N36" s="1">
        <v>43922</v>
      </c>
      <c r="O36">
        <v>11</v>
      </c>
      <c r="P36">
        <v>3</v>
      </c>
      <c r="Q36" s="1">
        <v>44287</v>
      </c>
      <c r="R36" s="12">
        <v>37.739130434782609</v>
      </c>
      <c r="S36" s="12">
        <v>2.9117647058823528</v>
      </c>
      <c r="T36" s="1">
        <v>44652</v>
      </c>
      <c r="U36">
        <v>16</v>
      </c>
      <c r="V36">
        <v>3</v>
      </c>
      <c r="W36" s="1">
        <v>45017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06E9-B9CA-405B-BD7A-3E2E9E3C1D74}">
  <dimension ref="A1:X15"/>
  <sheetViews>
    <sheetView workbookViewId="0">
      <selection activeCell="X23" sqref="X23"/>
    </sheetView>
  </sheetViews>
  <sheetFormatPr defaultRowHeight="15"/>
  <cols>
    <col min="11" max="12" width="9.140625" hidden="1" customWidth="1"/>
    <col min="14" max="15" width="9.140625" hidden="1" customWidth="1"/>
    <col min="17" max="18" width="9.140625" hidden="1" customWidth="1"/>
    <col min="20" max="21" width="0" hidden="1" customWidth="1"/>
  </cols>
  <sheetData>
    <row r="1" spans="1:24" ht="18.75">
      <c r="A1" s="6" t="s">
        <v>138</v>
      </c>
    </row>
    <row r="3" spans="1:24">
      <c r="K3" t="s">
        <v>118</v>
      </c>
      <c r="L3" t="s">
        <v>119</v>
      </c>
      <c r="N3" t="s">
        <v>118</v>
      </c>
      <c r="O3" t="s">
        <v>119</v>
      </c>
      <c r="Q3" t="s">
        <v>118</v>
      </c>
      <c r="R3" t="s">
        <v>119</v>
      </c>
      <c r="T3" t="s">
        <v>118</v>
      </c>
      <c r="U3" t="s">
        <v>119</v>
      </c>
      <c r="W3" t="s">
        <v>118</v>
      </c>
      <c r="X3" t="s">
        <v>119</v>
      </c>
    </row>
    <row r="4" spans="1:24">
      <c r="J4" s="1">
        <v>43466</v>
      </c>
      <c r="K4" s="8">
        <v>36.177453271028007</v>
      </c>
      <c r="L4" s="8">
        <v>9.5219999999999985</v>
      </c>
      <c r="M4" s="1">
        <v>43586</v>
      </c>
      <c r="N4" s="8">
        <v>26.4231228668942</v>
      </c>
      <c r="O4" s="8">
        <v>9.5219999999999985</v>
      </c>
      <c r="P4" s="1">
        <v>43952</v>
      </c>
      <c r="Q4" s="13">
        <v>15.35</v>
      </c>
      <c r="R4" s="13">
        <v>12.637157155399475</v>
      </c>
      <c r="S4" s="1">
        <v>44317</v>
      </c>
      <c r="T4" s="16">
        <v>11.590287234042552</v>
      </c>
      <c r="U4" s="16">
        <v>21.843162162162159</v>
      </c>
      <c r="V4" s="1">
        <v>44682</v>
      </c>
      <c r="W4" s="16">
        <v>17.779420475319924</v>
      </c>
      <c r="X4" s="16">
        <v>0</v>
      </c>
    </row>
    <row r="5" spans="1:24">
      <c r="J5" s="1">
        <v>43497</v>
      </c>
      <c r="K5" s="8">
        <v>32.461111111111087</v>
      </c>
      <c r="L5" s="8">
        <v>9.5220000000000002</v>
      </c>
      <c r="M5" s="1">
        <v>43617</v>
      </c>
      <c r="N5" s="8">
        <v>26.835268630849221</v>
      </c>
      <c r="O5" s="8">
        <v>9.5220000000000002</v>
      </c>
      <c r="P5" s="1">
        <v>43983</v>
      </c>
      <c r="Q5" s="13">
        <v>14.794122947368422</v>
      </c>
      <c r="R5" s="13">
        <v>15.721097402597403</v>
      </c>
      <c r="S5" s="1">
        <v>44348</v>
      </c>
      <c r="T5" s="16">
        <v>14.533048128342246</v>
      </c>
      <c r="U5" s="16">
        <v>46.651459459459453</v>
      </c>
      <c r="V5" s="1">
        <v>44713</v>
      </c>
      <c r="W5" s="16">
        <v>12.167847098214285</v>
      </c>
      <c r="X5" s="16">
        <v>0</v>
      </c>
    </row>
    <row r="6" spans="1:24">
      <c r="J6" s="1">
        <v>43525</v>
      </c>
      <c r="K6" s="8">
        <v>29.105169172932307</v>
      </c>
      <c r="L6" s="8">
        <v>9.5220000000000002</v>
      </c>
      <c r="M6" s="1">
        <v>43647</v>
      </c>
      <c r="N6" s="8">
        <v>22.703739002932551</v>
      </c>
      <c r="O6" s="8">
        <v>10.199694117647057</v>
      </c>
      <c r="P6" s="1">
        <v>44013</v>
      </c>
      <c r="Q6" s="13">
        <v>10.52353240751445</v>
      </c>
      <c r="R6" s="13">
        <v>4.8869414285714274</v>
      </c>
      <c r="S6" s="1">
        <v>44378</v>
      </c>
      <c r="T6" s="16">
        <v>16.698673535791755</v>
      </c>
      <c r="U6" s="16">
        <v>18.169515789473682</v>
      </c>
      <c r="V6" s="1">
        <v>44743</v>
      </c>
      <c r="W6" s="16">
        <v>11.757476510067113</v>
      </c>
      <c r="X6" s="16">
        <v>0</v>
      </c>
    </row>
    <row r="7" spans="1:24">
      <c r="J7" s="1">
        <v>43556</v>
      </c>
      <c r="K7" s="8">
        <v>26.696465517241357</v>
      </c>
      <c r="L7" s="8">
        <v>9.5220000000000002</v>
      </c>
      <c r="M7" s="1">
        <v>43678</v>
      </c>
      <c r="N7" s="8">
        <v>14.432092624356775</v>
      </c>
      <c r="O7" s="8">
        <v>15.982127339212735</v>
      </c>
      <c r="P7" s="1">
        <v>44044</v>
      </c>
      <c r="Q7" s="13">
        <v>10.139917867435159</v>
      </c>
      <c r="R7" s="13">
        <v>5.37</v>
      </c>
      <c r="S7" s="1">
        <v>44409</v>
      </c>
      <c r="T7" s="16">
        <v>18.158684000000001</v>
      </c>
      <c r="U7" s="16">
        <v>19.840275862068964</v>
      </c>
      <c r="V7" s="1">
        <v>44774</v>
      </c>
      <c r="W7" s="16">
        <v>14.993972881355932</v>
      </c>
      <c r="X7" s="16">
        <v>0</v>
      </c>
    </row>
    <row r="8" spans="1:24">
      <c r="M8" s="1">
        <v>43709</v>
      </c>
      <c r="N8" s="8">
        <v>16.695652173913043</v>
      </c>
      <c r="O8" s="8">
        <v>5.5306375838926174</v>
      </c>
      <c r="P8" s="1">
        <v>44075</v>
      </c>
      <c r="Q8" s="13">
        <v>17.586209134615384</v>
      </c>
      <c r="R8" s="13">
        <v>5.54</v>
      </c>
      <c r="S8" s="1">
        <v>44440</v>
      </c>
      <c r="T8" s="16">
        <v>17.635386904761905</v>
      </c>
      <c r="U8" s="16">
        <v>12.418014388489206</v>
      </c>
      <c r="V8" s="1">
        <v>44805</v>
      </c>
      <c r="W8" s="16">
        <v>12.395724798387096</v>
      </c>
      <c r="X8" s="16">
        <v>0</v>
      </c>
    </row>
    <row r="9" spans="1:24">
      <c r="M9" s="1">
        <v>43739</v>
      </c>
      <c r="N9" s="8">
        <v>16.867793451713396</v>
      </c>
      <c r="O9" s="8">
        <v>5.5306375838926174</v>
      </c>
      <c r="P9" s="1">
        <v>44105</v>
      </c>
      <c r="Q9" s="13">
        <v>8.31</v>
      </c>
      <c r="R9" s="13">
        <v>15.25</v>
      </c>
      <c r="S9" s="1">
        <v>44470</v>
      </c>
      <c r="T9" s="16">
        <v>13.718177499999998</v>
      </c>
      <c r="U9" s="16">
        <v>13.18</v>
      </c>
      <c r="V9" s="1">
        <v>44835</v>
      </c>
      <c r="W9" s="16">
        <v>11.975984999999998</v>
      </c>
      <c r="X9" s="16">
        <v>0</v>
      </c>
    </row>
    <row r="10" spans="1:24">
      <c r="M10" s="1">
        <v>43770</v>
      </c>
      <c r="N10" s="8">
        <v>16.920000000000002</v>
      </c>
      <c r="O10" s="8">
        <v>15.548396226415095</v>
      </c>
      <c r="P10" s="1">
        <v>44136</v>
      </c>
      <c r="Q10" s="13">
        <v>10.320857954545454</v>
      </c>
      <c r="R10" s="13">
        <v>5.2</v>
      </c>
      <c r="S10" s="1">
        <v>44501</v>
      </c>
      <c r="T10" s="16">
        <v>22.259008883248729</v>
      </c>
      <c r="U10" s="16">
        <v>0</v>
      </c>
      <c r="V10" s="1">
        <v>44866</v>
      </c>
      <c r="W10" s="16">
        <v>21.667901923076922</v>
      </c>
      <c r="X10" s="16">
        <v>0</v>
      </c>
    </row>
    <row r="11" spans="1:24">
      <c r="M11" s="1">
        <v>43800</v>
      </c>
      <c r="N11">
        <v>11.812677740863785</v>
      </c>
      <c r="O11" s="8">
        <v>13.620909090909091</v>
      </c>
      <c r="P11" s="1">
        <v>44166</v>
      </c>
      <c r="Q11" s="13">
        <v>13.406545492619925</v>
      </c>
      <c r="R11" s="13">
        <v>8.5836938775510188</v>
      </c>
      <c r="S11" s="1">
        <v>44531</v>
      </c>
      <c r="T11" s="16">
        <v>11.397761425959779</v>
      </c>
      <c r="U11" s="16">
        <v>0</v>
      </c>
      <c r="V11" s="1">
        <v>44896</v>
      </c>
      <c r="W11" s="16">
        <v>18.020163511187608</v>
      </c>
      <c r="X11" s="16">
        <v>15.13</v>
      </c>
    </row>
    <row r="12" spans="1:24">
      <c r="M12" s="1">
        <v>43831</v>
      </c>
      <c r="N12" s="13">
        <v>11.477226123595504</v>
      </c>
      <c r="O12" s="13">
        <v>5.34</v>
      </c>
      <c r="P12" s="1">
        <v>44197</v>
      </c>
      <c r="Q12" s="16">
        <v>14.256737588652481</v>
      </c>
      <c r="R12" s="16">
        <v>7.3105744680851048</v>
      </c>
      <c r="S12" s="1">
        <v>44562</v>
      </c>
      <c r="T12" s="16">
        <v>26.72901732673267</v>
      </c>
      <c r="U12" s="16">
        <v>0</v>
      </c>
      <c r="V12" s="1">
        <v>44927</v>
      </c>
      <c r="W12" s="16"/>
      <c r="X12" s="16"/>
    </row>
    <row r="13" spans="1:24">
      <c r="M13" s="1">
        <v>43862</v>
      </c>
      <c r="N13" s="13">
        <v>12.614102064220182</v>
      </c>
      <c r="O13" s="13">
        <v>20.248458064516125</v>
      </c>
      <c r="P13" s="1">
        <v>44228</v>
      </c>
      <c r="Q13" s="16">
        <v>14.665421</v>
      </c>
      <c r="R13" s="16">
        <v>6.218964686468647</v>
      </c>
      <c r="S13" s="1">
        <v>44593</v>
      </c>
      <c r="T13" s="16">
        <v>15.14</v>
      </c>
      <c r="U13" s="16">
        <v>0</v>
      </c>
      <c r="V13" s="1">
        <v>44958</v>
      </c>
      <c r="W13" s="16"/>
      <c r="X13" s="16"/>
    </row>
    <row r="14" spans="1:24">
      <c r="M14" s="1">
        <v>43891</v>
      </c>
      <c r="N14" s="13">
        <v>11.95976689189189</v>
      </c>
      <c r="O14" s="13">
        <v>25.797287878787877</v>
      </c>
      <c r="P14" s="1">
        <v>44256</v>
      </c>
      <c r="Q14" s="16">
        <v>18.040231369150778</v>
      </c>
      <c r="R14" s="16">
        <v>24.867599999999996</v>
      </c>
      <c r="S14" s="1">
        <v>44621</v>
      </c>
      <c r="T14" s="16">
        <v>14.423607558139535</v>
      </c>
      <c r="U14" s="16">
        <v>0</v>
      </c>
      <c r="V14" s="1">
        <v>44986</v>
      </c>
      <c r="W14" s="16"/>
      <c r="X14" s="16"/>
    </row>
    <row r="15" spans="1:24">
      <c r="M15" s="1">
        <v>43922</v>
      </c>
      <c r="N15" s="13">
        <v>15.04</v>
      </c>
      <c r="O15" s="13">
        <v>17.77</v>
      </c>
      <c r="P15" s="1">
        <v>44287</v>
      </c>
      <c r="Q15" s="16">
        <v>11.149035904255317</v>
      </c>
      <c r="R15" s="16">
        <v>16.327212121212121</v>
      </c>
      <c r="S15" s="1">
        <v>44652</v>
      </c>
      <c r="T15" s="16">
        <v>12.17</v>
      </c>
      <c r="U15" s="16">
        <v>0</v>
      </c>
      <c r="V15" s="1">
        <v>45017</v>
      </c>
      <c r="W15" s="16"/>
      <c r="X15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51AC03-12CC-4FA6-8097-3170F703536B}"/>
</file>

<file path=customXml/itemProps2.xml><?xml version="1.0" encoding="utf-8"?>
<ds:datastoreItem xmlns:ds="http://schemas.openxmlformats.org/officeDocument/2006/customXml" ds:itemID="{EFE7C3B2-5623-4166-9CA6-AB01B33E6A89}"/>
</file>

<file path=customXml/itemProps3.xml><?xml version="1.0" encoding="utf-8"?>
<ds:datastoreItem xmlns:ds="http://schemas.openxmlformats.org/officeDocument/2006/customXml" ds:itemID="{148E0250-2DA9-47B4-AF37-C005706C2C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2019-06-04T11:55:04Z</dcterms:created>
  <dcterms:modified xsi:type="dcterms:W3CDTF">2023-01-20T10:39:50Z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