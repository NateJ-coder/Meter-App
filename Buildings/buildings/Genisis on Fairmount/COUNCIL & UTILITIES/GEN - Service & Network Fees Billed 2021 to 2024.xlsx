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GEN - Genesis on Fairmount/COUNCIL &amp; UTILITIES/"/>
    </mc:Choice>
  </mc:AlternateContent>
  <xr:revisionPtr revIDLastSave="0" documentId="8_{EA66A66D-DFDF-4FA3-8BE1-FD22A48BD02D}" xr6:coauthVersionLast="47" xr6:coauthVersionMax="47" xr10:uidLastSave="{00000000-0000-0000-0000-000000000000}"/>
  <bookViews>
    <workbookView xWindow="-28920" yWindow="-3360" windowWidth="29040" windowHeight="15840" xr2:uid="{D04E8614-6E10-44C8-94C1-B7B44E25A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D52" i="1"/>
  <c r="C52" i="1"/>
  <c r="B52" i="1"/>
  <c r="D38" i="1"/>
  <c r="E38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B45" i="1"/>
  <c r="B44" i="1"/>
  <c r="B43" i="1"/>
  <c r="B42" i="1"/>
  <c r="B41" i="1"/>
  <c r="E46" i="1"/>
  <c r="D46" i="1"/>
  <c r="C46" i="1"/>
  <c r="B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C38" i="1"/>
  <c r="E37" i="1"/>
  <c r="D37" i="1"/>
  <c r="C37" i="1"/>
  <c r="C36" i="1"/>
  <c r="E36" i="1"/>
  <c r="D36" i="1"/>
  <c r="B36" i="1"/>
  <c r="E35" i="1"/>
  <c r="D35" i="1"/>
  <c r="B40" i="1"/>
  <c r="B33" i="1"/>
  <c r="C33" i="1"/>
  <c r="B34" i="1"/>
  <c r="C34" i="1"/>
  <c r="B35" i="1"/>
  <c r="C35" i="1"/>
  <c r="B37" i="1"/>
  <c r="C32" i="1"/>
  <c r="B27" i="1"/>
  <c r="C27" i="1"/>
  <c r="B28" i="1"/>
  <c r="C28" i="1"/>
  <c r="B29" i="1"/>
  <c r="C29" i="1"/>
  <c r="B30" i="1"/>
  <c r="C30" i="1"/>
  <c r="B31" i="1"/>
  <c r="C31" i="1"/>
  <c r="B32" i="1"/>
  <c r="B26" i="1"/>
  <c r="B38" i="1" s="1"/>
  <c r="C26" i="1"/>
  <c r="B21" i="1"/>
  <c r="C21" i="1"/>
  <c r="B22" i="1"/>
  <c r="C22" i="1"/>
  <c r="B23" i="1"/>
  <c r="C23" i="1"/>
  <c r="C20" i="1"/>
  <c r="B20" i="1"/>
  <c r="B19" i="1"/>
  <c r="C19" i="1"/>
  <c r="B18" i="1"/>
  <c r="C18" i="1"/>
  <c r="B13" i="1"/>
  <c r="C13" i="1"/>
  <c r="B14" i="1"/>
  <c r="C14" i="1"/>
  <c r="B15" i="1"/>
  <c r="C15" i="1"/>
  <c r="B16" i="1"/>
  <c r="C16" i="1"/>
  <c r="B17" i="1"/>
  <c r="C17" i="1"/>
  <c r="C12" i="1"/>
  <c r="C24" i="1" s="1"/>
  <c r="B12" i="1"/>
  <c r="B24" i="1" s="1"/>
  <c r="B8" i="1"/>
  <c r="C8" i="1"/>
  <c r="B9" i="1"/>
  <c r="C9" i="1"/>
  <c r="B7" i="1"/>
  <c r="C7" i="1"/>
  <c r="B6" i="1"/>
  <c r="C6" i="1"/>
  <c r="C5" i="1"/>
  <c r="C10" i="1" s="1"/>
  <c r="B5" i="1"/>
  <c r="B10" i="1" s="1"/>
</calcChain>
</file>

<file path=xl/sharedStrings.xml><?xml version="1.0" encoding="utf-8"?>
<sst xmlns="http://schemas.openxmlformats.org/spreadsheetml/2006/main" count="12" uniqueCount="10">
  <si>
    <t>Genesis on Fairmount - Service / Network Fee Billed to owners</t>
  </si>
  <si>
    <t>Month</t>
  </si>
  <si>
    <t>TOTAL 2021</t>
  </si>
  <si>
    <t>TOTAL 2022</t>
  </si>
  <si>
    <t>TOTAL 2023</t>
  </si>
  <si>
    <t>TOTAL 2024</t>
  </si>
  <si>
    <t>Alan Total p/m</t>
  </si>
  <si>
    <t>BC Total p/m</t>
  </si>
  <si>
    <t>SERVICE FEE</t>
  </si>
  <si>
    <t>NETWORK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</si>
</sst>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436]* #,##0.00_-;\-[$R-436]* #,##0.00_-;_-[$R-436]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17" fontId="1" fillId="0" borderId="0" xfId="0" applyNumberFormat="1" applyFont="1"/>
    <xf numFmtId="0" fontId="4" fillId="0" borderId="0" xfId="0" applyFont="1"/>
    <xf numFmtId="164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2D6C-C327-4DBB-B91D-DD720DB45B11}">
  <dimension ref="A1:E54"/>
  <sheetViews>
    <sheetView tabSelected="1" topLeftCell="A21" workbookViewId="0">
      <selection activeCell="H18" sqref="H18"/>
    </sheetView>
  </sheetViews>
  <sheetFormatPr defaultRowHeight="15" x14ac:dyDescent="0.25"/>
  <cols>
    <col min="1" max="1" width="12.140625" style="3" customWidth="1"/>
    <col min="2" max="2" width="14.140625" bestFit="1" customWidth="1"/>
    <col min="3" max="3" width="12.85546875" bestFit="1" customWidth="1"/>
    <col min="4" max="4" width="14.140625" bestFit="1" customWidth="1"/>
    <col min="5" max="5" width="12.28515625" bestFit="1" customWidth="1"/>
  </cols>
  <sheetData>
    <row r="1" spans="1:5" ht="18.75" x14ac:dyDescent="0.3">
      <c r="A1" s="5" t="s">
        <v>0</v>
      </c>
    </row>
    <row r="3" spans="1:5" x14ac:dyDescent="0.25">
      <c r="B3" s="1" t="s">
        <v>8</v>
      </c>
      <c r="C3" s="1"/>
      <c r="D3" s="2" t="s">
        <v>9</v>
      </c>
      <c r="E3" s="2"/>
    </row>
    <row r="4" spans="1:5" x14ac:dyDescent="0.25">
      <c r="A4" s="7" t="s">
        <v>1</v>
      </c>
      <c r="B4" s="7" t="s">
        <v>6</v>
      </c>
      <c r="C4" s="7" t="s">
        <v>7</v>
      </c>
      <c r="D4" s="7" t="s">
        <v>6</v>
      </c>
      <c r="E4" s="7" t="s">
        <v>7</v>
      </c>
    </row>
    <row r="5" spans="1:5" x14ac:dyDescent="0.25">
      <c r="A5" s="8">
        <v>44409</v>
      </c>
      <c r="B5" s="9">
        <f>(103.67*1.15)*63</f>
        <v>7510.8914999999988</v>
      </c>
      <c r="C5" s="9">
        <f>(103.67*1.15)*63</f>
        <v>7510.8914999999988</v>
      </c>
      <c r="D5" s="9">
        <v>0</v>
      </c>
      <c r="E5" s="9">
        <v>0</v>
      </c>
    </row>
    <row r="6" spans="1:5" x14ac:dyDescent="0.25">
      <c r="A6" s="8">
        <v>44440</v>
      </c>
      <c r="B6" s="9">
        <f>(103.67*1.15)*63</f>
        <v>7510.8914999999988</v>
      </c>
      <c r="C6" s="9">
        <f>(103.67*1.15)*63</f>
        <v>7510.8914999999988</v>
      </c>
      <c r="D6" s="9">
        <v>0</v>
      </c>
      <c r="E6" s="9">
        <v>0</v>
      </c>
    </row>
    <row r="7" spans="1:5" x14ac:dyDescent="0.25">
      <c r="A7" s="8">
        <v>44470</v>
      </c>
      <c r="B7" s="9">
        <f>(103.67*1.15)*63</f>
        <v>7510.8914999999988</v>
      </c>
      <c r="C7" s="9">
        <f>(103.67*1.15)*63</f>
        <v>7510.8914999999988</v>
      </c>
      <c r="D7" s="9">
        <v>0</v>
      </c>
      <c r="E7" s="9">
        <v>0</v>
      </c>
    </row>
    <row r="8" spans="1:5" x14ac:dyDescent="0.25">
      <c r="A8" s="8">
        <v>44501</v>
      </c>
      <c r="B8" s="9">
        <f>(103.67*1.15)*63</f>
        <v>7510.8914999999988</v>
      </c>
      <c r="C8" s="9">
        <f>(103.67*1.15)*63</f>
        <v>7510.8914999999988</v>
      </c>
      <c r="D8" s="9">
        <v>0</v>
      </c>
      <c r="E8" s="9">
        <v>0</v>
      </c>
    </row>
    <row r="9" spans="1:5" x14ac:dyDescent="0.25">
      <c r="A9" s="8">
        <v>44531</v>
      </c>
      <c r="B9" s="9">
        <f>(103.67*1.15)*63</f>
        <v>7510.8914999999988</v>
      </c>
      <c r="C9" s="9">
        <f>(103.67*1.15)*63</f>
        <v>7510.8914999999988</v>
      </c>
      <c r="D9" s="9">
        <v>0</v>
      </c>
      <c r="E9" s="9">
        <v>0</v>
      </c>
    </row>
    <row r="10" spans="1:5" x14ac:dyDescent="0.25">
      <c r="A10" s="10" t="s">
        <v>2</v>
      </c>
      <c r="B10" s="11">
        <f t="shared" ref="B10:C10" si="0">SUM(B5:B9)</f>
        <v>37554.457499999997</v>
      </c>
      <c r="C10" s="11">
        <f t="shared" si="0"/>
        <v>37554.457499999997</v>
      </c>
      <c r="D10" s="11">
        <v>0</v>
      </c>
      <c r="E10" s="11">
        <v>0</v>
      </c>
    </row>
    <row r="11" spans="1:5" x14ac:dyDescent="0.25">
      <c r="B11" s="6"/>
      <c r="C11" s="6"/>
      <c r="D11" s="6"/>
      <c r="E11" s="6"/>
    </row>
    <row r="12" spans="1:5" x14ac:dyDescent="0.25">
      <c r="A12" s="8">
        <v>44562</v>
      </c>
      <c r="B12" s="9">
        <f>(103.67*1.15)*63</f>
        <v>7510.8914999999988</v>
      </c>
      <c r="C12" s="9">
        <f>(103.67*1.15)*63</f>
        <v>7510.8914999999988</v>
      </c>
      <c r="D12" s="9">
        <v>0</v>
      </c>
      <c r="E12" s="9">
        <v>0</v>
      </c>
    </row>
    <row r="13" spans="1:5" x14ac:dyDescent="0.25">
      <c r="A13" s="8">
        <v>44593</v>
      </c>
      <c r="B13" s="9">
        <f t="shared" ref="B13:C19" si="1">(103.67*1.15)*63</f>
        <v>7510.8914999999988</v>
      </c>
      <c r="C13" s="9">
        <f t="shared" si="1"/>
        <v>7510.8914999999988</v>
      </c>
      <c r="D13" s="9">
        <v>0</v>
      </c>
      <c r="E13" s="9">
        <v>0</v>
      </c>
    </row>
    <row r="14" spans="1:5" x14ac:dyDescent="0.25">
      <c r="A14" s="8">
        <v>44621</v>
      </c>
      <c r="B14" s="9">
        <f t="shared" si="1"/>
        <v>7510.8914999999988</v>
      </c>
      <c r="C14" s="9">
        <f t="shared" si="1"/>
        <v>7510.8914999999988</v>
      </c>
      <c r="D14" s="9">
        <v>0</v>
      </c>
      <c r="E14" s="9">
        <v>0</v>
      </c>
    </row>
    <row r="15" spans="1:5" x14ac:dyDescent="0.25">
      <c r="A15" s="8">
        <v>44652</v>
      </c>
      <c r="B15" s="9">
        <f t="shared" si="1"/>
        <v>7510.8914999999988</v>
      </c>
      <c r="C15" s="9">
        <f t="shared" si="1"/>
        <v>7510.8914999999988</v>
      </c>
      <c r="D15" s="9">
        <v>0</v>
      </c>
      <c r="E15" s="9">
        <v>0</v>
      </c>
    </row>
    <row r="16" spans="1:5" x14ac:dyDescent="0.25">
      <c r="A16" s="8">
        <v>44682</v>
      </c>
      <c r="B16" s="9">
        <f t="shared" si="1"/>
        <v>7510.8914999999988</v>
      </c>
      <c r="C16" s="9">
        <f t="shared" si="1"/>
        <v>7510.8914999999988</v>
      </c>
      <c r="D16" s="9">
        <v>0</v>
      </c>
      <c r="E16" s="9">
        <v>0</v>
      </c>
    </row>
    <row r="17" spans="1:5" x14ac:dyDescent="0.25">
      <c r="A17" s="8">
        <v>44713</v>
      </c>
      <c r="B17" s="9">
        <f t="shared" si="1"/>
        <v>7510.8914999999988</v>
      </c>
      <c r="C17" s="9">
        <f t="shared" si="1"/>
        <v>7510.8914999999988</v>
      </c>
      <c r="D17" s="9">
        <v>0</v>
      </c>
      <c r="E17" s="9">
        <v>0</v>
      </c>
    </row>
    <row r="18" spans="1:5" x14ac:dyDescent="0.25">
      <c r="A18" s="8">
        <v>44743</v>
      </c>
      <c r="B18" s="9">
        <f t="shared" si="1"/>
        <v>7510.8914999999988</v>
      </c>
      <c r="C18" s="9">
        <f t="shared" si="1"/>
        <v>7510.8914999999988</v>
      </c>
      <c r="D18" s="9">
        <v>0</v>
      </c>
      <c r="E18" s="9">
        <v>0</v>
      </c>
    </row>
    <row r="19" spans="1:5" x14ac:dyDescent="0.25">
      <c r="A19" s="8">
        <v>44774</v>
      </c>
      <c r="B19" s="9">
        <f t="shared" si="1"/>
        <v>7510.8914999999988</v>
      </c>
      <c r="C19" s="9">
        <f t="shared" si="1"/>
        <v>7510.8914999999988</v>
      </c>
      <c r="D19" s="9">
        <v>0</v>
      </c>
      <c r="E19" s="9">
        <v>0</v>
      </c>
    </row>
    <row r="20" spans="1:5" x14ac:dyDescent="0.25">
      <c r="A20" s="8">
        <v>44805</v>
      </c>
      <c r="B20" s="9">
        <f>(181.94*1.15)*63</f>
        <v>13181.553</v>
      </c>
      <c r="C20" s="9">
        <f>(181.94*1.15)*63</f>
        <v>13181.553</v>
      </c>
      <c r="D20" s="9">
        <v>0</v>
      </c>
      <c r="E20" s="9">
        <v>0</v>
      </c>
    </row>
    <row r="21" spans="1:5" x14ac:dyDescent="0.25">
      <c r="A21" s="8">
        <v>44835</v>
      </c>
      <c r="B21" s="9">
        <f t="shared" ref="B21:C23" si="2">(181.94*1.15)*63</f>
        <v>13181.553</v>
      </c>
      <c r="C21" s="9">
        <f t="shared" si="2"/>
        <v>13181.553</v>
      </c>
      <c r="D21" s="9">
        <v>0</v>
      </c>
      <c r="E21" s="9">
        <v>0</v>
      </c>
    </row>
    <row r="22" spans="1:5" x14ac:dyDescent="0.25">
      <c r="A22" s="8">
        <v>44866</v>
      </c>
      <c r="B22" s="9">
        <f t="shared" si="2"/>
        <v>13181.553</v>
      </c>
      <c r="C22" s="9">
        <f t="shared" si="2"/>
        <v>13181.553</v>
      </c>
      <c r="D22" s="9">
        <v>0</v>
      </c>
      <c r="E22" s="9">
        <v>0</v>
      </c>
    </row>
    <row r="23" spans="1:5" x14ac:dyDescent="0.25">
      <c r="A23" s="8">
        <v>44896</v>
      </c>
      <c r="B23" s="9">
        <f t="shared" si="2"/>
        <v>13181.553</v>
      </c>
      <c r="C23" s="9">
        <f t="shared" si="2"/>
        <v>13181.553</v>
      </c>
      <c r="D23" s="9">
        <v>0</v>
      </c>
      <c r="E23" s="9">
        <v>0</v>
      </c>
    </row>
    <row r="24" spans="1:5" x14ac:dyDescent="0.25">
      <c r="A24" s="10" t="s">
        <v>3</v>
      </c>
      <c r="B24" s="11">
        <f>SUM(B12:B23)</f>
        <v>112813.344</v>
      </c>
      <c r="C24" s="11">
        <f>SUM(C12:C23)</f>
        <v>112813.344</v>
      </c>
      <c r="D24" s="11">
        <v>0</v>
      </c>
      <c r="E24" s="11">
        <v>0</v>
      </c>
    </row>
    <row r="25" spans="1:5" x14ac:dyDescent="0.25">
      <c r="B25" s="6"/>
      <c r="C25" s="6"/>
      <c r="D25" s="6"/>
      <c r="E25" s="6"/>
    </row>
    <row r="26" spans="1:5" x14ac:dyDescent="0.25">
      <c r="A26" s="8">
        <v>44927</v>
      </c>
      <c r="B26" s="9">
        <f>(181.94*1.15)*63</f>
        <v>13181.553</v>
      </c>
      <c r="C26" s="9">
        <f t="shared" ref="C26:C31" si="3">(181.94*1.15)*63</f>
        <v>13181.553</v>
      </c>
      <c r="D26" s="9">
        <v>0</v>
      </c>
      <c r="E26" s="9">
        <v>0</v>
      </c>
    </row>
    <row r="27" spans="1:5" x14ac:dyDescent="0.25">
      <c r="A27" s="8">
        <v>44958</v>
      </c>
      <c r="B27" s="9">
        <f t="shared" ref="B27:B31" si="4">(181.94*1.15)*63</f>
        <v>13181.553</v>
      </c>
      <c r="C27" s="9">
        <f t="shared" si="3"/>
        <v>13181.553</v>
      </c>
      <c r="D27" s="9">
        <v>0</v>
      </c>
      <c r="E27" s="9">
        <v>0</v>
      </c>
    </row>
    <row r="28" spans="1:5" x14ac:dyDescent="0.25">
      <c r="A28" s="8">
        <v>44986</v>
      </c>
      <c r="B28" s="9">
        <f t="shared" si="4"/>
        <v>13181.553</v>
      </c>
      <c r="C28" s="9">
        <f t="shared" si="3"/>
        <v>13181.553</v>
      </c>
      <c r="D28" s="9">
        <v>0</v>
      </c>
      <c r="E28" s="9">
        <v>0</v>
      </c>
    </row>
    <row r="29" spans="1:5" x14ac:dyDescent="0.25">
      <c r="A29" s="8">
        <v>45017</v>
      </c>
      <c r="B29" s="9">
        <f t="shared" si="4"/>
        <v>13181.553</v>
      </c>
      <c r="C29" s="9">
        <f t="shared" si="3"/>
        <v>13181.553</v>
      </c>
      <c r="D29" s="9">
        <v>0</v>
      </c>
      <c r="E29" s="9">
        <v>0</v>
      </c>
    </row>
    <row r="30" spans="1:5" x14ac:dyDescent="0.25">
      <c r="A30" s="8">
        <v>45047</v>
      </c>
      <c r="B30" s="9">
        <f t="shared" si="4"/>
        <v>13181.553</v>
      </c>
      <c r="C30" s="9">
        <f t="shared" si="3"/>
        <v>13181.553</v>
      </c>
      <c r="D30" s="9">
        <v>0</v>
      </c>
      <c r="E30" s="9">
        <v>0</v>
      </c>
    </row>
    <row r="31" spans="1:5" x14ac:dyDescent="0.25">
      <c r="A31" s="8">
        <v>45078</v>
      </c>
      <c r="B31" s="9">
        <f t="shared" si="4"/>
        <v>13181.553</v>
      </c>
      <c r="C31" s="9">
        <f t="shared" si="3"/>
        <v>13181.553</v>
      </c>
      <c r="D31" s="9">
        <v>0</v>
      </c>
      <c r="E31" s="9">
        <v>0</v>
      </c>
    </row>
    <row r="32" spans="1:5" x14ac:dyDescent="0.25">
      <c r="A32" s="8">
        <v>45108</v>
      </c>
      <c r="B32" s="9">
        <f>(209.18*1.15)*63</f>
        <v>15155.090999999999</v>
      </c>
      <c r="C32" s="9">
        <f>(209.18*1.15)*63</f>
        <v>15155.090999999999</v>
      </c>
      <c r="D32" s="9">
        <v>0</v>
      </c>
      <c r="E32" s="9">
        <v>0</v>
      </c>
    </row>
    <row r="33" spans="1:5" x14ac:dyDescent="0.25">
      <c r="A33" s="8">
        <v>45139</v>
      </c>
      <c r="B33" s="9">
        <f t="shared" ref="B33:C37" si="5">(209.18*1.15)*63</f>
        <v>15155.090999999999</v>
      </c>
      <c r="C33" s="9">
        <f t="shared" si="5"/>
        <v>15155.090999999999</v>
      </c>
      <c r="D33" s="9">
        <v>0</v>
      </c>
      <c r="E33" s="9">
        <v>0</v>
      </c>
    </row>
    <row r="34" spans="1:5" x14ac:dyDescent="0.25">
      <c r="A34" s="8">
        <v>45170</v>
      </c>
      <c r="B34" s="9">
        <f t="shared" si="5"/>
        <v>15155.090999999999</v>
      </c>
      <c r="C34" s="9">
        <f t="shared" si="5"/>
        <v>15155.090999999999</v>
      </c>
      <c r="D34" s="9">
        <v>0</v>
      </c>
      <c r="E34" s="9">
        <v>0</v>
      </c>
    </row>
    <row r="35" spans="1:5" x14ac:dyDescent="0.25">
      <c r="A35" s="8">
        <v>45200</v>
      </c>
      <c r="B35" s="9">
        <f t="shared" si="5"/>
        <v>15155.090999999999</v>
      </c>
      <c r="C35" s="9">
        <f t="shared" si="5"/>
        <v>15155.090999999999</v>
      </c>
      <c r="D35" s="9">
        <f>(616.2*1.15)*63</f>
        <v>44643.69</v>
      </c>
      <c r="E35" s="9">
        <f>(616.2*1.15)*63</f>
        <v>44643.69</v>
      </c>
    </row>
    <row r="36" spans="1:5" x14ac:dyDescent="0.25">
      <c r="A36" s="8">
        <v>45231</v>
      </c>
      <c r="B36" s="9">
        <f t="shared" si="5"/>
        <v>15155.090999999999</v>
      </c>
      <c r="C36" s="9">
        <f>15155.09/63</f>
        <v>240.55698412698413</v>
      </c>
      <c r="D36" s="9">
        <f>(616.2*1.15)*63</f>
        <v>44643.69</v>
      </c>
      <c r="E36" s="9">
        <f>44643.69/63</f>
        <v>708.63</v>
      </c>
    </row>
    <row r="37" spans="1:5" x14ac:dyDescent="0.25">
      <c r="A37" s="8">
        <v>45261</v>
      </c>
      <c r="B37" s="9">
        <f t="shared" si="5"/>
        <v>15155.090999999999</v>
      </c>
      <c r="C37" s="9">
        <f>15155.09/63</f>
        <v>240.55698412698413</v>
      </c>
      <c r="D37" s="9">
        <f>(616.2*1.15)*63</f>
        <v>44643.69</v>
      </c>
      <c r="E37" s="9">
        <f>44643.69/63</f>
        <v>708.63</v>
      </c>
    </row>
    <row r="38" spans="1:5" x14ac:dyDescent="0.25">
      <c r="A38" s="10" t="s">
        <v>4</v>
      </c>
      <c r="B38" s="11">
        <f>SUM(B26:B37)</f>
        <v>170019.86399999997</v>
      </c>
      <c r="C38" s="11">
        <f>SUM(C26:C37)</f>
        <v>140190.79596825395</v>
      </c>
      <c r="D38" s="11">
        <f t="shared" ref="D38:E38" si="6">SUM(D26:D37)</f>
        <v>133931.07</v>
      </c>
      <c r="E38" s="11">
        <f t="shared" si="6"/>
        <v>46060.95</v>
      </c>
    </row>
    <row r="39" spans="1:5" x14ac:dyDescent="0.25">
      <c r="B39" s="6"/>
      <c r="C39" s="6"/>
      <c r="D39" s="6"/>
      <c r="E39" s="6"/>
    </row>
    <row r="40" spans="1:5" x14ac:dyDescent="0.25">
      <c r="A40" s="8">
        <v>45292</v>
      </c>
      <c r="B40" s="9">
        <f t="shared" ref="B40:C45" si="7">(209.18*1.15)*63</f>
        <v>15155.090999999999</v>
      </c>
      <c r="C40" s="9">
        <f>15155.09/63</f>
        <v>240.55698412698413</v>
      </c>
      <c r="D40" s="9">
        <f>(616.2*1.15)*63</f>
        <v>44643.69</v>
      </c>
      <c r="E40" s="9">
        <f>44643.69/63</f>
        <v>708.63</v>
      </c>
    </row>
    <row r="41" spans="1:5" x14ac:dyDescent="0.25">
      <c r="A41" s="8">
        <v>45323</v>
      </c>
      <c r="B41" s="9">
        <f t="shared" si="7"/>
        <v>15155.090999999999</v>
      </c>
      <c r="C41" s="9">
        <f>15155.09/63</f>
        <v>240.55698412698413</v>
      </c>
      <c r="D41" s="9">
        <f>(616.2*1.15)*63</f>
        <v>44643.69</v>
      </c>
      <c r="E41" s="9">
        <f>44643.69/63</f>
        <v>708.63</v>
      </c>
    </row>
    <row r="42" spans="1:5" x14ac:dyDescent="0.25">
      <c r="A42" s="8">
        <v>45352</v>
      </c>
      <c r="B42" s="9">
        <f t="shared" si="7"/>
        <v>15155.090999999999</v>
      </c>
      <c r="C42" s="9">
        <f>15155.09/63</f>
        <v>240.55698412698413</v>
      </c>
      <c r="D42" s="9">
        <f>(616.2*1.15)*63</f>
        <v>44643.69</v>
      </c>
      <c r="E42" s="9">
        <f>44643.69/63</f>
        <v>708.63</v>
      </c>
    </row>
    <row r="43" spans="1:5" x14ac:dyDescent="0.25">
      <c r="A43" s="8">
        <v>45383</v>
      </c>
      <c r="B43" s="9">
        <f t="shared" si="7"/>
        <v>15155.090999999999</v>
      </c>
      <c r="C43" s="9">
        <f>15155.09/63</f>
        <v>240.55698412698413</v>
      </c>
      <c r="D43" s="9">
        <f>(616.2*1.15)*63</f>
        <v>44643.69</v>
      </c>
      <c r="E43" s="9">
        <f>44643.69/63</f>
        <v>708.63</v>
      </c>
    </row>
    <row r="44" spans="1:5" x14ac:dyDescent="0.25">
      <c r="A44" s="8">
        <v>45413</v>
      </c>
      <c r="B44" s="9">
        <f t="shared" si="7"/>
        <v>15155.090999999999</v>
      </c>
      <c r="C44" s="9">
        <f>15155.09/63</f>
        <v>240.55698412698413</v>
      </c>
      <c r="D44" s="9">
        <f>(616.2*1.15)*63</f>
        <v>44643.69</v>
      </c>
      <c r="E44" s="9">
        <f>44643.69/63</f>
        <v>708.63</v>
      </c>
    </row>
    <row r="45" spans="1:5" x14ac:dyDescent="0.25">
      <c r="A45" s="8">
        <v>45444</v>
      </c>
      <c r="B45" s="9">
        <f t="shared" si="7"/>
        <v>15155.090999999999</v>
      </c>
      <c r="C45" s="9">
        <f>15155.09/63</f>
        <v>240.55698412698413</v>
      </c>
      <c r="D45" s="9">
        <f>(616.2*1.15)*63</f>
        <v>44643.69</v>
      </c>
      <c r="E45" s="9">
        <f>44643.69/63</f>
        <v>708.63</v>
      </c>
    </row>
    <row r="46" spans="1:5" x14ac:dyDescent="0.25">
      <c r="A46" s="8">
        <v>45474</v>
      </c>
      <c r="B46" s="9">
        <f>(235.79*1.15)*63</f>
        <v>17082.985499999995</v>
      </c>
      <c r="C46" s="9">
        <f>17082.99/63</f>
        <v>271.15857142857146</v>
      </c>
      <c r="D46" s="9">
        <f>(694.58*1.15)*63</f>
        <v>50322.320999999996</v>
      </c>
      <c r="E46" s="9">
        <f>50322.32/63</f>
        <v>798.76698412698408</v>
      </c>
    </row>
    <row r="47" spans="1:5" x14ac:dyDescent="0.25">
      <c r="A47" s="8">
        <v>45505</v>
      </c>
      <c r="B47" s="9">
        <f t="shared" ref="B47:B51" si="8">(235.79*1.15)*63</f>
        <v>17082.985499999995</v>
      </c>
      <c r="C47" s="9">
        <f t="shared" ref="C47:C51" si="9">17082.99/63</f>
        <v>271.15857142857146</v>
      </c>
      <c r="D47" s="9">
        <f t="shared" ref="D47:D51" si="10">(694.58*1.15)*63</f>
        <v>50322.320999999996</v>
      </c>
      <c r="E47" s="9">
        <f t="shared" ref="E47:E51" si="11">50322.32/63</f>
        <v>798.76698412698408</v>
      </c>
    </row>
    <row r="48" spans="1:5" x14ac:dyDescent="0.25">
      <c r="A48" s="8">
        <v>45536</v>
      </c>
      <c r="B48" s="9">
        <f t="shared" si="8"/>
        <v>17082.985499999995</v>
      </c>
      <c r="C48" s="9">
        <f t="shared" si="9"/>
        <v>271.15857142857146</v>
      </c>
      <c r="D48" s="9">
        <f t="shared" si="10"/>
        <v>50322.320999999996</v>
      </c>
      <c r="E48" s="9">
        <f t="shared" si="11"/>
        <v>798.76698412698408</v>
      </c>
    </row>
    <row r="49" spans="1:5" x14ac:dyDescent="0.25">
      <c r="A49" s="8">
        <v>45566</v>
      </c>
      <c r="B49" s="9">
        <f t="shared" si="8"/>
        <v>17082.985499999995</v>
      </c>
      <c r="C49" s="9">
        <f t="shared" si="9"/>
        <v>271.15857142857146</v>
      </c>
      <c r="D49" s="9">
        <f t="shared" si="10"/>
        <v>50322.320999999996</v>
      </c>
      <c r="E49" s="9">
        <f t="shared" si="11"/>
        <v>798.76698412698408</v>
      </c>
    </row>
    <row r="50" spans="1:5" x14ac:dyDescent="0.25">
      <c r="A50" s="8">
        <v>45597</v>
      </c>
      <c r="B50" s="9">
        <f t="shared" si="8"/>
        <v>17082.985499999995</v>
      </c>
      <c r="C50" s="9">
        <f t="shared" si="9"/>
        <v>271.15857142857146</v>
      </c>
      <c r="D50" s="9">
        <f t="shared" si="10"/>
        <v>50322.320999999996</v>
      </c>
      <c r="E50" s="9">
        <f t="shared" si="11"/>
        <v>798.76698412698408</v>
      </c>
    </row>
    <row r="51" spans="1:5" x14ac:dyDescent="0.25">
      <c r="A51" s="8">
        <v>45627</v>
      </c>
      <c r="B51" s="9">
        <f t="shared" si="8"/>
        <v>17082.985499999995</v>
      </c>
      <c r="C51" s="9">
        <f t="shared" si="9"/>
        <v>271.15857142857146</v>
      </c>
      <c r="D51" s="9">
        <f t="shared" si="10"/>
        <v>50322.320999999996</v>
      </c>
      <c r="E51" s="9">
        <f t="shared" si="11"/>
        <v>798.76698412698408</v>
      </c>
    </row>
    <row r="52" spans="1:5" x14ac:dyDescent="0.25">
      <c r="A52" s="10" t="s">
        <v>5</v>
      </c>
      <c r="B52" s="11">
        <f>SUM(B40:B51)</f>
        <v>193428.45899999997</v>
      </c>
      <c r="C52" s="11">
        <f>SUM(C40:C51)</f>
        <v>3070.293333333334</v>
      </c>
      <c r="D52" s="11">
        <f t="shared" ref="D52" si="12">SUM(D40:D51)</f>
        <v>569796.06599999999</v>
      </c>
      <c r="E52" s="11">
        <f t="shared" ref="E52" si="13">SUM(E40:E51)</f>
        <v>9044.3819047619054</v>
      </c>
    </row>
    <row r="54" spans="1:5" x14ac:dyDescent="0.25">
      <c r="A54" s="4"/>
    </row>
  </sheetData>
  <mergeCells count="2"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</dc:creator>
  <cp:lastModifiedBy>Zerilda</cp:lastModifiedBy>
  <dcterms:created xsi:type="dcterms:W3CDTF">2025-01-29T08:47:23Z</dcterms:created>
  <dcterms:modified xsi:type="dcterms:W3CDTF">2025-01-29T10:23:43Z</dcterms:modified>
</cp:coreProperties>
</file>