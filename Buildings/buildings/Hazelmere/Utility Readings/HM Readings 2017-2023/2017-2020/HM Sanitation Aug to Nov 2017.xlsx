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44" windowWidth="16260" windowHeight="559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58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" i="1"/>
  <c r="G58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" i="1"/>
  <c r="B58" i="1"/>
  <c r="E58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D58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E5" i="1"/>
  <c r="D5" i="1"/>
  <c r="C58" i="1"/>
  <c r="C57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" i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4" i="2"/>
  <c r="B57" i="2"/>
  <c r="C57" i="2" l="1"/>
</calcChain>
</file>

<file path=xl/comments1.xml><?xml version="1.0" encoding="utf-8"?>
<comments xmlns="http://schemas.openxmlformats.org/spreadsheetml/2006/main">
  <authors>
    <author>Johanna</author>
  </authors>
  <commentList>
    <comment ref="I3" authorId="0">
      <text>
        <r>
          <rPr>
            <b/>
            <sz val="9"/>
            <color indexed="81"/>
            <rFont val="Tahoma"/>
            <family val="2"/>
          </rPr>
          <t>Johanna:</t>
        </r>
        <r>
          <rPr>
            <sz val="9"/>
            <color indexed="81"/>
            <rFont val="Tahoma"/>
            <family val="2"/>
          </rPr>
          <t xml:space="preserve">
R381.63*53 units</t>
        </r>
      </text>
    </comment>
  </commentList>
</comments>
</file>

<file path=xl/sharedStrings.xml><?xml version="1.0" encoding="utf-8"?>
<sst xmlns="http://schemas.openxmlformats.org/spreadsheetml/2006/main" count="72" uniqueCount="69">
  <si>
    <t>HM Sanitation Backdated</t>
  </si>
  <si>
    <t>Aug</t>
  </si>
  <si>
    <t>Statement</t>
  </si>
  <si>
    <t>Consumed</t>
  </si>
  <si>
    <t>Sep</t>
  </si>
  <si>
    <t>Oct</t>
  </si>
  <si>
    <t>Nov</t>
  </si>
  <si>
    <t>June</t>
  </si>
  <si>
    <t>July</t>
  </si>
  <si>
    <t>Sept</t>
  </si>
  <si>
    <t>Unit 1</t>
  </si>
  <si>
    <t>Unit 2</t>
  </si>
  <si>
    <t>Unit 3</t>
  </si>
  <si>
    <t>Unit 4</t>
  </si>
  <si>
    <t>Unit 5</t>
  </si>
  <si>
    <t>Unit 6</t>
  </si>
  <si>
    <t>Unit 7</t>
  </si>
  <si>
    <t>Unit 8</t>
  </si>
  <si>
    <t>Unit 9</t>
  </si>
  <si>
    <t>Unit 10</t>
  </si>
  <si>
    <t>Unit 11</t>
  </si>
  <si>
    <t>Unit 12</t>
  </si>
  <si>
    <t>Unit 13</t>
  </si>
  <si>
    <t>Unit 14</t>
  </si>
  <si>
    <t>Unit 15</t>
  </si>
  <si>
    <t>Unit 16</t>
  </si>
  <si>
    <t>Unit 17</t>
  </si>
  <si>
    <t>Unit 18</t>
  </si>
  <si>
    <t>Unit 19</t>
  </si>
  <si>
    <t>Unit 20</t>
  </si>
  <si>
    <t>Unit 21</t>
  </si>
  <si>
    <t>Unit 22</t>
  </si>
  <si>
    <t>Unit 23</t>
  </si>
  <si>
    <t>Unit 24</t>
  </si>
  <si>
    <t>Unit 25</t>
  </si>
  <si>
    <t>Unit 26</t>
  </si>
  <si>
    <t>Unit 27</t>
  </si>
  <si>
    <t>Unit 28</t>
  </si>
  <si>
    <t>Unit 29</t>
  </si>
  <si>
    <t>Unit 30</t>
  </si>
  <si>
    <t>Unit 31</t>
  </si>
  <si>
    <t>Unit 32</t>
  </si>
  <si>
    <t>Unit 33</t>
  </si>
  <si>
    <t>Unit 34</t>
  </si>
  <si>
    <t>Unit 35</t>
  </si>
  <si>
    <t>Unit 36</t>
  </si>
  <si>
    <t>Unit 37</t>
  </si>
  <si>
    <t>Unit 38</t>
  </si>
  <si>
    <t>Unit 39</t>
  </si>
  <si>
    <t>Unit 40</t>
  </si>
  <si>
    <t>Unit 41</t>
  </si>
  <si>
    <t>Unit 42</t>
  </si>
  <si>
    <t>Unit 43</t>
  </si>
  <si>
    <t>Unit 44</t>
  </si>
  <si>
    <t>Unit 45</t>
  </si>
  <si>
    <t>Unit 46</t>
  </si>
  <si>
    <t>Unit 47</t>
  </si>
  <si>
    <t>Unit 48</t>
  </si>
  <si>
    <t>Unit 49</t>
  </si>
  <si>
    <t>Unit 50</t>
  </si>
  <si>
    <t>Unit 51</t>
  </si>
  <si>
    <t>Unit 52</t>
  </si>
  <si>
    <t>Unit 53</t>
  </si>
  <si>
    <t>pq</t>
  </si>
  <si>
    <t>Levy</t>
  </si>
  <si>
    <t>Unit</t>
  </si>
  <si>
    <t>PQ</t>
  </si>
  <si>
    <t>Total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</si>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</sst>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&quot;#,##0.00;[Red]\-&quot;R&quot;#,##0.00"/>
    <numFmt numFmtId="164" formatCode="&quot;R &quot;#,##0.00;&quot;R-&quot;#,##0.00"/>
    <numFmt numFmtId="165" formatCode="&quot;R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 applyAlignment="1">
      <alignment horizontal="center"/>
    </xf>
    <xf numFmtId="164" fontId="3" fillId="0" borderId="2" xfId="0" applyNumberFormat="1" applyFont="1" applyFill="1" applyBorder="1" applyAlignment="1" applyProtection="1">
      <alignment horizontal="right" vertical="center" wrapText="1"/>
    </xf>
    <xf numFmtId="164" fontId="3" fillId="0" borderId="4" xfId="0" applyNumberFormat="1" applyFont="1" applyFill="1" applyBorder="1" applyAlignment="1" applyProtection="1">
      <alignment horizontal="right" vertical="center" wrapText="1"/>
    </xf>
    <xf numFmtId="164" fontId="0" fillId="0" borderId="3" xfId="0" applyNumberFormat="1" applyBorder="1"/>
    <xf numFmtId="1" fontId="0" fillId="0" borderId="3" xfId="0" applyNumberFormat="1" applyBorder="1"/>
    <xf numFmtId="0" fontId="0" fillId="0" borderId="0" xfId="0" applyFont="1" applyFill="1" applyBorder="1"/>
    <xf numFmtId="8" fontId="1" fillId="0" borderId="0" xfId="0" applyNumberFormat="1" applyFont="1"/>
    <xf numFmtId="0" fontId="1" fillId="0" borderId="0" xfId="0" applyFont="1" applyFill="1" applyBorder="1" applyAlignment="1">
      <alignment horizontal="center"/>
    </xf>
    <xf numFmtId="8" fontId="0" fillId="0" borderId="1" xfId="0" applyNumberFormat="1" applyBorder="1"/>
    <xf numFmtId="8" fontId="0" fillId="0" borderId="3" xfId="0" applyNumberFormat="1" applyBorder="1"/>
    <xf numFmtId="165" fontId="0" fillId="0" borderId="0" xfId="0" applyNumberFormat="1"/>
    <xf numFmtId="165" fontId="1" fillId="0" borderId="1" xfId="0" applyNumberFormat="1" applyFont="1" applyBorder="1"/>
    <xf numFmtId="165" fontId="0" fillId="0" borderId="1" xfId="0" applyNumberFormat="1" applyBorder="1"/>
    <xf numFmtId="165" fontId="0" fillId="0" borderId="3" xfId="0" applyNumberFormat="1" applyBorder="1"/>
    <xf numFmtId="0" fontId="1" fillId="0" borderId="5" xfId="0" applyFont="1" applyBorder="1"/>
    <xf numFmtId="8" fontId="0" fillId="0" borderId="5" xfId="0" applyNumberFormat="1" applyBorder="1"/>
    <xf numFmtId="0" fontId="1" fillId="0" borderId="1" xfId="0" applyFont="1" applyFill="1" applyBorder="1"/>
    <xf numFmtId="165" fontId="0" fillId="0" borderId="6" xfId="0" applyNumberFormat="1" applyBorder="1"/>
    <xf numFmtId="0" fontId="2" fillId="0" borderId="0" xfId="0" applyFont="1" applyAlignment="1">
      <alignment horizontal="center"/>
    </xf>
    <xf numFmtId="0" fontId="1" fillId="2" borderId="5" xfId="0" applyFont="1" applyFill="1" applyBorder="1"/>
    <xf numFmtId="8" fontId="0" fillId="2" borderId="5" xfId="0" applyNumberFormat="1" applyFill="1" applyBorder="1"/>
    <xf numFmtId="8" fontId="0" fillId="2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9"/>
  <sheetViews>
    <sheetView tabSelected="1" workbookViewId="0">
      <selection activeCell="K8" sqref="K8"/>
    </sheetView>
  </sheetViews>
  <sheetFormatPr defaultRowHeight="14.4" x14ac:dyDescent="0.3"/>
  <cols>
    <col min="1" max="1" width="11.5546875" customWidth="1"/>
    <col min="2" max="2" width="10.109375" style="13" bestFit="1" customWidth="1"/>
    <col min="3" max="5" width="10.109375" bestFit="1" customWidth="1"/>
    <col min="6" max="6" width="10.109375" customWidth="1"/>
    <col min="7" max="7" width="10.109375" bestFit="1" customWidth="1"/>
    <col min="9" max="9" width="10.109375" bestFit="1" customWidth="1"/>
    <col min="10" max="10" width="13.109375" customWidth="1"/>
  </cols>
  <sheetData>
    <row r="1" spans="1:10" ht="18" x14ac:dyDescent="0.35">
      <c r="A1" s="21" t="s">
        <v>0</v>
      </c>
      <c r="B1" s="21"/>
      <c r="C1" s="21"/>
      <c r="D1" s="21"/>
      <c r="E1" s="21"/>
      <c r="F1" s="3"/>
    </row>
    <row r="3" spans="1:10" x14ac:dyDescent="0.3">
      <c r="A3" s="2" t="s">
        <v>2</v>
      </c>
      <c r="B3" s="14" t="s">
        <v>1</v>
      </c>
      <c r="C3" s="2" t="s">
        <v>4</v>
      </c>
      <c r="D3" s="2" t="s">
        <v>5</v>
      </c>
      <c r="E3" s="17" t="s">
        <v>6</v>
      </c>
      <c r="F3" s="22" t="s">
        <v>68</v>
      </c>
      <c r="G3" s="19" t="s">
        <v>67</v>
      </c>
      <c r="I3" s="9">
        <v>20226.39</v>
      </c>
      <c r="J3" s="8"/>
    </row>
    <row r="4" spans="1:10" x14ac:dyDescent="0.3">
      <c r="A4" s="2" t="s">
        <v>3</v>
      </c>
      <c r="B4" s="14" t="s">
        <v>7</v>
      </c>
      <c r="C4" s="2" t="s">
        <v>8</v>
      </c>
      <c r="D4" s="2" t="s">
        <v>1</v>
      </c>
      <c r="E4" s="17" t="s">
        <v>9</v>
      </c>
      <c r="F4" s="22" t="s">
        <v>5</v>
      </c>
      <c r="G4" s="1"/>
      <c r="I4" s="10" t="s">
        <v>66</v>
      </c>
    </row>
    <row r="5" spans="1:10" x14ac:dyDescent="0.3">
      <c r="A5" s="1" t="s">
        <v>10</v>
      </c>
      <c r="B5" s="15">
        <v>170.73</v>
      </c>
      <c r="C5" s="11">
        <f>$I$3*I5</f>
        <v>278.45076490747311</v>
      </c>
      <c r="D5" s="11">
        <f>C5</f>
        <v>278.45076490747311</v>
      </c>
      <c r="E5" s="18">
        <f>C5</f>
        <v>278.45076490747311</v>
      </c>
      <c r="F5" s="23">
        <f>E5</f>
        <v>278.45076490747311</v>
      </c>
      <c r="G5" s="15">
        <f>SUM(B5:E5)</f>
        <v>1006.0822947224192</v>
      </c>
      <c r="I5">
        <v>1.3766706016618542E-2</v>
      </c>
    </row>
    <row r="6" spans="1:10" x14ac:dyDescent="0.3">
      <c r="A6" s="1" t="s">
        <v>11</v>
      </c>
      <c r="B6" s="15">
        <v>277.89999999999998</v>
      </c>
      <c r="C6" s="11">
        <f t="shared" ref="C6:C57" si="0">$I$3*I6</f>
        <v>453.11332130080467</v>
      </c>
      <c r="D6" s="11">
        <f t="shared" ref="D6:D57" si="1">C6</f>
        <v>453.11332130080467</v>
      </c>
      <c r="E6" s="18">
        <f t="shared" ref="E6:E57" si="2">C6</f>
        <v>453.11332130080467</v>
      </c>
      <c r="F6" s="23">
        <f t="shared" ref="F6:F57" si="3">E6</f>
        <v>453.11332130080467</v>
      </c>
      <c r="G6" s="15">
        <f t="shared" ref="G6:G57" si="4">SUM(B6:E6)</f>
        <v>1637.239963902414</v>
      </c>
      <c r="I6">
        <v>2.2402085656452027E-2</v>
      </c>
    </row>
    <row r="7" spans="1:10" x14ac:dyDescent="0.3">
      <c r="A7" s="1" t="s">
        <v>12</v>
      </c>
      <c r="B7" s="15">
        <v>277.89999999999998</v>
      </c>
      <c r="C7" s="11">
        <f t="shared" si="0"/>
        <v>453.11332130080467</v>
      </c>
      <c r="D7" s="11">
        <f t="shared" si="1"/>
        <v>453.11332130080467</v>
      </c>
      <c r="E7" s="18">
        <f t="shared" si="2"/>
        <v>453.11332130080467</v>
      </c>
      <c r="F7" s="23">
        <f t="shared" si="3"/>
        <v>453.11332130080467</v>
      </c>
      <c r="G7" s="15">
        <f t="shared" si="4"/>
        <v>1637.239963902414</v>
      </c>
      <c r="I7">
        <v>2.2402085656452027E-2</v>
      </c>
    </row>
    <row r="8" spans="1:10" x14ac:dyDescent="0.3">
      <c r="A8" s="1" t="s">
        <v>13</v>
      </c>
      <c r="B8" s="15">
        <v>167.1</v>
      </c>
      <c r="C8" s="11">
        <f t="shared" si="0"/>
        <v>272.64185295517046</v>
      </c>
      <c r="D8" s="11">
        <f t="shared" si="1"/>
        <v>272.64185295517046</v>
      </c>
      <c r="E8" s="18">
        <f t="shared" si="2"/>
        <v>272.64185295517046</v>
      </c>
      <c r="F8" s="23">
        <f t="shared" si="3"/>
        <v>272.64185295517046</v>
      </c>
      <c r="G8" s="15">
        <f t="shared" si="4"/>
        <v>985.02555886551136</v>
      </c>
      <c r="I8">
        <v>1.3479511319378816E-2</v>
      </c>
    </row>
    <row r="9" spans="1:10" x14ac:dyDescent="0.3">
      <c r="A9" s="1" t="s">
        <v>14</v>
      </c>
      <c r="B9" s="15">
        <v>277.89999999999998</v>
      </c>
      <c r="C9" s="11">
        <f t="shared" si="0"/>
        <v>453.11332130080467</v>
      </c>
      <c r="D9" s="11">
        <f t="shared" si="1"/>
        <v>453.11332130080467</v>
      </c>
      <c r="E9" s="18">
        <f t="shared" si="2"/>
        <v>453.11332130080467</v>
      </c>
      <c r="F9" s="23">
        <f t="shared" si="3"/>
        <v>453.11332130080467</v>
      </c>
      <c r="G9" s="15">
        <f t="shared" si="4"/>
        <v>1637.239963902414</v>
      </c>
      <c r="I9">
        <v>2.2402085656452027E-2</v>
      </c>
    </row>
    <row r="10" spans="1:10" x14ac:dyDescent="0.3">
      <c r="A10" s="1" t="s">
        <v>15</v>
      </c>
      <c r="B10" s="15">
        <v>317.86</v>
      </c>
      <c r="C10" s="11">
        <f t="shared" si="0"/>
        <v>485.83867753422953</v>
      </c>
      <c r="D10" s="11">
        <f t="shared" si="1"/>
        <v>485.83867753422953</v>
      </c>
      <c r="E10" s="18">
        <f t="shared" si="2"/>
        <v>485.83867753422953</v>
      </c>
      <c r="F10" s="23">
        <f t="shared" si="3"/>
        <v>485.83867753422953</v>
      </c>
      <c r="G10" s="15">
        <f t="shared" si="4"/>
        <v>1775.3760326026886</v>
      </c>
      <c r="I10">
        <v>2.4020039044744493E-2</v>
      </c>
    </row>
    <row r="11" spans="1:10" x14ac:dyDescent="0.3">
      <c r="A11" s="1" t="s">
        <v>16</v>
      </c>
      <c r="B11" s="15">
        <v>277.89999999999998</v>
      </c>
      <c r="C11" s="11">
        <f t="shared" si="0"/>
        <v>453.11332130080467</v>
      </c>
      <c r="D11" s="11">
        <f t="shared" si="1"/>
        <v>453.11332130080467</v>
      </c>
      <c r="E11" s="18">
        <f t="shared" si="2"/>
        <v>453.11332130080467</v>
      </c>
      <c r="F11" s="23">
        <f t="shared" si="3"/>
        <v>453.11332130080467</v>
      </c>
      <c r="G11" s="15">
        <f t="shared" si="4"/>
        <v>1637.239963902414</v>
      </c>
      <c r="I11">
        <v>2.2402085656452027E-2</v>
      </c>
    </row>
    <row r="12" spans="1:10" x14ac:dyDescent="0.3">
      <c r="A12" s="1" t="s">
        <v>17</v>
      </c>
      <c r="B12" s="15">
        <v>163.47</v>
      </c>
      <c r="C12" s="11">
        <f t="shared" si="0"/>
        <v>266.44601091552403</v>
      </c>
      <c r="D12" s="11">
        <f t="shared" si="1"/>
        <v>266.44601091552403</v>
      </c>
      <c r="E12" s="18">
        <f t="shared" si="2"/>
        <v>266.44601091552403</v>
      </c>
      <c r="F12" s="23">
        <f t="shared" si="3"/>
        <v>266.44601091552403</v>
      </c>
      <c r="G12" s="15">
        <f t="shared" si="4"/>
        <v>962.80803274657205</v>
      </c>
      <c r="I12">
        <v>1.3173186659385291E-2</v>
      </c>
    </row>
    <row r="13" spans="1:10" x14ac:dyDescent="0.3">
      <c r="A13" s="1" t="s">
        <v>18</v>
      </c>
      <c r="B13" s="15">
        <v>227.04</v>
      </c>
      <c r="C13" s="11">
        <f t="shared" si="0"/>
        <v>370.43099156810104</v>
      </c>
      <c r="D13" s="11">
        <f t="shared" si="1"/>
        <v>370.43099156810104</v>
      </c>
      <c r="E13" s="18">
        <f t="shared" si="2"/>
        <v>370.43099156810104</v>
      </c>
      <c r="F13" s="23">
        <f t="shared" si="3"/>
        <v>370.43099156810104</v>
      </c>
      <c r="G13" s="15">
        <f t="shared" si="4"/>
        <v>1338.3329747043031</v>
      </c>
      <c r="I13">
        <v>1.8314241521502406E-2</v>
      </c>
    </row>
    <row r="14" spans="1:10" x14ac:dyDescent="0.3">
      <c r="A14" s="1" t="s">
        <v>19</v>
      </c>
      <c r="B14" s="15">
        <v>312.41000000000003</v>
      </c>
      <c r="C14" s="11">
        <f t="shared" si="0"/>
        <v>476.93101778841282</v>
      </c>
      <c r="D14" s="11">
        <f t="shared" si="1"/>
        <v>476.93101778841282</v>
      </c>
      <c r="E14" s="18">
        <f t="shared" si="2"/>
        <v>476.93101778841282</v>
      </c>
      <c r="F14" s="23">
        <f t="shared" si="3"/>
        <v>476.93101778841282</v>
      </c>
      <c r="G14" s="15">
        <f t="shared" si="4"/>
        <v>1743.2030533652385</v>
      </c>
      <c r="I14">
        <v>2.3579641141519215E-2</v>
      </c>
    </row>
    <row r="15" spans="1:10" x14ac:dyDescent="0.3">
      <c r="A15" s="1" t="s">
        <v>20</v>
      </c>
      <c r="B15" s="15">
        <v>167.1</v>
      </c>
      <c r="C15" s="11">
        <f t="shared" si="0"/>
        <v>272.64185295517046</v>
      </c>
      <c r="D15" s="11">
        <f t="shared" si="1"/>
        <v>272.64185295517046</v>
      </c>
      <c r="E15" s="18">
        <f t="shared" si="2"/>
        <v>272.64185295517046</v>
      </c>
      <c r="F15" s="23">
        <f t="shared" si="3"/>
        <v>272.64185295517046</v>
      </c>
      <c r="G15" s="15">
        <f t="shared" si="4"/>
        <v>985.02555886551136</v>
      </c>
      <c r="I15">
        <v>1.3479511319378816E-2</v>
      </c>
    </row>
    <row r="16" spans="1:10" x14ac:dyDescent="0.3">
      <c r="A16" s="1" t="s">
        <v>21</v>
      </c>
      <c r="B16" s="15">
        <v>170.73</v>
      </c>
      <c r="C16" s="11">
        <f t="shared" si="0"/>
        <v>278.45076490747311</v>
      </c>
      <c r="D16" s="11">
        <f t="shared" si="1"/>
        <v>278.45076490747311</v>
      </c>
      <c r="E16" s="18">
        <f t="shared" si="2"/>
        <v>278.45076490747311</v>
      </c>
      <c r="F16" s="23">
        <f t="shared" si="3"/>
        <v>278.45076490747311</v>
      </c>
      <c r="G16" s="15">
        <f t="shared" si="4"/>
        <v>1006.0822947224192</v>
      </c>
      <c r="I16">
        <v>1.3766706016618542E-2</v>
      </c>
    </row>
    <row r="17" spans="1:9" x14ac:dyDescent="0.3">
      <c r="A17" s="1" t="s">
        <v>22</v>
      </c>
      <c r="B17" s="15">
        <v>170.73</v>
      </c>
      <c r="C17" s="11">
        <f t="shared" si="0"/>
        <v>278.44580426532769</v>
      </c>
      <c r="D17" s="11">
        <f t="shared" si="1"/>
        <v>278.44580426532769</v>
      </c>
      <c r="E17" s="18">
        <f t="shared" si="2"/>
        <v>278.44580426532769</v>
      </c>
      <c r="F17" s="23">
        <f t="shared" si="3"/>
        <v>278.44580426532769</v>
      </c>
      <c r="G17" s="15">
        <f t="shared" si="4"/>
        <v>1006.067412795983</v>
      </c>
      <c r="I17">
        <v>1.3766460760685802E-2</v>
      </c>
    </row>
    <row r="18" spans="1:9" x14ac:dyDescent="0.3">
      <c r="A18" s="1" t="s">
        <v>23</v>
      </c>
      <c r="B18" s="15">
        <v>317.86</v>
      </c>
      <c r="C18" s="11">
        <f t="shared" si="0"/>
        <v>485.83867753422953</v>
      </c>
      <c r="D18" s="11">
        <f t="shared" si="1"/>
        <v>485.83867753422953</v>
      </c>
      <c r="E18" s="18">
        <f t="shared" si="2"/>
        <v>485.83867753422953</v>
      </c>
      <c r="F18" s="23">
        <f t="shared" si="3"/>
        <v>485.83867753422953</v>
      </c>
      <c r="G18" s="15">
        <f t="shared" si="4"/>
        <v>1775.3760326026886</v>
      </c>
      <c r="I18">
        <v>2.4020039044744493E-2</v>
      </c>
    </row>
    <row r="19" spans="1:9" x14ac:dyDescent="0.3">
      <c r="A19" s="1" t="s">
        <v>24</v>
      </c>
      <c r="B19" s="15">
        <v>245.2</v>
      </c>
      <c r="C19" s="11">
        <f t="shared" si="0"/>
        <v>399.86413496433977</v>
      </c>
      <c r="D19" s="11">
        <f t="shared" si="1"/>
        <v>399.86413496433977</v>
      </c>
      <c r="E19" s="18">
        <f t="shared" si="2"/>
        <v>399.86413496433977</v>
      </c>
      <c r="F19" s="23">
        <f t="shared" si="3"/>
        <v>399.86413496433977</v>
      </c>
      <c r="G19" s="15">
        <f t="shared" si="4"/>
        <v>1444.7924048930195</v>
      </c>
      <c r="I19">
        <v>1.9769426722432416E-2</v>
      </c>
    </row>
    <row r="20" spans="1:9" x14ac:dyDescent="0.3">
      <c r="A20" s="1" t="s">
        <v>25</v>
      </c>
      <c r="B20" s="15">
        <v>170.73</v>
      </c>
      <c r="C20" s="11">
        <f t="shared" si="0"/>
        <v>278.45076490747311</v>
      </c>
      <c r="D20" s="11">
        <f t="shared" si="1"/>
        <v>278.45076490747311</v>
      </c>
      <c r="E20" s="18">
        <f t="shared" si="2"/>
        <v>278.45076490747311</v>
      </c>
      <c r="F20" s="23">
        <f t="shared" si="3"/>
        <v>278.45076490747311</v>
      </c>
      <c r="G20" s="15">
        <f t="shared" si="4"/>
        <v>1006.0822947224192</v>
      </c>
      <c r="I20">
        <v>1.3766706016618542E-2</v>
      </c>
    </row>
    <row r="21" spans="1:9" x14ac:dyDescent="0.3">
      <c r="A21" s="1" t="s">
        <v>26</v>
      </c>
      <c r="B21" s="15">
        <v>276.08</v>
      </c>
      <c r="C21" s="11">
        <f t="shared" si="0"/>
        <v>450.20969209834431</v>
      </c>
      <c r="D21" s="11">
        <f t="shared" si="1"/>
        <v>450.20969209834431</v>
      </c>
      <c r="E21" s="18">
        <f t="shared" si="2"/>
        <v>450.20969209834431</v>
      </c>
      <c r="F21" s="23">
        <f t="shared" si="3"/>
        <v>450.20969209834431</v>
      </c>
      <c r="G21" s="15">
        <f t="shared" si="4"/>
        <v>1626.7090762950329</v>
      </c>
      <c r="I21">
        <v>2.2258529183820954E-2</v>
      </c>
    </row>
    <row r="22" spans="1:9" x14ac:dyDescent="0.3">
      <c r="A22" s="1" t="s">
        <v>27</v>
      </c>
      <c r="B22" s="15">
        <v>276.08</v>
      </c>
      <c r="C22" s="11">
        <f t="shared" si="0"/>
        <v>450.20969209834431</v>
      </c>
      <c r="D22" s="11">
        <f t="shared" si="1"/>
        <v>450.20969209834431</v>
      </c>
      <c r="E22" s="18">
        <f t="shared" si="2"/>
        <v>450.20969209834431</v>
      </c>
      <c r="F22" s="23">
        <f t="shared" si="3"/>
        <v>450.20969209834431</v>
      </c>
      <c r="G22" s="15">
        <f t="shared" si="4"/>
        <v>1626.7090762950329</v>
      </c>
      <c r="I22">
        <v>2.2258529183820954E-2</v>
      </c>
    </row>
    <row r="23" spans="1:9" x14ac:dyDescent="0.3">
      <c r="A23" s="1" t="s">
        <v>28</v>
      </c>
      <c r="B23" s="15">
        <v>245.2</v>
      </c>
      <c r="C23" s="11">
        <f t="shared" si="0"/>
        <v>399.86413496433977</v>
      </c>
      <c r="D23" s="11">
        <f t="shared" si="1"/>
        <v>399.86413496433977</v>
      </c>
      <c r="E23" s="18">
        <f t="shared" si="2"/>
        <v>399.86413496433977</v>
      </c>
      <c r="F23" s="23">
        <f t="shared" si="3"/>
        <v>399.86413496433977</v>
      </c>
      <c r="G23" s="15">
        <f t="shared" si="4"/>
        <v>1444.7924048930195</v>
      </c>
      <c r="I23">
        <v>1.9769426722432416E-2</v>
      </c>
    </row>
    <row r="24" spans="1:9" x14ac:dyDescent="0.3">
      <c r="A24" s="1" t="s">
        <v>29</v>
      </c>
      <c r="B24" s="15">
        <v>167.1</v>
      </c>
      <c r="C24" s="11">
        <f t="shared" si="0"/>
        <v>272.64185295517046</v>
      </c>
      <c r="D24" s="11">
        <f t="shared" si="1"/>
        <v>272.64185295517046</v>
      </c>
      <c r="E24" s="18">
        <f t="shared" si="2"/>
        <v>272.64185295517046</v>
      </c>
      <c r="F24" s="23">
        <f t="shared" si="3"/>
        <v>272.64185295517046</v>
      </c>
      <c r="G24" s="15">
        <f t="shared" si="4"/>
        <v>985.02555886551136</v>
      </c>
      <c r="I24">
        <v>1.3479511319378816E-2</v>
      </c>
    </row>
    <row r="25" spans="1:9" x14ac:dyDescent="0.3">
      <c r="A25" s="1" t="s">
        <v>30</v>
      </c>
      <c r="B25" s="15">
        <v>167.1</v>
      </c>
      <c r="C25" s="11">
        <f t="shared" si="0"/>
        <v>272.64185295517046</v>
      </c>
      <c r="D25" s="11">
        <f t="shared" si="1"/>
        <v>272.64185295517046</v>
      </c>
      <c r="E25" s="18">
        <f t="shared" si="2"/>
        <v>272.64185295517046</v>
      </c>
      <c r="F25" s="23">
        <f t="shared" si="3"/>
        <v>272.64185295517046</v>
      </c>
      <c r="G25" s="15">
        <f t="shared" si="4"/>
        <v>985.02555886551136</v>
      </c>
      <c r="I25">
        <v>1.3479511319378816E-2</v>
      </c>
    </row>
    <row r="26" spans="1:9" x14ac:dyDescent="0.3">
      <c r="A26" s="1" t="s">
        <v>31</v>
      </c>
      <c r="B26" s="15">
        <v>245.2</v>
      </c>
      <c r="C26" s="11">
        <f t="shared" si="0"/>
        <v>399.86413496433977</v>
      </c>
      <c r="D26" s="11">
        <f t="shared" si="1"/>
        <v>399.86413496433977</v>
      </c>
      <c r="E26" s="18">
        <f t="shared" si="2"/>
        <v>399.86413496433977</v>
      </c>
      <c r="F26" s="23">
        <f t="shared" si="3"/>
        <v>399.86413496433977</v>
      </c>
      <c r="G26" s="15">
        <f t="shared" si="4"/>
        <v>1444.7924048930195</v>
      </c>
      <c r="I26">
        <v>1.9769426722432416E-2</v>
      </c>
    </row>
    <row r="27" spans="1:9" x14ac:dyDescent="0.3">
      <c r="A27" s="1" t="s">
        <v>32</v>
      </c>
      <c r="B27" s="15">
        <v>245.2</v>
      </c>
      <c r="C27" s="11">
        <f t="shared" si="0"/>
        <v>399.86413496433977</v>
      </c>
      <c r="D27" s="11">
        <f t="shared" si="1"/>
        <v>399.86413496433977</v>
      </c>
      <c r="E27" s="18">
        <f t="shared" si="2"/>
        <v>399.86413496433977</v>
      </c>
      <c r="F27" s="23">
        <f t="shared" si="3"/>
        <v>399.86413496433977</v>
      </c>
      <c r="G27" s="15">
        <f t="shared" si="4"/>
        <v>1444.7924048930195</v>
      </c>
      <c r="I27">
        <v>1.9769426722432416E-2</v>
      </c>
    </row>
    <row r="28" spans="1:9" x14ac:dyDescent="0.3">
      <c r="A28" s="1" t="s">
        <v>33</v>
      </c>
      <c r="B28" s="15">
        <v>281.52999999999997</v>
      </c>
      <c r="C28" s="11">
        <f t="shared" si="0"/>
        <v>429.48908985686865</v>
      </c>
      <c r="D28" s="11">
        <f t="shared" si="1"/>
        <v>429.48908985686865</v>
      </c>
      <c r="E28" s="18">
        <f t="shared" si="2"/>
        <v>429.48908985686865</v>
      </c>
      <c r="F28" s="23">
        <f t="shared" si="3"/>
        <v>429.48908985686865</v>
      </c>
      <c r="G28" s="15">
        <f t="shared" si="4"/>
        <v>1569.997269570606</v>
      </c>
      <c r="I28">
        <v>2.1234095152761746E-2</v>
      </c>
    </row>
    <row r="29" spans="1:9" x14ac:dyDescent="0.3">
      <c r="A29" s="1" t="s">
        <v>34</v>
      </c>
      <c r="B29" s="15">
        <v>277.89999999999998</v>
      </c>
      <c r="C29" s="11">
        <f t="shared" si="0"/>
        <v>453.11332130080467</v>
      </c>
      <c r="D29" s="11">
        <f t="shared" si="1"/>
        <v>453.11332130080467</v>
      </c>
      <c r="E29" s="18">
        <f t="shared" si="2"/>
        <v>453.11332130080467</v>
      </c>
      <c r="F29" s="23">
        <f t="shared" si="3"/>
        <v>453.11332130080467</v>
      </c>
      <c r="G29" s="15">
        <f t="shared" si="4"/>
        <v>1637.239963902414</v>
      </c>
      <c r="I29">
        <v>2.2402085656452027E-2</v>
      </c>
    </row>
    <row r="30" spans="1:9" x14ac:dyDescent="0.3">
      <c r="A30" s="1" t="s">
        <v>35</v>
      </c>
      <c r="B30" s="15">
        <v>163.47</v>
      </c>
      <c r="C30" s="11">
        <f t="shared" si="0"/>
        <v>266.44601091552403</v>
      </c>
      <c r="D30" s="11">
        <f t="shared" si="1"/>
        <v>266.44601091552403</v>
      </c>
      <c r="E30" s="18">
        <f t="shared" si="2"/>
        <v>266.44601091552403</v>
      </c>
      <c r="F30" s="23">
        <f t="shared" si="3"/>
        <v>266.44601091552403</v>
      </c>
      <c r="G30" s="15">
        <f t="shared" si="4"/>
        <v>962.80803274657205</v>
      </c>
      <c r="I30">
        <v>1.3173186659385291E-2</v>
      </c>
    </row>
    <row r="31" spans="1:9" x14ac:dyDescent="0.3">
      <c r="A31" s="1" t="s">
        <v>36</v>
      </c>
      <c r="B31" s="15">
        <v>245.2</v>
      </c>
      <c r="C31" s="11">
        <f t="shared" si="0"/>
        <v>399.86413496433977</v>
      </c>
      <c r="D31" s="11">
        <f t="shared" si="1"/>
        <v>399.86413496433977</v>
      </c>
      <c r="E31" s="18">
        <f t="shared" si="2"/>
        <v>399.86413496433977</v>
      </c>
      <c r="F31" s="23">
        <f t="shared" si="3"/>
        <v>399.86413496433977</v>
      </c>
      <c r="G31" s="15">
        <f t="shared" si="4"/>
        <v>1444.7924048930195</v>
      </c>
      <c r="I31">
        <v>1.9769426722432416E-2</v>
      </c>
    </row>
    <row r="32" spans="1:9" x14ac:dyDescent="0.3">
      <c r="A32" s="1" t="s">
        <v>37</v>
      </c>
      <c r="B32" s="15">
        <v>296.06</v>
      </c>
      <c r="C32" s="11">
        <f t="shared" si="0"/>
        <v>482.93339478438725</v>
      </c>
      <c r="D32" s="11">
        <f t="shared" si="1"/>
        <v>482.93339478438725</v>
      </c>
      <c r="E32" s="18">
        <f t="shared" si="2"/>
        <v>482.93339478438725</v>
      </c>
      <c r="F32" s="23">
        <f t="shared" si="3"/>
        <v>482.93339478438725</v>
      </c>
      <c r="G32" s="15">
        <f t="shared" si="4"/>
        <v>1744.8601843531617</v>
      </c>
      <c r="I32">
        <v>2.3876400820135837E-2</v>
      </c>
    </row>
    <row r="33" spans="1:9" x14ac:dyDescent="0.3">
      <c r="A33" s="1" t="s">
        <v>38</v>
      </c>
      <c r="B33" s="15">
        <v>217.96</v>
      </c>
      <c r="C33" s="11">
        <f t="shared" si="0"/>
        <v>355.52095482630972</v>
      </c>
      <c r="D33" s="11">
        <f t="shared" si="1"/>
        <v>355.52095482630972</v>
      </c>
      <c r="E33" s="18">
        <f t="shared" si="2"/>
        <v>355.52095482630972</v>
      </c>
      <c r="F33" s="23">
        <f t="shared" si="3"/>
        <v>355.52095482630972</v>
      </c>
      <c r="G33" s="15">
        <f t="shared" si="4"/>
        <v>1284.522864478929</v>
      </c>
      <c r="I33">
        <v>1.7577083939660499E-2</v>
      </c>
    </row>
    <row r="34" spans="1:9" x14ac:dyDescent="0.3">
      <c r="A34" s="1" t="s">
        <v>39</v>
      </c>
      <c r="B34" s="15">
        <v>277.89999999999998</v>
      </c>
      <c r="C34" s="11">
        <f t="shared" si="0"/>
        <v>453.11332130080467</v>
      </c>
      <c r="D34" s="11">
        <f t="shared" si="1"/>
        <v>453.11332130080467</v>
      </c>
      <c r="E34" s="18">
        <f t="shared" si="2"/>
        <v>453.11332130080467</v>
      </c>
      <c r="F34" s="23">
        <f t="shared" si="3"/>
        <v>453.11332130080467</v>
      </c>
      <c r="G34" s="15">
        <f t="shared" si="4"/>
        <v>1637.239963902414</v>
      </c>
      <c r="I34">
        <v>2.2402085656452027E-2</v>
      </c>
    </row>
    <row r="35" spans="1:9" x14ac:dyDescent="0.3">
      <c r="A35" s="1" t="s">
        <v>40</v>
      </c>
      <c r="B35" s="15">
        <v>245.2</v>
      </c>
      <c r="C35" s="11">
        <f t="shared" si="0"/>
        <v>399.86413496433977</v>
      </c>
      <c r="D35" s="11">
        <f t="shared" si="1"/>
        <v>399.86413496433977</v>
      </c>
      <c r="E35" s="18">
        <f t="shared" si="2"/>
        <v>399.86413496433977</v>
      </c>
      <c r="F35" s="23">
        <f t="shared" si="3"/>
        <v>399.86413496433977</v>
      </c>
      <c r="G35" s="15">
        <f t="shared" si="4"/>
        <v>1444.7924048930195</v>
      </c>
      <c r="I35">
        <v>1.9769426722432416E-2</v>
      </c>
    </row>
    <row r="36" spans="1:9" x14ac:dyDescent="0.3">
      <c r="A36" s="1" t="s">
        <v>41</v>
      </c>
      <c r="B36" s="15">
        <v>228.86</v>
      </c>
      <c r="C36" s="11">
        <f t="shared" si="0"/>
        <v>373.33462077056146</v>
      </c>
      <c r="D36" s="11">
        <f t="shared" si="1"/>
        <v>373.33462077056146</v>
      </c>
      <c r="E36" s="18">
        <f t="shared" si="2"/>
        <v>373.33462077056146</v>
      </c>
      <c r="F36" s="23">
        <f t="shared" si="3"/>
        <v>373.33462077056146</v>
      </c>
      <c r="G36" s="15">
        <f t="shared" si="4"/>
        <v>1348.8638623116844</v>
      </c>
      <c r="I36">
        <v>1.8457797994133478E-2</v>
      </c>
    </row>
    <row r="37" spans="1:9" x14ac:dyDescent="0.3">
      <c r="A37" s="1" t="s">
        <v>42</v>
      </c>
      <c r="B37" s="15">
        <v>199.79</v>
      </c>
      <c r="C37" s="11">
        <f t="shared" si="0"/>
        <v>325.89269283901723</v>
      </c>
      <c r="D37" s="11">
        <f t="shared" si="1"/>
        <v>325.89269283901723</v>
      </c>
      <c r="E37" s="18">
        <f t="shared" si="2"/>
        <v>325.89269283901723</v>
      </c>
      <c r="F37" s="23">
        <f t="shared" si="3"/>
        <v>325.89269283901723</v>
      </c>
      <c r="G37" s="15">
        <f t="shared" si="4"/>
        <v>1177.4680785170517</v>
      </c>
      <c r="I37">
        <v>1.6112252005376009E-2</v>
      </c>
    </row>
    <row r="38" spans="1:9" x14ac:dyDescent="0.3">
      <c r="A38" s="1" t="s">
        <v>43</v>
      </c>
      <c r="B38" s="15">
        <v>214.33</v>
      </c>
      <c r="C38" s="11">
        <f t="shared" si="0"/>
        <v>349.51857783033518</v>
      </c>
      <c r="D38" s="11">
        <f t="shared" si="1"/>
        <v>349.51857783033518</v>
      </c>
      <c r="E38" s="18">
        <f t="shared" si="2"/>
        <v>349.51857783033518</v>
      </c>
      <c r="F38" s="23">
        <f t="shared" si="3"/>
        <v>349.51857783033518</v>
      </c>
      <c r="G38" s="15">
        <f t="shared" si="4"/>
        <v>1262.8857334910056</v>
      </c>
      <c r="I38">
        <v>1.7280324261043874E-2</v>
      </c>
    </row>
    <row r="39" spans="1:9" x14ac:dyDescent="0.3">
      <c r="A39" s="1" t="s">
        <v>44</v>
      </c>
      <c r="B39" s="15">
        <v>170.73</v>
      </c>
      <c r="C39" s="11">
        <f t="shared" si="0"/>
        <v>278.45076490747311</v>
      </c>
      <c r="D39" s="11">
        <f t="shared" si="1"/>
        <v>278.45076490747311</v>
      </c>
      <c r="E39" s="18">
        <f t="shared" si="2"/>
        <v>278.45076490747311</v>
      </c>
      <c r="F39" s="23">
        <f t="shared" si="3"/>
        <v>278.45076490747311</v>
      </c>
      <c r="G39" s="15">
        <f t="shared" si="4"/>
        <v>1006.0822947224192</v>
      </c>
      <c r="I39">
        <v>1.3766706016618542E-2</v>
      </c>
    </row>
    <row r="40" spans="1:9" x14ac:dyDescent="0.3">
      <c r="A40" s="1" t="s">
        <v>45</v>
      </c>
      <c r="B40" s="15">
        <v>161.65</v>
      </c>
      <c r="C40" s="11">
        <f t="shared" si="0"/>
        <v>245.92052726510204</v>
      </c>
      <c r="D40" s="11">
        <f t="shared" si="1"/>
        <v>245.92052726510204</v>
      </c>
      <c r="E40" s="18">
        <f t="shared" si="2"/>
        <v>245.92052726510204</v>
      </c>
      <c r="F40" s="23">
        <f t="shared" si="3"/>
        <v>245.92052726510204</v>
      </c>
      <c r="G40" s="15">
        <f t="shared" si="4"/>
        <v>899.41158179530612</v>
      </c>
      <c r="I40">
        <v>1.2158399361680559E-2</v>
      </c>
    </row>
    <row r="41" spans="1:9" x14ac:dyDescent="0.3">
      <c r="A41" s="1" t="s">
        <v>46</v>
      </c>
      <c r="B41" s="15">
        <v>170.73</v>
      </c>
      <c r="C41" s="11">
        <f t="shared" si="0"/>
        <v>278.45076490747311</v>
      </c>
      <c r="D41" s="11">
        <f t="shared" si="1"/>
        <v>278.45076490747311</v>
      </c>
      <c r="E41" s="18">
        <f t="shared" si="2"/>
        <v>278.45076490747311</v>
      </c>
      <c r="F41" s="23">
        <f t="shared" si="3"/>
        <v>278.45076490747311</v>
      </c>
      <c r="G41" s="15">
        <f t="shared" si="4"/>
        <v>1006.0822947224192</v>
      </c>
      <c r="I41">
        <v>1.3766706016618542E-2</v>
      </c>
    </row>
    <row r="42" spans="1:9" x14ac:dyDescent="0.3">
      <c r="A42" s="1" t="s">
        <v>47</v>
      </c>
      <c r="B42" s="15">
        <v>170.73</v>
      </c>
      <c r="C42" s="11">
        <f t="shared" si="0"/>
        <v>278.45076490747311</v>
      </c>
      <c r="D42" s="11">
        <f t="shared" si="1"/>
        <v>278.45076490747311</v>
      </c>
      <c r="E42" s="18">
        <f t="shared" si="2"/>
        <v>278.45076490747311</v>
      </c>
      <c r="F42" s="23">
        <f t="shared" si="3"/>
        <v>278.45076490747311</v>
      </c>
      <c r="G42" s="15">
        <f t="shared" si="4"/>
        <v>1006.0822947224192</v>
      </c>
      <c r="I42">
        <v>1.3766706016618542E-2</v>
      </c>
    </row>
    <row r="43" spans="1:9" x14ac:dyDescent="0.3">
      <c r="A43" s="1" t="s">
        <v>48</v>
      </c>
      <c r="B43" s="15">
        <v>326.94</v>
      </c>
      <c r="C43" s="11">
        <f t="shared" si="0"/>
        <v>545.09354796143271</v>
      </c>
      <c r="D43" s="11">
        <f t="shared" si="1"/>
        <v>545.09354796143271</v>
      </c>
      <c r="E43" s="18">
        <f t="shared" si="2"/>
        <v>545.09354796143271</v>
      </c>
      <c r="F43" s="23">
        <f t="shared" si="3"/>
        <v>545.09354796143271</v>
      </c>
      <c r="G43" s="15">
        <f t="shared" si="4"/>
        <v>1962.2206438842982</v>
      </c>
      <c r="I43">
        <v>2.6949621161335893E-2</v>
      </c>
    </row>
    <row r="44" spans="1:9" x14ac:dyDescent="0.3">
      <c r="A44" s="1" t="s">
        <v>49</v>
      </c>
      <c r="B44" s="15">
        <v>167.1</v>
      </c>
      <c r="C44" s="11">
        <f t="shared" si="0"/>
        <v>272.64185295517046</v>
      </c>
      <c r="D44" s="11">
        <f t="shared" si="1"/>
        <v>272.64185295517046</v>
      </c>
      <c r="E44" s="18">
        <f t="shared" si="2"/>
        <v>272.64185295517046</v>
      </c>
      <c r="F44" s="23">
        <f t="shared" si="3"/>
        <v>272.64185295517046</v>
      </c>
      <c r="G44" s="15">
        <f t="shared" si="4"/>
        <v>985.02555886551136</v>
      </c>
      <c r="I44">
        <v>1.3479511319378816E-2</v>
      </c>
    </row>
    <row r="45" spans="1:9" x14ac:dyDescent="0.3">
      <c r="A45" s="1" t="s">
        <v>50</v>
      </c>
      <c r="B45" s="15">
        <v>397.77</v>
      </c>
      <c r="C45" s="11">
        <f t="shared" si="0"/>
        <v>551.09427141002527</v>
      </c>
      <c r="D45" s="11">
        <f t="shared" si="1"/>
        <v>551.09427141002527</v>
      </c>
      <c r="E45" s="18">
        <f t="shared" si="2"/>
        <v>551.09427141002527</v>
      </c>
      <c r="F45" s="23">
        <f t="shared" si="3"/>
        <v>551.09427141002527</v>
      </c>
      <c r="G45" s="15">
        <f t="shared" si="4"/>
        <v>2051.0528142300759</v>
      </c>
      <c r="I45">
        <v>2.7246299087974934E-2</v>
      </c>
    </row>
    <row r="46" spans="1:9" x14ac:dyDescent="0.3">
      <c r="A46" s="1" t="s">
        <v>51</v>
      </c>
      <c r="B46" s="15">
        <v>277.89999999999998</v>
      </c>
      <c r="C46" s="11">
        <f t="shared" si="0"/>
        <v>453.11332130080467</v>
      </c>
      <c r="D46" s="11">
        <f t="shared" si="1"/>
        <v>453.11332130080467</v>
      </c>
      <c r="E46" s="18">
        <f t="shared" si="2"/>
        <v>453.11332130080467</v>
      </c>
      <c r="F46" s="23">
        <f t="shared" si="3"/>
        <v>453.11332130080467</v>
      </c>
      <c r="G46" s="15">
        <f t="shared" si="4"/>
        <v>1637.239963902414</v>
      </c>
      <c r="I46">
        <v>2.2402085656452027E-2</v>
      </c>
    </row>
    <row r="47" spans="1:9" x14ac:dyDescent="0.3">
      <c r="A47" s="1" t="s">
        <v>52</v>
      </c>
      <c r="B47" s="15">
        <v>221.6</v>
      </c>
      <c r="C47" s="11">
        <f t="shared" si="0"/>
        <v>313.88793884706814</v>
      </c>
      <c r="D47" s="11">
        <f t="shared" si="1"/>
        <v>313.88793884706814</v>
      </c>
      <c r="E47" s="18">
        <f t="shared" si="2"/>
        <v>313.88793884706814</v>
      </c>
      <c r="F47" s="23">
        <f t="shared" si="3"/>
        <v>313.88793884706814</v>
      </c>
      <c r="G47" s="15">
        <f t="shared" si="4"/>
        <v>1163.2638165412045</v>
      </c>
      <c r="I47">
        <v>1.5518732648142757E-2</v>
      </c>
    </row>
    <row r="48" spans="1:9" x14ac:dyDescent="0.3">
      <c r="A48" s="1" t="s">
        <v>53</v>
      </c>
      <c r="B48" s="15">
        <v>375.98</v>
      </c>
      <c r="C48" s="11">
        <f t="shared" si="0"/>
        <v>506.75109127199539</v>
      </c>
      <c r="D48" s="11">
        <f t="shared" si="1"/>
        <v>506.75109127199539</v>
      </c>
      <c r="E48" s="18">
        <f t="shared" si="2"/>
        <v>506.75109127199539</v>
      </c>
      <c r="F48" s="23">
        <f t="shared" si="3"/>
        <v>506.75109127199539</v>
      </c>
      <c r="G48" s="15">
        <f t="shared" si="4"/>
        <v>1896.2332738159862</v>
      </c>
      <c r="I48">
        <v>2.5053956305203025E-2</v>
      </c>
    </row>
    <row r="49" spans="1:9" x14ac:dyDescent="0.3">
      <c r="A49" s="1" t="s">
        <v>54</v>
      </c>
      <c r="B49" s="15">
        <v>245.2</v>
      </c>
      <c r="C49" s="11">
        <f t="shared" si="0"/>
        <v>399.86413496433977</v>
      </c>
      <c r="D49" s="11">
        <f t="shared" si="1"/>
        <v>399.86413496433977</v>
      </c>
      <c r="E49" s="18">
        <f t="shared" si="2"/>
        <v>399.86413496433977</v>
      </c>
      <c r="F49" s="23">
        <f t="shared" si="3"/>
        <v>399.86413496433977</v>
      </c>
      <c r="G49" s="15">
        <f t="shared" si="4"/>
        <v>1444.7924048930195</v>
      </c>
      <c r="I49">
        <v>1.9769426722432416E-2</v>
      </c>
    </row>
    <row r="50" spans="1:9" x14ac:dyDescent="0.3">
      <c r="A50" s="1" t="s">
        <v>55</v>
      </c>
      <c r="B50" s="15">
        <v>167.1</v>
      </c>
      <c r="C50" s="11">
        <f t="shared" si="0"/>
        <v>331.70325833870174</v>
      </c>
      <c r="D50" s="11">
        <f t="shared" si="1"/>
        <v>331.70325833870174</v>
      </c>
      <c r="E50" s="18">
        <f t="shared" si="2"/>
        <v>331.70325833870174</v>
      </c>
      <c r="F50" s="23">
        <f t="shared" si="3"/>
        <v>331.70325833870174</v>
      </c>
      <c r="G50" s="15">
        <f t="shared" si="4"/>
        <v>1162.2097750161051</v>
      </c>
      <c r="I50">
        <v>1.6399528454593318E-2</v>
      </c>
    </row>
    <row r="51" spans="1:9" x14ac:dyDescent="0.3">
      <c r="A51" s="1" t="s">
        <v>56</v>
      </c>
      <c r="B51" s="15">
        <v>167.1</v>
      </c>
      <c r="C51" s="11">
        <f t="shared" si="0"/>
        <v>272.64185295517046</v>
      </c>
      <c r="D51" s="11">
        <f t="shared" si="1"/>
        <v>272.64185295517046</v>
      </c>
      <c r="E51" s="18">
        <f t="shared" si="2"/>
        <v>272.64185295517046</v>
      </c>
      <c r="F51" s="23">
        <f t="shared" si="3"/>
        <v>272.64185295517046</v>
      </c>
      <c r="G51" s="15">
        <f t="shared" si="4"/>
        <v>985.02555886551136</v>
      </c>
      <c r="I51">
        <v>1.3479511319378816E-2</v>
      </c>
    </row>
    <row r="52" spans="1:9" x14ac:dyDescent="0.3">
      <c r="A52" s="1" t="s">
        <v>57</v>
      </c>
      <c r="B52" s="15">
        <v>170.74</v>
      </c>
      <c r="C52" s="11">
        <f t="shared" si="0"/>
        <v>278.45076490747311</v>
      </c>
      <c r="D52" s="11">
        <f t="shared" si="1"/>
        <v>278.45076490747311</v>
      </c>
      <c r="E52" s="18">
        <f t="shared" si="2"/>
        <v>278.45076490747311</v>
      </c>
      <c r="F52" s="23">
        <f t="shared" si="3"/>
        <v>278.45076490747311</v>
      </c>
      <c r="G52" s="15">
        <f t="shared" si="4"/>
        <v>1006.0922947224194</v>
      </c>
      <c r="I52">
        <v>1.3766706016618542E-2</v>
      </c>
    </row>
    <row r="53" spans="1:9" x14ac:dyDescent="0.3">
      <c r="A53" s="1" t="s">
        <v>58</v>
      </c>
      <c r="B53" s="15">
        <v>434.1</v>
      </c>
      <c r="C53" s="11">
        <f t="shared" si="0"/>
        <v>652.90318370813884</v>
      </c>
      <c r="D53" s="11">
        <f t="shared" si="1"/>
        <v>652.90318370813884</v>
      </c>
      <c r="E53" s="18">
        <f t="shared" si="2"/>
        <v>652.90318370813884</v>
      </c>
      <c r="F53" s="23">
        <f t="shared" si="3"/>
        <v>652.90318370813884</v>
      </c>
      <c r="G53" s="15">
        <f t="shared" si="4"/>
        <v>2392.8095511244164</v>
      </c>
      <c r="I53">
        <v>3.2279768347596327E-2</v>
      </c>
    </row>
    <row r="54" spans="1:9" x14ac:dyDescent="0.3">
      <c r="A54" s="1" t="s">
        <v>59</v>
      </c>
      <c r="B54" s="15">
        <v>228.85</v>
      </c>
      <c r="C54" s="11">
        <f t="shared" si="0"/>
        <v>373.33462077056146</v>
      </c>
      <c r="D54" s="11">
        <f t="shared" si="1"/>
        <v>373.33462077056146</v>
      </c>
      <c r="E54" s="18">
        <f t="shared" si="2"/>
        <v>373.33462077056146</v>
      </c>
      <c r="F54" s="23">
        <f t="shared" si="3"/>
        <v>373.33462077056146</v>
      </c>
      <c r="G54" s="15">
        <f t="shared" si="4"/>
        <v>1348.8538623116845</v>
      </c>
      <c r="I54">
        <v>1.8457797994133478E-2</v>
      </c>
    </row>
    <row r="55" spans="1:9" x14ac:dyDescent="0.3">
      <c r="A55" s="1" t="s">
        <v>60</v>
      </c>
      <c r="B55" s="15">
        <v>508.57</v>
      </c>
      <c r="C55" s="11">
        <f t="shared" si="0"/>
        <v>612.04733499834856</v>
      </c>
      <c r="D55" s="11">
        <f t="shared" si="1"/>
        <v>612.04733499834856</v>
      </c>
      <c r="E55" s="18">
        <f t="shared" si="2"/>
        <v>612.04733499834856</v>
      </c>
      <c r="F55" s="23">
        <f t="shared" si="3"/>
        <v>612.04733499834856</v>
      </c>
      <c r="G55" s="15">
        <f t="shared" si="4"/>
        <v>2344.7120049950454</v>
      </c>
      <c r="I55">
        <v>3.0259840485541343E-2</v>
      </c>
    </row>
    <row r="56" spans="1:9" x14ac:dyDescent="0.3">
      <c r="A56" s="1" t="s">
        <v>61</v>
      </c>
      <c r="B56" s="15">
        <v>308.77</v>
      </c>
      <c r="C56" s="11">
        <f t="shared" si="0"/>
        <v>411.8688889562888</v>
      </c>
      <c r="D56" s="11">
        <f t="shared" si="1"/>
        <v>411.8688889562888</v>
      </c>
      <c r="E56" s="18">
        <f t="shared" si="2"/>
        <v>411.8688889562888</v>
      </c>
      <c r="F56" s="23">
        <f t="shared" si="3"/>
        <v>411.8688889562888</v>
      </c>
      <c r="G56" s="15">
        <f t="shared" si="4"/>
        <v>1544.3766668688666</v>
      </c>
      <c r="I56">
        <v>2.0362946079665666E-2</v>
      </c>
    </row>
    <row r="57" spans="1:9" x14ac:dyDescent="0.3">
      <c r="A57" s="1" t="s">
        <v>62</v>
      </c>
      <c r="B57" s="15"/>
      <c r="C57" s="11">
        <f t="shared" si="0"/>
        <v>278.45076490747311</v>
      </c>
      <c r="D57" s="11">
        <f t="shared" si="1"/>
        <v>278.45076490747311</v>
      </c>
      <c r="E57" s="18">
        <f t="shared" si="2"/>
        <v>278.45076490747311</v>
      </c>
      <c r="F57" s="23">
        <f t="shared" si="3"/>
        <v>278.45076490747311</v>
      </c>
      <c r="G57" s="15">
        <f t="shared" si="4"/>
        <v>835.3522947224194</v>
      </c>
      <c r="I57">
        <v>1.3766706016618542E-2</v>
      </c>
    </row>
    <row r="58" spans="1:9" ht="15" thickBot="1" x14ac:dyDescent="0.35">
      <c r="B58" s="16">
        <f>SUM(B5:B57)</f>
        <v>12654.28</v>
      </c>
      <c r="C58" s="12">
        <f>SUM(C5:C57)</f>
        <v>20226.39</v>
      </c>
      <c r="D58" s="12">
        <f>SUM(D5:D57)</f>
        <v>20226.39</v>
      </c>
      <c r="E58" s="12">
        <f>SUM(E5:E57)</f>
        <v>20226.39</v>
      </c>
      <c r="F58" s="24">
        <f>SUM(F5:F57)</f>
        <v>20226.39</v>
      </c>
      <c r="G58" s="20">
        <f>SUM(G5:G57)</f>
        <v>73333.450000000026</v>
      </c>
    </row>
    <row r="59" spans="1:9" ht="15" thickTop="1" x14ac:dyDescent="0.3"/>
  </sheetData>
  <mergeCells count="1">
    <mergeCell ref="A1:E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opLeftCell="A41" workbookViewId="0">
      <selection activeCell="C4" sqref="C4:C56"/>
    </sheetView>
  </sheetViews>
  <sheetFormatPr defaultRowHeight="14.4" x14ac:dyDescent="0.3"/>
  <cols>
    <col min="2" max="2" width="12" customWidth="1"/>
  </cols>
  <sheetData>
    <row r="1" spans="1:3" x14ac:dyDescent="0.3">
      <c r="A1" t="s">
        <v>63</v>
      </c>
    </row>
    <row r="3" spans="1:3" x14ac:dyDescent="0.3">
      <c r="A3" t="s">
        <v>65</v>
      </c>
      <c r="B3" t="s">
        <v>64</v>
      </c>
      <c r="C3" t="s">
        <v>66</v>
      </c>
    </row>
    <row r="4" spans="1:3" x14ac:dyDescent="0.3">
      <c r="A4">
        <v>1</v>
      </c>
      <c r="B4" s="4">
        <v>1936.5540000000001</v>
      </c>
      <c r="C4">
        <f>B4/$B$57</f>
        <v>1.3766706016618542E-2</v>
      </c>
    </row>
    <row r="5" spans="1:3" x14ac:dyDescent="0.3">
      <c r="A5">
        <v>2</v>
      </c>
      <c r="B5" s="4">
        <v>3151.2874999999999</v>
      </c>
      <c r="C5">
        <f t="shared" ref="C5:C56" si="0">B5/$B$57</f>
        <v>2.2402085656452027E-2</v>
      </c>
    </row>
    <row r="6" spans="1:3" x14ac:dyDescent="0.3">
      <c r="A6">
        <v>3</v>
      </c>
      <c r="B6" s="4">
        <v>3151.2874999999999</v>
      </c>
      <c r="C6">
        <f t="shared" si="0"/>
        <v>2.2402085656452027E-2</v>
      </c>
    </row>
    <row r="7" spans="1:3" x14ac:dyDescent="0.3">
      <c r="A7">
        <v>4</v>
      </c>
      <c r="B7" s="4">
        <v>1896.1545000000001</v>
      </c>
      <c r="C7">
        <f t="shared" si="0"/>
        <v>1.3479511319378816E-2</v>
      </c>
    </row>
    <row r="8" spans="1:3" x14ac:dyDescent="0.3">
      <c r="A8">
        <v>5</v>
      </c>
      <c r="B8" s="4">
        <v>3151.2874999999999</v>
      </c>
      <c r="C8">
        <f t="shared" si="0"/>
        <v>2.2402085656452027E-2</v>
      </c>
    </row>
    <row r="9" spans="1:3" x14ac:dyDescent="0.3">
      <c r="A9">
        <v>6</v>
      </c>
      <c r="B9" s="4">
        <v>3378.884</v>
      </c>
      <c r="C9">
        <f t="shared" si="0"/>
        <v>2.4020039044744493E-2</v>
      </c>
    </row>
    <row r="10" spans="1:3" x14ac:dyDescent="0.3">
      <c r="A10">
        <v>7</v>
      </c>
      <c r="B10" s="4">
        <v>3151.2874999999999</v>
      </c>
      <c r="C10">
        <f t="shared" si="0"/>
        <v>2.2402085656452027E-2</v>
      </c>
    </row>
    <row r="11" spans="1:3" x14ac:dyDescent="0.3">
      <c r="A11">
        <v>8</v>
      </c>
      <c r="B11" s="4">
        <v>1853.0640000000001</v>
      </c>
      <c r="C11">
        <f t="shared" si="0"/>
        <v>1.3173186659385291E-2</v>
      </c>
    </row>
    <row r="12" spans="1:3" x14ac:dyDescent="0.3">
      <c r="A12">
        <v>9</v>
      </c>
      <c r="B12" s="4">
        <v>2576.2530000000002</v>
      </c>
      <c r="C12">
        <f t="shared" si="0"/>
        <v>1.8314241521502406E-2</v>
      </c>
    </row>
    <row r="13" spans="1:3" x14ac:dyDescent="0.3">
      <c r="A13">
        <v>10</v>
      </c>
      <c r="B13" s="4">
        <v>3316.9335000000001</v>
      </c>
      <c r="C13">
        <f t="shared" si="0"/>
        <v>2.3579641141519215E-2</v>
      </c>
    </row>
    <row r="14" spans="1:3" x14ac:dyDescent="0.3">
      <c r="A14">
        <v>11</v>
      </c>
      <c r="B14" s="4">
        <v>1896.1545000000001</v>
      </c>
      <c r="C14">
        <f t="shared" si="0"/>
        <v>1.3479511319378816E-2</v>
      </c>
    </row>
    <row r="15" spans="1:3" x14ac:dyDescent="0.3">
      <c r="A15">
        <v>12</v>
      </c>
      <c r="B15" s="4">
        <v>1936.5540000000001</v>
      </c>
      <c r="C15">
        <f t="shared" si="0"/>
        <v>1.3766706016618542E-2</v>
      </c>
    </row>
    <row r="16" spans="1:3" x14ac:dyDescent="0.3">
      <c r="A16">
        <v>13</v>
      </c>
      <c r="B16" s="4">
        <v>1936.5195000000001</v>
      </c>
      <c r="C16">
        <f t="shared" si="0"/>
        <v>1.3766460760685802E-2</v>
      </c>
    </row>
    <row r="17" spans="1:3" x14ac:dyDescent="0.3">
      <c r="A17">
        <v>14</v>
      </c>
      <c r="B17" s="4">
        <v>3378.884</v>
      </c>
      <c r="C17">
        <f t="shared" si="0"/>
        <v>2.4020039044744493E-2</v>
      </c>
    </row>
    <row r="18" spans="1:3" x14ac:dyDescent="0.3">
      <c r="A18">
        <v>15</v>
      </c>
      <c r="B18" s="4">
        <v>2780.953</v>
      </c>
      <c r="C18">
        <f t="shared" si="0"/>
        <v>1.9769426722432416E-2</v>
      </c>
    </row>
    <row r="19" spans="1:3" x14ac:dyDescent="0.3">
      <c r="A19">
        <v>16</v>
      </c>
      <c r="B19" s="4">
        <v>1936.5540000000001</v>
      </c>
      <c r="C19">
        <f t="shared" si="0"/>
        <v>1.3766706016618542E-2</v>
      </c>
    </row>
    <row r="20" spans="1:3" x14ac:dyDescent="0.3">
      <c r="A20">
        <v>17</v>
      </c>
      <c r="B20" s="4">
        <v>3131.0934999999999</v>
      </c>
      <c r="C20">
        <f t="shared" si="0"/>
        <v>2.2258529183820954E-2</v>
      </c>
    </row>
    <row r="21" spans="1:3" x14ac:dyDescent="0.3">
      <c r="A21">
        <v>18</v>
      </c>
      <c r="B21" s="4">
        <v>3131.0934999999999</v>
      </c>
      <c r="C21">
        <f t="shared" si="0"/>
        <v>2.2258529183820954E-2</v>
      </c>
    </row>
    <row r="22" spans="1:3" x14ac:dyDescent="0.3">
      <c r="A22">
        <v>19</v>
      </c>
      <c r="B22" s="4">
        <v>2780.953</v>
      </c>
      <c r="C22">
        <f t="shared" si="0"/>
        <v>1.9769426722432416E-2</v>
      </c>
    </row>
    <row r="23" spans="1:3" x14ac:dyDescent="0.3">
      <c r="A23">
        <v>20</v>
      </c>
      <c r="B23" s="4">
        <v>1896.1545000000001</v>
      </c>
      <c r="C23">
        <f t="shared" si="0"/>
        <v>1.3479511319378816E-2</v>
      </c>
    </row>
    <row r="24" spans="1:3" x14ac:dyDescent="0.3">
      <c r="A24">
        <v>21</v>
      </c>
      <c r="B24" s="4">
        <v>1896.1545000000001</v>
      </c>
      <c r="C24">
        <f t="shared" si="0"/>
        <v>1.3479511319378816E-2</v>
      </c>
    </row>
    <row r="25" spans="1:3" x14ac:dyDescent="0.3">
      <c r="A25">
        <v>22</v>
      </c>
      <c r="B25" s="4">
        <v>2780.953</v>
      </c>
      <c r="C25">
        <f t="shared" si="0"/>
        <v>1.9769426722432416E-2</v>
      </c>
    </row>
    <row r="26" spans="1:3" x14ac:dyDescent="0.3">
      <c r="A26">
        <v>23</v>
      </c>
      <c r="B26" s="4">
        <v>2780.953</v>
      </c>
      <c r="C26">
        <f t="shared" si="0"/>
        <v>1.9769426722432416E-2</v>
      </c>
    </row>
    <row r="27" spans="1:3" x14ac:dyDescent="0.3">
      <c r="A27">
        <v>24</v>
      </c>
      <c r="B27" s="4">
        <v>2986.9870000000001</v>
      </c>
      <c r="C27">
        <f t="shared" si="0"/>
        <v>2.1234095152761746E-2</v>
      </c>
    </row>
    <row r="28" spans="1:3" x14ac:dyDescent="0.3">
      <c r="A28">
        <v>25</v>
      </c>
      <c r="B28" s="4">
        <v>3151.2874999999999</v>
      </c>
      <c r="C28">
        <f t="shared" si="0"/>
        <v>2.2402085656452027E-2</v>
      </c>
    </row>
    <row r="29" spans="1:3" x14ac:dyDescent="0.3">
      <c r="A29">
        <v>26</v>
      </c>
      <c r="B29" s="4">
        <v>1853.0640000000001</v>
      </c>
      <c r="C29">
        <f t="shared" si="0"/>
        <v>1.3173186659385291E-2</v>
      </c>
    </row>
    <row r="30" spans="1:3" x14ac:dyDescent="0.3">
      <c r="A30">
        <v>27</v>
      </c>
      <c r="B30" s="4">
        <v>2780.953</v>
      </c>
      <c r="C30">
        <f t="shared" si="0"/>
        <v>1.9769426722432416E-2</v>
      </c>
    </row>
    <row r="31" spans="1:3" x14ac:dyDescent="0.3">
      <c r="A31">
        <v>28</v>
      </c>
      <c r="B31" s="4">
        <v>3358.6785</v>
      </c>
      <c r="C31">
        <f t="shared" si="0"/>
        <v>2.3876400820135837E-2</v>
      </c>
    </row>
    <row r="32" spans="1:3" x14ac:dyDescent="0.3">
      <c r="A32">
        <v>29</v>
      </c>
      <c r="B32" s="4">
        <v>2472.5574999999999</v>
      </c>
      <c r="C32">
        <f t="shared" si="0"/>
        <v>1.7577083939660499E-2</v>
      </c>
    </row>
    <row r="33" spans="1:3" x14ac:dyDescent="0.3">
      <c r="A33">
        <v>30</v>
      </c>
      <c r="B33" s="4">
        <v>3151.2874999999999</v>
      </c>
      <c r="C33">
        <f t="shared" si="0"/>
        <v>2.2402085656452027E-2</v>
      </c>
    </row>
    <row r="34" spans="1:3" x14ac:dyDescent="0.3">
      <c r="A34">
        <v>31</v>
      </c>
      <c r="B34" s="4">
        <v>2780.953</v>
      </c>
      <c r="C34">
        <f t="shared" si="0"/>
        <v>1.9769426722432416E-2</v>
      </c>
    </row>
    <row r="35" spans="1:3" x14ac:dyDescent="0.3">
      <c r="A35">
        <v>32</v>
      </c>
      <c r="B35" s="4">
        <v>2596.4470000000001</v>
      </c>
      <c r="C35">
        <f t="shared" si="0"/>
        <v>1.8457797994133478E-2</v>
      </c>
    </row>
    <row r="36" spans="1:3" x14ac:dyDescent="0.3">
      <c r="A36">
        <v>33</v>
      </c>
      <c r="B36" s="4">
        <v>2266.5005000000001</v>
      </c>
      <c r="C36">
        <f t="shared" si="0"/>
        <v>1.6112252005376009E-2</v>
      </c>
    </row>
    <row r="37" spans="1:3" x14ac:dyDescent="0.3">
      <c r="A37">
        <v>34</v>
      </c>
      <c r="B37" s="4">
        <v>2430.8125</v>
      </c>
      <c r="C37">
        <f t="shared" si="0"/>
        <v>1.7280324261043874E-2</v>
      </c>
    </row>
    <row r="38" spans="1:3" x14ac:dyDescent="0.3">
      <c r="A38">
        <v>35</v>
      </c>
      <c r="B38" s="4">
        <v>1936.5540000000001</v>
      </c>
      <c r="C38">
        <f t="shared" si="0"/>
        <v>1.3766706016618542E-2</v>
      </c>
    </row>
    <row r="39" spans="1:3" x14ac:dyDescent="0.3">
      <c r="A39">
        <v>36</v>
      </c>
      <c r="B39" s="4">
        <v>1710.3145</v>
      </c>
      <c r="C39">
        <f t="shared" si="0"/>
        <v>1.2158399361680559E-2</v>
      </c>
    </row>
    <row r="40" spans="1:3" x14ac:dyDescent="0.3">
      <c r="A40">
        <v>37</v>
      </c>
      <c r="B40" s="4">
        <v>1936.5540000000001</v>
      </c>
      <c r="C40">
        <f t="shared" si="0"/>
        <v>1.3766706016618542E-2</v>
      </c>
    </row>
    <row r="41" spans="1:3" x14ac:dyDescent="0.3">
      <c r="A41">
        <v>38</v>
      </c>
      <c r="B41" s="4">
        <v>1936.5540000000001</v>
      </c>
      <c r="C41">
        <f t="shared" si="0"/>
        <v>1.3766706016618542E-2</v>
      </c>
    </row>
    <row r="42" spans="1:3" x14ac:dyDescent="0.3">
      <c r="A42">
        <v>39</v>
      </c>
      <c r="B42" s="4">
        <v>3790.9865</v>
      </c>
      <c r="C42">
        <f t="shared" si="0"/>
        <v>2.6949621161335893E-2</v>
      </c>
    </row>
    <row r="43" spans="1:3" x14ac:dyDescent="0.3">
      <c r="A43">
        <v>40</v>
      </c>
      <c r="B43" s="4">
        <v>1896.1545000000001</v>
      </c>
      <c r="C43">
        <f t="shared" si="0"/>
        <v>1.3479511319378816E-2</v>
      </c>
    </row>
    <row r="44" spans="1:3" x14ac:dyDescent="0.3">
      <c r="A44">
        <v>41</v>
      </c>
      <c r="B44" s="4">
        <v>3832.72</v>
      </c>
      <c r="C44">
        <f t="shared" si="0"/>
        <v>2.7246299087974934E-2</v>
      </c>
    </row>
    <row r="45" spans="1:3" x14ac:dyDescent="0.3">
      <c r="A45">
        <v>42</v>
      </c>
      <c r="B45" s="4">
        <v>3151.2874999999999</v>
      </c>
      <c r="C45">
        <f t="shared" si="0"/>
        <v>2.2402085656452027E-2</v>
      </c>
    </row>
    <row r="46" spans="1:3" x14ac:dyDescent="0.3">
      <c r="A46">
        <v>43</v>
      </c>
      <c r="B46" s="4">
        <v>2183.0104999999999</v>
      </c>
      <c r="C46">
        <f t="shared" si="0"/>
        <v>1.5518732648142757E-2</v>
      </c>
    </row>
    <row r="47" spans="1:3" x14ac:dyDescent="0.3">
      <c r="A47">
        <v>44</v>
      </c>
      <c r="B47" s="4">
        <v>3524.3245000000002</v>
      </c>
      <c r="C47">
        <f t="shared" si="0"/>
        <v>2.5053956305203025E-2</v>
      </c>
    </row>
    <row r="48" spans="1:3" x14ac:dyDescent="0.3">
      <c r="A48">
        <v>45</v>
      </c>
      <c r="B48" s="4">
        <v>2780.953</v>
      </c>
      <c r="C48">
        <f t="shared" si="0"/>
        <v>1.9769426722432416E-2</v>
      </c>
    </row>
    <row r="49" spans="1:3" x14ac:dyDescent="0.3">
      <c r="A49">
        <v>46</v>
      </c>
      <c r="B49" s="4">
        <v>2306.9115000000002</v>
      </c>
      <c r="C49">
        <f t="shared" si="0"/>
        <v>1.6399528454593318E-2</v>
      </c>
    </row>
    <row r="50" spans="1:3" x14ac:dyDescent="0.3">
      <c r="A50">
        <v>47</v>
      </c>
      <c r="B50" s="4">
        <v>1896.1545000000001</v>
      </c>
      <c r="C50">
        <f t="shared" si="0"/>
        <v>1.3479511319378816E-2</v>
      </c>
    </row>
    <row r="51" spans="1:3" x14ac:dyDescent="0.3">
      <c r="A51">
        <v>48</v>
      </c>
      <c r="B51" s="4">
        <v>1936.5540000000001</v>
      </c>
      <c r="C51">
        <f t="shared" si="0"/>
        <v>1.3766706016618542E-2</v>
      </c>
    </row>
    <row r="52" spans="1:3" x14ac:dyDescent="0.3">
      <c r="A52">
        <v>49</v>
      </c>
      <c r="B52" s="4">
        <v>4540.7749999999996</v>
      </c>
      <c r="C52">
        <f t="shared" si="0"/>
        <v>3.2279768347596327E-2</v>
      </c>
    </row>
    <row r="53" spans="1:3" x14ac:dyDescent="0.3">
      <c r="A53">
        <v>50</v>
      </c>
      <c r="B53" s="4">
        <v>2596.4470000000001</v>
      </c>
      <c r="C53">
        <f t="shared" si="0"/>
        <v>1.8457797994133478E-2</v>
      </c>
    </row>
    <row r="54" spans="1:3" x14ac:dyDescent="0.3">
      <c r="A54">
        <v>51</v>
      </c>
      <c r="B54" s="4">
        <v>4256.6329999999998</v>
      </c>
      <c r="C54">
        <f t="shared" si="0"/>
        <v>3.0259840485541343E-2</v>
      </c>
    </row>
    <row r="55" spans="1:3" x14ac:dyDescent="0.3">
      <c r="A55">
        <v>52</v>
      </c>
      <c r="B55" s="4">
        <v>2864.4430000000002</v>
      </c>
      <c r="C55">
        <f t="shared" si="0"/>
        <v>2.0362946079665666E-2</v>
      </c>
    </row>
    <row r="56" spans="1:3" x14ac:dyDescent="0.3">
      <c r="A56">
        <v>53</v>
      </c>
      <c r="B56" s="5">
        <v>1936.5540000000001</v>
      </c>
      <c r="C56">
        <f t="shared" si="0"/>
        <v>1.3766706016618542E-2</v>
      </c>
    </row>
    <row r="57" spans="1:3" ht="15" thickBot="1" x14ac:dyDescent="0.35">
      <c r="B57" s="6">
        <f t="shared" ref="B57:C57" si="1">SUM(B4:B56)</f>
        <v>140669.38</v>
      </c>
      <c r="C57" s="7">
        <f t="shared" si="1"/>
        <v>1.0000000000000002</v>
      </c>
    </row>
    <row r="58" spans="1:3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</dc:creator>
  <cp:lastModifiedBy>Johanna</cp:lastModifiedBy>
  <dcterms:created xsi:type="dcterms:W3CDTF">2017-11-07T07:40:13Z</dcterms:created>
  <dcterms:modified xsi:type="dcterms:W3CDTF">2018-01-11T07:19:03Z</dcterms:modified>
</cp:coreProperties>
</file>