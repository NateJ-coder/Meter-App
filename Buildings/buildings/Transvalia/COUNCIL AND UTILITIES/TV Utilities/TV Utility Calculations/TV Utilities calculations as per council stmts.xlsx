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34bf7e17c5f615/STS Filing Cabinet/Buildings/Current Portfolio/TV/TV Utilities/TV Utility Calculations/"/>
    </mc:Choice>
  </mc:AlternateContent>
  <xr:revisionPtr revIDLastSave="564" documentId="8_{74667817-D752-4B63-96C3-430FC3F1B1D2}" xr6:coauthVersionLast="45" xr6:coauthVersionMax="45" xr10:uidLastSave="{1DAAE3A8-EB1C-417E-9A1C-7BFA4964CA2B}"/>
  <bookViews>
    <workbookView xWindow="-120" yWindow="-120" windowWidth="20730" windowHeight="11760" xr2:uid="{156EA3EE-CEDB-45B8-B514-DF32174E11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" i="1" l="1"/>
  <c r="V6" i="1"/>
  <c r="U22" i="1" l="1"/>
  <c r="U20" i="1" l="1"/>
  <c r="U23" i="1" s="1"/>
  <c r="U27" i="1" s="1"/>
  <c r="U19" i="1"/>
  <c r="U8" i="1"/>
  <c r="U15" i="1"/>
  <c r="AA13" i="1"/>
  <c r="AA11" i="1"/>
  <c r="U16" i="1" l="1"/>
  <c r="T19" i="1"/>
  <c r="T22" i="1" s="1"/>
  <c r="T12" i="1"/>
  <c r="T15" i="1" s="1"/>
  <c r="T7" i="1"/>
  <c r="T6" i="1"/>
  <c r="S27" i="1"/>
  <c r="S19" i="1"/>
  <c r="S22" i="1" s="1"/>
  <c r="T20" i="1" l="1"/>
  <c r="T23" i="1" s="1"/>
  <c r="T27" i="1" s="1"/>
  <c r="T8" i="1"/>
  <c r="T16" i="1" s="1"/>
  <c r="S12" i="1"/>
  <c r="S15" i="1" s="1"/>
  <c r="S7" i="1"/>
  <c r="S6" i="1"/>
  <c r="S20" i="1" l="1"/>
  <c r="S23" i="1" s="1"/>
  <c r="S8" i="1"/>
  <c r="S16" i="1" s="1"/>
  <c r="R17" i="1"/>
  <c r="R12" i="1"/>
  <c r="R14" i="1" s="1"/>
  <c r="R7" i="1"/>
  <c r="R6" i="1"/>
  <c r="R5" i="1"/>
  <c r="R19" i="1" s="1"/>
  <c r="R22" i="1" s="1"/>
  <c r="R8" i="1" l="1"/>
  <c r="R16" i="1"/>
  <c r="R20" i="1"/>
  <c r="R23" i="1" s="1"/>
  <c r="Q22" i="1"/>
  <c r="Q19" i="1"/>
  <c r="Q12" i="1" l="1"/>
  <c r="Q14" i="1" s="1"/>
  <c r="Q7" i="1"/>
  <c r="Q6" i="1"/>
  <c r="P12" i="1"/>
  <c r="P14" i="1" s="1"/>
  <c r="P10" i="1"/>
  <c r="AA10" i="1" s="1"/>
  <c r="P7" i="1"/>
  <c r="P6" i="1"/>
  <c r="P5" i="1"/>
  <c r="AA5" i="1" s="1"/>
  <c r="P4" i="1"/>
  <c r="AA4" i="1" s="1"/>
  <c r="Q8" i="1" l="1"/>
  <c r="P8" i="1"/>
  <c r="P16" i="1" s="1"/>
  <c r="Q20" i="1"/>
  <c r="Q23" i="1" s="1"/>
  <c r="Q16" i="1"/>
  <c r="E12" i="1"/>
  <c r="E14" i="1" s="1"/>
  <c r="C8" i="1"/>
  <c r="E7" i="1"/>
  <c r="E8" i="1" s="1"/>
  <c r="E6" i="1"/>
  <c r="J16" i="1"/>
  <c r="O12" i="1"/>
  <c r="O14" i="1" s="1"/>
  <c r="O7" i="1"/>
  <c r="O8" i="1" s="1"/>
  <c r="O16" i="1" s="1"/>
  <c r="O6" i="1"/>
  <c r="N12" i="1"/>
  <c r="N14" i="1" s="1"/>
  <c r="N7" i="1"/>
  <c r="N8" i="1" s="1"/>
  <c r="N16" i="1" s="1"/>
  <c r="N6" i="1"/>
  <c r="M12" i="1"/>
  <c r="M14" i="1" s="1"/>
  <c r="M7" i="1"/>
  <c r="M6" i="1"/>
  <c r="M8" i="1" s="1"/>
  <c r="M16" i="1" s="1"/>
  <c r="L12" i="1"/>
  <c r="L14" i="1" s="1"/>
  <c r="L7" i="1"/>
  <c r="L6" i="1"/>
  <c r="L8" i="1" s="1"/>
  <c r="K12" i="1"/>
  <c r="K14" i="1" s="1"/>
  <c r="K7" i="1"/>
  <c r="K6" i="1"/>
  <c r="J12" i="1"/>
  <c r="J7" i="1"/>
  <c r="J6" i="1"/>
  <c r="I12" i="1"/>
  <c r="I14" i="1" s="1"/>
  <c r="I7" i="1"/>
  <c r="I8" i="1" s="1"/>
  <c r="I16" i="1" s="1"/>
  <c r="I6" i="1"/>
  <c r="F8" i="1"/>
  <c r="F14" i="1"/>
  <c r="H12" i="1"/>
  <c r="H14" i="1" s="1"/>
  <c r="H7" i="1"/>
  <c r="H6" i="1"/>
  <c r="H8" i="1" s="1"/>
  <c r="L16" i="1" l="1"/>
  <c r="F16" i="1"/>
  <c r="K8" i="1"/>
  <c r="K16" i="1" s="1"/>
  <c r="E16" i="1"/>
  <c r="H16" i="1"/>
  <c r="AD7" i="1"/>
  <c r="G7" i="1"/>
  <c r="G12" i="1"/>
  <c r="G14" i="1" s="1"/>
  <c r="G6" i="1"/>
  <c r="G8" i="1" l="1"/>
  <c r="G16" i="1" s="1"/>
  <c r="AD8" i="1"/>
  <c r="AF8" i="1" s="1"/>
  <c r="AF7" i="1"/>
  <c r="B12" i="1"/>
  <c r="B7" i="1"/>
  <c r="B6" i="1"/>
  <c r="D12" i="1"/>
  <c r="D14" i="1" s="1"/>
  <c r="C12" i="1"/>
  <c r="C14" i="1" s="1"/>
  <c r="C16" i="1" s="1"/>
  <c r="D7" i="1"/>
  <c r="D6" i="1"/>
  <c r="D8" i="1" s="1"/>
  <c r="AA12" i="1" l="1"/>
  <c r="B14" i="1"/>
  <c r="D16" i="1"/>
  <c r="AA6" i="1"/>
  <c r="AD9" i="1" s="1"/>
  <c r="AF9" i="1" s="1"/>
  <c r="B8" i="1"/>
  <c r="AA7" i="1"/>
  <c r="AD10" i="1" s="1"/>
  <c r="AF10" i="1" s="1"/>
  <c r="B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1" authorId="0" shapeId="0" xr:uid="{3A3089D9-4D49-4E6B-BB53-9C28509AFF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Due by 7 Oct</t>
        </r>
      </text>
    </comment>
    <comment ref="T1" authorId="0" shapeId="0" xr:uid="{B969AFA4-0785-43B9-80FB-271F9013D8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Due 7 Nov</t>
        </r>
      </text>
    </comment>
    <comment ref="S3" authorId="0" shapeId="0" xr:uid="{15D94D5F-C600-489A-9951-DDDACB1647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Interest on Arrears</t>
        </r>
      </text>
    </comment>
    <comment ref="R5" authorId="0" shapeId="0" xr:uid="{C7F0584B-5105-4B35-9E15-A7ACF0516B7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Adj on Billing ESE221?</t>
        </r>
      </text>
    </comment>
    <comment ref="J8" authorId="0" shapeId="0" xr:uid="{33FF8736-41CE-4C15-953E-1A69C446C4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VAT ADJ LEVY charges NOV '18 changed total from R7,346.66.</t>
        </r>
      </text>
    </comment>
    <comment ref="J14" authorId="0" shapeId="0" xr:uid="{5E685001-F8C4-4DA8-AA89-663E879C1F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VAT ADJ LEVY 14% NOV 18 changed total from 8280.61.</t>
        </r>
      </text>
    </comment>
    <comment ref="S14" authorId="0" shapeId="0" xr:uid="{DBD98068-AFBA-4FD4-9B9F-7E236FC7CB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Interest on Arrears</t>
        </r>
      </text>
    </comment>
    <comment ref="T17" authorId="0" shapeId="0" xr:uid="{95F43224-64DE-4D5D-8360-5BEA5921D9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Due 7 Nov</t>
        </r>
      </text>
    </comment>
    <comment ref="R22" authorId="0" shapeId="0" xr:uid="{6AE5C041-CD4E-4814-B879-419B59A738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Ave. up to Aug used: R229.98</t>
        </r>
      </text>
    </comment>
    <comment ref="R23" authorId="0" shapeId="0" xr:uid="{AEED5539-EB56-4721-8006-F2C0AEB343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Ave. up to Aug used: R356.03</t>
        </r>
      </text>
    </comment>
    <comment ref="S23" authorId="0" shapeId="0" xr:uid="{69DDB315-EE1B-4BD3-81DB-C42EDE711B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 split over 6 mts: 233.25</t>
        </r>
      </text>
    </comment>
    <comment ref="S25" authorId="0" shapeId="0" xr:uid="{EB551ADA-05BF-4721-9984-D3B60B79FB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 at Sep bill.</t>
        </r>
      </text>
    </comment>
  </commentList>
</comments>
</file>

<file path=xl/sharedStrings.xml><?xml version="1.0" encoding="utf-8"?>
<sst xmlns="http://schemas.openxmlformats.org/spreadsheetml/2006/main" count="82" uniqueCount="68">
  <si>
    <t>Transvalia Utilities as per Council Statements</t>
  </si>
  <si>
    <t xml:space="preserve">Refuse: </t>
  </si>
  <si>
    <t xml:space="preserve">Elec:       </t>
  </si>
  <si>
    <t xml:space="preserve">Water: </t>
  </si>
  <si>
    <t>San:</t>
  </si>
  <si>
    <t>Water:</t>
  </si>
  <si>
    <t>Refuse:</t>
  </si>
  <si>
    <t>Elec:</t>
  </si>
  <si>
    <t xml:space="preserve">Aug (1147): </t>
  </si>
  <si>
    <t xml:space="preserve">Aug (1149): </t>
  </si>
  <si>
    <t>Jul (1147):</t>
  </si>
  <si>
    <t>Jun (1147):</t>
  </si>
  <si>
    <t>May (1147):</t>
  </si>
  <si>
    <t>May (1149):</t>
  </si>
  <si>
    <t>Jun (1149):</t>
  </si>
  <si>
    <t>Jul (1149):</t>
  </si>
  <si>
    <t>Feb (1147):</t>
  </si>
  <si>
    <t>Feb (1149):</t>
  </si>
  <si>
    <t>Average Amounts:</t>
  </si>
  <si>
    <t>TOTALS</t>
  </si>
  <si>
    <t>R per Unit per Month</t>
  </si>
  <si>
    <t>(Prepaid)</t>
  </si>
  <si>
    <t>Sep (1147):</t>
  </si>
  <si>
    <t>Sep (1149):</t>
  </si>
  <si>
    <t>Oct (1147):</t>
  </si>
  <si>
    <t>Oct (1149):</t>
  </si>
  <si>
    <t>Nov (1147):</t>
  </si>
  <si>
    <t>Dec (1147):</t>
  </si>
  <si>
    <t>Jan '19 (1147):</t>
  </si>
  <si>
    <t>Mar (1147):</t>
  </si>
  <si>
    <t>Apr (1147):</t>
  </si>
  <si>
    <t>Nov (1149):</t>
  </si>
  <si>
    <t>Dec (1149):</t>
  </si>
  <si>
    <t>Jan '19 (1149):</t>
  </si>
  <si>
    <t>Mar (1149):</t>
  </si>
  <si>
    <t>Apr (1149):</t>
  </si>
  <si>
    <t xml:space="preserve">Elec charges are static &amp; no meter readings. </t>
  </si>
  <si>
    <t>Water meter readings &amp; dates, but excessive charge.</t>
  </si>
  <si>
    <t>No swimming pool. Perhaps a leak?</t>
  </si>
  <si>
    <t>Refuse charge v high - why?</t>
  </si>
  <si>
    <t>CONCLUSIONS:</t>
  </si>
  <si>
    <t>Pieter adv this +/-R200 elec charge per unit is a surcharge.</t>
  </si>
  <si>
    <t>Sep levy stmts</t>
  </si>
  <si>
    <t>ELEC TOTAL:</t>
  </si>
  <si>
    <t>WATER TOTAL:</t>
  </si>
  <si>
    <t>PER UNIT ELEC:</t>
  </si>
  <si>
    <t>PER UNIT W:</t>
  </si>
  <si>
    <t>Aug (1147):</t>
  </si>
  <si>
    <t>Aug (1149):</t>
  </si>
  <si>
    <t>(Amt Payable)</t>
  </si>
  <si>
    <t>19/09 (1147)</t>
  </si>
  <si>
    <t>19/09 (1149)</t>
  </si>
  <si>
    <t>Oct</t>
  </si>
  <si>
    <r>
      <t>Prepaid elec meters - why so high?</t>
    </r>
    <r>
      <rPr>
        <sz val="11"/>
        <color rgb="FF00B050"/>
        <rFont val="Calibri"/>
        <family val="2"/>
        <scheme val="minor"/>
      </rPr>
      <t xml:space="preserve"> </t>
    </r>
  </si>
  <si>
    <r>
      <t>Need to budget for in levies.</t>
    </r>
    <r>
      <rPr>
        <sz val="10"/>
        <color rgb="FF00B050"/>
        <rFont val="Calibri"/>
        <family val="2"/>
        <scheme val="minor"/>
      </rPr>
      <t xml:space="preserve"> - Billing as separate line item.</t>
    </r>
  </si>
  <si>
    <t>Nov stmts</t>
  </si>
  <si>
    <t>AVE. used</t>
  </si>
  <si>
    <t>Ave. Water +</t>
  </si>
  <si>
    <t>Backbill split</t>
  </si>
  <si>
    <t>16/10 (1147):</t>
  </si>
  <si>
    <t>16/10 (1149):</t>
  </si>
  <si>
    <t>Dec stmts</t>
  </si>
  <si>
    <t>Dec water</t>
  </si>
  <si>
    <t>Jan water</t>
  </si>
  <si>
    <t>Jan stmts</t>
  </si>
  <si>
    <t>21/11 (1147):</t>
  </si>
  <si>
    <t>21/11 (1149):</t>
  </si>
  <si>
    <t>23/01/2020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</si>
</sst>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R-1C09]* #,##0.00_-;\-[$R-1C09]* #,##0.00_-;_-[$R-1C09]* &quot;-&quot;??_-;_-@_-"/>
  </numFmts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2" fontId="2" fillId="0" borderId="0" xfId="0" applyNumberFormat="1" applyFont="1"/>
    <xf numFmtId="2" fontId="3" fillId="0" borderId="0" xfId="0" applyNumberFormat="1" applyFont="1"/>
    <xf numFmtId="2" fontId="1" fillId="0" borderId="0" xfId="0" applyNumberFormat="1" applyFont="1"/>
    <xf numFmtId="2" fontId="4" fillId="0" borderId="0" xfId="0" applyNumberFormat="1" applyFont="1"/>
    <xf numFmtId="2" fontId="7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165" fontId="12" fillId="0" borderId="0" xfId="0" applyNumberFormat="1" applyFont="1"/>
    <xf numFmtId="0" fontId="7" fillId="0" borderId="2" xfId="0" applyFont="1" applyBorder="1"/>
    <xf numFmtId="2" fontId="1" fillId="0" borderId="0" xfId="0" applyNumberFormat="1" applyFont="1" applyBorder="1"/>
    <xf numFmtId="0" fontId="13" fillId="0" borderId="0" xfId="0" applyFont="1" applyBorder="1"/>
    <xf numFmtId="2" fontId="9" fillId="0" borderId="0" xfId="0" applyNumberFormat="1" applyFont="1" applyBorder="1"/>
    <xf numFmtId="2" fontId="10" fillId="0" borderId="0" xfId="0" applyNumberFormat="1" applyFont="1" applyBorder="1"/>
    <xf numFmtId="2" fontId="11" fillId="0" borderId="0" xfId="0" applyNumberFormat="1" applyFont="1" applyBorder="1"/>
    <xf numFmtId="2" fontId="12" fillId="0" borderId="0" xfId="0" applyNumberFormat="1" applyFont="1" applyBorder="1"/>
    <xf numFmtId="0" fontId="1" fillId="0" borderId="0" xfId="0" applyFont="1" applyBorder="1"/>
    <xf numFmtId="0" fontId="0" fillId="0" borderId="3" xfId="0" applyBorder="1"/>
    <xf numFmtId="0" fontId="17" fillId="0" borderId="3" xfId="0" applyFont="1" applyBorder="1"/>
    <xf numFmtId="0" fontId="14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7" fillId="0" borderId="0" xfId="0" applyFont="1" applyBorder="1"/>
    <xf numFmtId="0" fontId="9" fillId="0" borderId="1" xfId="0" applyFont="1" applyBorder="1" applyAlignment="1">
      <alignment horizontal="left" vertical="center"/>
    </xf>
    <xf numFmtId="2" fontId="3" fillId="0" borderId="1" xfId="0" applyNumberFormat="1" applyFont="1" applyBorder="1"/>
    <xf numFmtId="0" fontId="10" fillId="0" borderId="1" xfId="0" applyFont="1" applyBorder="1" applyAlignment="1">
      <alignment horizontal="left" vertical="center"/>
    </xf>
    <xf numFmtId="2" fontId="1" fillId="0" borderId="1" xfId="0" applyNumberFormat="1" applyFont="1" applyBorder="1"/>
    <xf numFmtId="0" fontId="11" fillId="0" borderId="1" xfId="0" applyFont="1" applyBorder="1" applyAlignment="1">
      <alignment horizontal="left" vertical="center"/>
    </xf>
    <xf numFmtId="2" fontId="4" fillId="0" borderId="1" xfId="0" applyNumberFormat="1" applyFont="1" applyBorder="1"/>
    <xf numFmtId="0" fontId="12" fillId="0" borderId="1" xfId="0" applyFont="1" applyBorder="1" applyAlignment="1">
      <alignment horizontal="left" vertical="center"/>
    </xf>
    <xf numFmtId="2" fontId="7" fillId="0" borderId="1" xfId="0" applyNumberFormat="1" applyFont="1" applyBorder="1"/>
    <xf numFmtId="0" fontId="18" fillId="0" borderId="0" xfId="0" applyFont="1"/>
    <xf numFmtId="0" fontId="19" fillId="0" borderId="0" xfId="0" applyFont="1"/>
    <xf numFmtId="164" fontId="2" fillId="0" borderId="3" xfId="0" applyNumberFormat="1" applyFont="1" applyBorder="1"/>
    <xf numFmtId="0" fontId="9" fillId="0" borderId="0" xfId="0" applyFont="1" applyAlignment="1">
      <alignment horizontal="center"/>
    </xf>
    <xf numFmtId="0" fontId="0" fillId="0" borderId="4" xfId="0" applyBorder="1"/>
    <xf numFmtId="0" fontId="0" fillId="0" borderId="0" xfId="0" applyBorder="1"/>
    <xf numFmtId="164" fontId="2" fillId="0" borderId="0" xfId="0" applyNumberFormat="1" applyFont="1" applyBorder="1"/>
    <xf numFmtId="0" fontId="0" fillId="0" borderId="0" xfId="0" applyFill="1" applyBorder="1"/>
    <xf numFmtId="0" fontId="17" fillId="2" borderId="0" xfId="0" applyFont="1" applyFill="1"/>
    <xf numFmtId="164" fontId="17" fillId="2" borderId="0" xfId="0" applyNumberFormat="1" applyFont="1" applyFill="1"/>
    <xf numFmtId="0" fontId="0" fillId="0" borderId="2" xfId="0" applyBorder="1"/>
    <xf numFmtId="0" fontId="1" fillId="3" borderId="0" xfId="0" applyFont="1" applyFill="1"/>
    <xf numFmtId="0" fontId="4" fillId="3" borderId="0" xfId="0" applyFont="1" applyFill="1"/>
    <xf numFmtId="0" fontId="0" fillId="3" borderId="4" xfId="0" applyFill="1" applyBorder="1"/>
    <xf numFmtId="2" fontId="1" fillId="3" borderId="0" xfId="0" applyNumberFormat="1" applyFont="1" applyFill="1"/>
    <xf numFmtId="2" fontId="4" fillId="3" borderId="0" xfId="0" applyNumberFormat="1" applyFont="1" applyFill="1"/>
    <xf numFmtId="0" fontId="0" fillId="4" borderId="0" xfId="0" applyFill="1"/>
    <xf numFmtId="0" fontId="0" fillId="5" borderId="0" xfId="0" applyFill="1"/>
    <xf numFmtId="0" fontId="22" fillId="4" borderId="4" xfId="0" applyFont="1" applyFill="1" applyBorder="1"/>
    <xf numFmtId="0" fontId="0" fillId="0" borderId="0" xfId="0" applyFont="1" applyAlignment="1">
      <alignment horizontal="right" vertical="center"/>
    </xf>
    <xf numFmtId="0" fontId="0" fillId="0" borderId="5" xfId="0" applyBorder="1"/>
    <xf numFmtId="0" fontId="4" fillId="4" borderId="0" xfId="0" applyFont="1" applyFill="1"/>
    <xf numFmtId="2" fontId="4" fillId="4" borderId="0" xfId="0" applyNumberFormat="1" applyFont="1" applyFill="1"/>
    <xf numFmtId="165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00DB-AC4E-40BD-A352-89587C37558A}">
  <sheetPr>
    <pageSetUpPr fitToPage="1"/>
  </sheetPr>
  <dimension ref="A1:AH27"/>
  <sheetViews>
    <sheetView tabSelected="1" topLeftCell="N1" zoomScale="70" zoomScaleNormal="70" workbookViewId="0">
      <selection activeCell="V9" sqref="V9"/>
    </sheetView>
  </sheetViews>
  <sheetFormatPr defaultRowHeight="15" x14ac:dyDescent="0.25"/>
  <cols>
    <col min="2" max="5" width="14.5703125" bestFit="1" customWidth="1"/>
    <col min="6" max="6" width="14.85546875" bestFit="1" customWidth="1"/>
    <col min="7" max="7" width="14.5703125" bestFit="1" customWidth="1"/>
    <col min="8" max="8" width="14.28515625" bestFit="1" customWidth="1"/>
    <col min="9" max="10" width="14.28515625" hidden="1" customWidth="1"/>
    <col min="11" max="11" width="17.7109375" hidden="1" customWidth="1"/>
    <col min="12" max="12" width="14.28515625" hidden="1" customWidth="1"/>
    <col min="13" max="13" width="14.5703125" hidden="1" customWidth="1"/>
    <col min="14" max="14" width="14.5703125" bestFit="1" customWidth="1"/>
    <col min="15" max="15" width="14.28515625" bestFit="1" customWidth="1"/>
    <col min="16" max="16" width="14.85546875" bestFit="1" customWidth="1"/>
    <col min="17" max="17" width="14.42578125" bestFit="1" customWidth="1"/>
    <col min="18" max="24" width="14.42578125" customWidth="1"/>
    <col min="25" max="25" width="14" customWidth="1"/>
    <col min="26" max="26" width="8.85546875" customWidth="1"/>
    <col min="27" max="27" width="9.7109375" customWidth="1"/>
    <col min="28" max="28" width="5.140625" customWidth="1"/>
    <col min="31" max="31" width="5.85546875" customWidth="1"/>
    <col min="33" max="33" width="10.140625" bestFit="1" customWidth="1"/>
  </cols>
  <sheetData>
    <row r="1" spans="1:34" ht="21" x14ac:dyDescent="0.35">
      <c r="A1" s="51" t="s">
        <v>0</v>
      </c>
      <c r="B1" s="10"/>
      <c r="C1" s="9"/>
      <c r="R1" s="58" t="s">
        <v>49</v>
      </c>
      <c r="S1" s="59">
        <v>20551.580000000002</v>
      </c>
      <c r="T1" s="59">
        <v>27021.27</v>
      </c>
    </row>
    <row r="2" spans="1:34" x14ac:dyDescent="0.25">
      <c r="E2" s="14"/>
      <c r="R2" s="59">
        <v>18097.78</v>
      </c>
      <c r="S2" s="4" t="s">
        <v>50</v>
      </c>
      <c r="T2" s="8" t="s">
        <v>59</v>
      </c>
      <c r="U2" s="8" t="s">
        <v>65</v>
      </c>
      <c r="V2" t="s">
        <v>67</v>
      </c>
    </row>
    <row r="3" spans="1:34" x14ac:dyDescent="0.25">
      <c r="B3" s="8" t="s">
        <v>16</v>
      </c>
      <c r="C3" s="8" t="s">
        <v>12</v>
      </c>
      <c r="D3" s="8" t="s">
        <v>11</v>
      </c>
      <c r="E3" s="8" t="s">
        <v>10</v>
      </c>
      <c r="F3" s="4" t="s">
        <v>8</v>
      </c>
      <c r="G3" s="4" t="s">
        <v>22</v>
      </c>
      <c r="H3" s="4" t="s">
        <v>24</v>
      </c>
      <c r="I3" s="4" t="s">
        <v>26</v>
      </c>
      <c r="J3" s="4" t="s">
        <v>27</v>
      </c>
      <c r="K3" s="4" t="s">
        <v>28</v>
      </c>
      <c r="L3" s="4" t="s">
        <v>16</v>
      </c>
      <c r="M3" s="4" t="s">
        <v>29</v>
      </c>
      <c r="N3" s="4" t="s">
        <v>30</v>
      </c>
      <c r="O3" s="4" t="s">
        <v>12</v>
      </c>
      <c r="P3" s="4" t="s">
        <v>11</v>
      </c>
      <c r="Q3" s="4" t="s">
        <v>10</v>
      </c>
      <c r="R3" s="4" t="s">
        <v>47</v>
      </c>
      <c r="S3">
        <v>19.63</v>
      </c>
      <c r="T3" s="69">
        <v>105.2</v>
      </c>
      <c r="U3" s="69">
        <v>105.2</v>
      </c>
      <c r="V3" s="4">
        <v>288.61</v>
      </c>
      <c r="W3" s="4"/>
      <c r="X3" s="4"/>
      <c r="Y3" s="4"/>
      <c r="AA3" s="3" t="s">
        <v>18</v>
      </c>
      <c r="AC3" s="8"/>
    </row>
    <row r="4" spans="1:34" s="1" customFormat="1" x14ac:dyDescent="0.25">
      <c r="A4" s="15" t="s">
        <v>1</v>
      </c>
      <c r="B4" s="5">
        <v>1002.06</v>
      </c>
      <c r="C4" s="5">
        <v>1010.85</v>
      </c>
      <c r="D4" s="1">
        <v>1010.85</v>
      </c>
      <c r="E4" s="1">
        <v>1091.7</v>
      </c>
      <c r="F4" s="1">
        <v>1091.7</v>
      </c>
      <c r="G4" s="1">
        <v>1091.7</v>
      </c>
      <c r="H4" s="1">
        <v>1091.7</v>
      </c>
      <c r="I4" s="1">
        <v>1082.2</v>
      </c>
      <c r="J4" s="1">
        <v>1091.7</v>
      </c>
      <c r="K4" s="1">
        <v>1091.7</v>
      </c>
      <c r="L4" s="1">
        <v>1091.7</v>
      </c>
      <c r="M4" s="1">
        <v>1091.7</v>
      </c>
      <c r="N4" s="1">
        <v>1091.7</v>
      </c>
      <c r="O4" s="1">
        <v>1091.7</v>
      </c>
      <c r="P4" s="1">
        <f>949.3+142.4</f>
        <v>1091.7</v>
      </c>
      <c r="Q4" s="1">
        <v>1091.7</v>
      </c>
      <c r="R4" s="1">
        <v>1091.7</v>
      </c>
      <c r="S4" s="1">
        <v>1091.7</v>
      </c>
      <c r="T4" s="1">
        <v>1091.7</v>
      </c>
      <c r="U4" s="1">
        <v>1091.7</v>
      </c>
      <c r="V4" s="1">
        <v>1091.7</v>
      </c>
      <c r="AA4" s="20">
        <f>AVERAGE(B4:Z4)</f>
        <v>1079.279047619048</v>
      </c>
      <c r="AC4" s="24"/>
    </row>
    <row r="5" spans="1:34" s="2" customFormat="1" x14ac:dyDescent="0.25">
      <c r="A5" s="16" t="s">
        <v>2</v>
      </c>
      <c r="B5" s="6">
        <v>2113.79</v>
      </c>
      <c r="C5" s="6">
        <v>2132.33</v>
      </c>
      <c r="D5" s="2">
        <v>2132.33</v>
      </c>
      <c r="E5" s="2">
        <v>2278.15</v>
      </c>
      <c r="F5" s="2">
        <v>2278.15</v>
      </c>
      <c r="G5" s="2">
        <v>2278.15</v>
      </c>
      <c r="H5" s="2">
        <v>2278.15</v>
      </c>
      <c r="I5" s="2">
        <v>2258.34</v>
      </c>
      <c r="J5" s="2">
        <v>2278.15</v>
      </c>
      <c r="K5" s="2">
        <v>2278.15</v>
      </c>
      <c r="L5" s="2">
        <v>2278.15</v>
      </c>
      <c r="M5" s="2">
        <v>2278.15</v>
      </c>
      <c r="N5" s="2">
        <v>2278.15</v>
      </c>
      <c r="O5" s="2">
        <v>2278.15</v>
      </c>
      <c r="P5" s="2">
        <f>2278.15</f>
        <v>2278.15</v>
      </c>
      <c r="Q5" s="2">
        <v>2575.89</v>
      </c>
      <c r="R5" s="2">
        <f>498.39+2575.89</f>
        <v>3074.2799999999997</v>
      </c>
      <c r="S5" s="2">
        <v>2575.89</v>
      </c>
      <c r="T5" s="2">
        <v>2575.89</v>
      </c>
      <c r="U5" s="2">
        <v>2575.89</v>
      </c>
      <c r="V5" s="2">
        <v>2575.89</v>
      </c>
      <c r="AA5" s="21">
        <f>AVERAGE(B5:Z5)</f>
        <v>2364.2938095238096</v>
      </c>
      <c r="AC5" s="25"/>
    </row>
    <row r="6" spans="1:34" s="11" customFormat="1" x14ac:dyDescent="0.25">
      <c r="A6" s="17" t="s">
        <v>3</v>
      </c>
      <c r="B6" s="7">
        <f>1702.34+417.24+192.66</f>
        <v>2312.2399999999998</v>
      </c>
      <c r="C6" s="7">
        <v>2004.22</v>
      </c>
      <c r="D6" s="11">
        <f>1212.19+420.9+194.35</f>
        <v>1827.44</v>
      </c>
      <c r="E6" s="11">
        <f>1692.19+472.31+218.06</f>
        <v>2382.56</v>
      </c>
      <c r="F6" s="11">
        <v>2305.52</v>
      </c>
      <c r="G6" s="11">
        <f>1756.83+472.31+218.06</f>
        <v>2447.1999999999998</v>
      </c>
      <c r="H6" s="11">
        <f>1870.18+472.31+218.06</f>
        <v>2560.5500000000002</v>
      </c>
      <c r="I6" s="11">
        <f>1657.29+468.2+216.17</f>
        <v>2341.66</v>
      </c>
      <c r="J6" s="11">
        <f>2068.53+472.31+218.06</f>
        <v>2758.9</v>
      </c>
      <c r="K6" s="11">
        <f>1926.85+472.31+218.06</f>
        <v>2617.2199999999998</v>
      </c>
      <c r="L6" s="11">
        <f>1643.49+472.31+218.06</f>
        <v>2333.86</v>
      </c>
      <c r="M6" s="11">
        <f>2153.54+472.31+218.06</f>
        <v>2843.91</v>
      </c>
      <c r="N6" s="11">
        <f>3542+472.31+218.06</f>
        <v>4232.37</v>
      </c>
      <c r="O6" s="11">
        <f>1926.85+472.31+218.06</f>
        <v>2617.2199999999998</v>
      </c>
      <c r="P6" s="11">
        <f>2550.24+472.31+218.06</f>
        <v>3240.6099999999997</v>
      </c>
      <c r="Q6" s="11">
        <f>2921.82+509.57+235.29</f>
        <v>3666.6800000000003</v>
      </c>
      <c r="R6" s="11">
        <f>3424.79+509.57+235.29</f>
        <v>4169.6500000000005</v>
      </c>
      <c r="S6" s="11">
        <f>2660.33+509.57+235.29</f>
        <v>3405.19</v>
      </c>
      <c r="T6" s="11">
        <f>917.36+509.57+235.29</f>
        <v>1662.22</v>
      </c>
      <c r="U6" s="11">
        <v>1662.22</v>
      </c>
      <c r="V6" s="11">
        <f>917.36+509.57+235.29</f>
        <v>1662.22</v>
      </c>
      <c r="AA6" s="22">
        <f>AVERAGE(B6:Z6)</f>
        <v>2621.6028571428578</v>
      </c>
      <c r="AC6" s="73" t="s">
        <v>19</v>
      </c>
      <c r="AD6" s="73"/>
      <c r="AF6" s="74" t="s">
        <v>20</v>
      </c>
      <c r="AG6" s="74"/>
      <c r="AH6" s="30"/>
    </row>
    <row r="7" spans="1:34" s="13" customFormat="1" x14ac:dyDescent="0.25">
      <c r="A7" s="18" t="s">
        <v>4</v>
      </c>
      <c r="B7" s="12">
        <f>467.45-140.23+724.58</f>
        <v>1051.8000000000002</v>
      </c>
      <c r="C7" s="12">
        <v>997.91</v>
      </c>
      <c r="D7" s="13">
        <f>332.86-99.85+730.94</f>
        <v>963.95</v>
      </c>
      <c r="E7" s="13">
        <f>48.17-14.46+820.07</f>
        <v>853.78000000000009</v>
      </c>
      <c r="F7" s="28">
        <v>1130.7</v>
      </c>
      <c r="G7" s="28">
        <f>482.7-144.81+820.07</f>
        <v>1157.96</v>
      </c>
      <c r="H7" s="28">
        <f>513.84-154.16+820.07</f>
        <v>1179.75</v>
      </c>
      <c r="I7" s="28">
        <f>455.35-136.61+812.93</f>
        <v>1131.67</v>
      </c>
      <c r="J7" s="13">
        <f>568.34-170.5+820.07</f>
        <v>1217.9100000000001</v>
      </c>
      <c r="K7" s="13">
        <f>529.41-158.83+820.07</f>
        <v>1190.6500000000001</v>
      </c>
      <c r="L7" s="13">
        <f>451.56-135.47+820.07</f>
        <v>1136.1600000000001</v>
      </c>
      <c r="M7" s="13">
        <f>591.7-177.51+820.07</f>
        <v>1234.2600000000002</v>
      </c>
      <c r="N7" s="13">
        <f>973.19-291.96+820.07</f>
        <v>1501.3000000000002</v>
      </c>
      <c r="O7" s="13">
        <f>529.41-158.83+820.07</f>
        <v>1190.6500000000001</v>
      </c>
      <c r="P7" s="13">
        <f>700.7-210.21+820.07</f>
        <v>1310.56</v>
      </c>
      <c r="Q7" s="13">
        <f>86.39-25.92+862.73</f>
        <v>923.2</v>
      </c>
      <c r="R7" s="28">
        <f>917.06-275.11+862.73</f>
        <v>1504.6799999999998</v>
      </c>
      <c r="S7" s="28">
        <f>712.36-213.7+862.73</f>
        <v>1361.39</v>
      </c>
      <c r="T7" s="28">
        <f>245.64-73.69+862.73</f>
        <v>1034.68</v>
      </c>
      <c r="U7" s="28">
        <v>1034.68</v>
      </c>
      <c r="V7" s="13">
        <v>862.73</v>
      </c>
      <c r="AA7" s="23">
        <f>AVERAGE(B7:Z7)</f>
        <v>1141.4461904761904</v>
      </c>
      <c r="AC7" s="42" t="s">
        <v>6</v>
      </c>
      <c r="AD7" s="43">
        <f>AA4+AA10</f>
        <v>2157.9370476190484</v>
      </c>
      <c r="AF7" s="20">
        <f>AD7/20</f>
        <v>107.89685238095242</v>
      </c>
      <c r="AH7" s="31"/>
    </row>
    <row r="8" spans="1:34" x14ac:dyDescent="0.25">
      <c r="A8" s="8"/>
      <c r="B8" s="36">
        <f t="shared" ref="B8:C8" si="0">SUM(B4:B7)</f>
        <v>6479.89</v>
      </c>
      <c r="C8" s="36">
        <f t="shared" si="0"/>
        <v>6145.3099999999995</v>
      </c>
      <c r="D8" s="36">
        <f t="shared" ref="D8:I8" si="1">SUM(D4:D7)</f>
        <v>5934.57</v>
      </c>
      <c r="E8" s="36">
        <f t="shared" si="1"/>
        <v>6606.19</v>
      </c>
      <c r="F8">
        <f t="shared" si="1"/>
        <v>6806.0700000000006</v>
      </c>
      <c r="G8">
        <f t="shared" si="1"/>
        <v>6975.01</v>
      </c>
      <c r="H8">
        <f t="shared" si="1"/>
        <v>7110.1500000000005</v>
      </c>
      <c r="I8">
        <f t="shared" si="1"/>
        <v>6813.87</v>
      </c>
      <c r="J8" s="37">
        <v>7406.44</v>
      </c>
      <c r="K8" s="36">
        <f t="shared" ref="K8:Q8" si="2">SUM(K4:K7)</f>
        <v>7177.7199999999993</v>
      </c>
      <c r="L8" s="36">
        <f t="shared" si="2"/>
        <v>6839.8700000000008</v>
      </c>
      <c r="M8" s="36">
        <f t="shared" si="2"/>
        <v>7448.02</v>
      </c>
      <c r="N8" s="36">
        <f t="shared" si="2"/>
        <v>9103.52</v>
      </c>
      <c r="O8" s="36">
        <f t="shared" si="2"/>
        <v>7177.7199999999993</v>
      </c>
      <c r="P8" s="36">
        <f t="shared" si="2"/>
        <v>7921.02</v>
      </c>
      <c r="Q8" s="36">
        <f t="shared" si="2"/>
        <v>8257.4700000000012</v>
      </c>
      <c r="R8" s="57">
        <f>SUM(R4:R7)</f>
        <v>9840.3100000000013</v>
      </c>
      <c r="S8" s="57">
        <f>SUM(S3:S7)</f>
        <v>8453.7999999999993</v>
      </c>
      <c r="T8" s="57">
        <f>SUM(T3:T7)</f>
        <v>6469.6900000000005</v>
      </c>
      <c r="U8" s="55">
        <f>SUM(U3:U7)</f>
        <v>6469.6900000000005</v>
      </c>
      <c r="V8" s="55">
        <f>SUM(V3:V7)</f>
        <v>6481.15</v>
      </c>
      <c r="W8" s="55"/>
      <c r="X8" s="55"/>
      <c r="Y8" s="55"/>
      <c r="AA8" s="19"/>
      <c r="AC8" s="44" t="s">
        <v>7</v>
      </c>
      <c r="AD8" s="45">
        <f>AA5+AA11</f>
        <v>4693.0883095238096</v>
      </c>
      <c r="AF8" s="29">
        <f>AD8/20</f>
        <v>234.65441547619048</v>
      </c>
      <c r="AG8" t="s">
        <v>21</v>
      </c>
      <c r="AH8" s="32"/>
    </row>
    <row r="9" spans="1:34" x14ac:dyDescent="0.25">
      <c r="A9" s="8"/>
      <c r="B9" s="8" t="s">
        <v>17</v>
      </c>
      <c r="C9" s="8" t="s">
        <v>13</v>
      </c>
      <c r="D9" s="8" t="s">
        <v>14</v>
      </c>
      <c r="E9" s="8" t="s">
        <v>15</v>
      </c>
      <c r="F9" s="8" t="s">
        <v>9</v>
      </c>
      <c r="G9" s="8" t="s">
        <v>23</v>
      </c>
      <c r="H9" s="8" t="s">
        <v>25</v>
      </c>
      <c r="I9" s="4" t="s">
        <v>31</v>
      </c>
      <c r="J9" s="4" t="s">
        <v>32</v>
      </c>
      <c r="K9" s="4" t="s">
        <v>33</v>
      </c>
      <c r="L9" s="4" t="s">
        <v>17</v>
      </c>
      <c r="M9" s="4" t="s">
        <v>34</v>
      </c>
      <c r="N9" s="4" t="s">
        <v>35</v>
      </c>
      <c r="O9" s="4" t="s">
        <v>13</v>
      </c>
      <c r="P9" s="4" t="s">
        <v>14</v>
      </c>
      <c r="Q9" s="4" t="s">
        <v>15</v>
      </c>
      <c r="R9" s="4" t="s">
        <v>48</v>
      </c>
      <c r="S9" s="4" t="s">
        <v>51</v>
      </c>
      <c r="T9" s="4" t="s">
        <v>60</v>
      </c>
      <c r="U9" s="4" t="s">
        <v>66</v>
      </c>
      <c r="V9" s="4"/>
      <c r="W9" s="4"/>
      <c r="X9" s="4"/>
      <c r="Y9" s="4"/>
      <c r="AA9" s="3" t="s">
        <v>18</v>
      </c>
      <c r="AC9" s="46" t="s">
        <v>5</v>
      </c>
      <c r="AD9" s="47">
        <f>AA6+AA12</f>
        <v>7759.2928571428574</v>
      </c>
      <c r="AF9" s="22">
        <f>AD9/20</f>
        <v>387.96464285714285</v>
      </c>
      <c r="AH9" s="33"/>
    </row>
    <row r="10" spans="1:34" s="1" customFormat="1" x14ac:dyDescent="0.25">
      <c r="A10" s="15" t="s">
        <v>6</v>
      </c>
      <c r="B10" s="5">
        <v>1002.06</v>
      </c>
      <c r="C10" s="5">
        <v>1010.85</v>
      </c>
      <c r="D10" s="1">
        <v>1010.85</v>
      </c>
      <c r="E10" s="1">
        <v>1091.7</v>
      </c>
      <c r="F10" s="1">
        <v>1091.7</v>
      </c>
      <c r="G10" s="1">
        <v>1091.7</v>
      </c>
      <c r="H10" s="1">
        <v>1091.7</v>
      </c>
      <c r="I10" s="1">
        <v>1082.2</v>
      </c>
      <c r="J10" s="1">
        <v>1091.7</v>
      </c>
      <c r="K10" s="1">
        <v>1091.7</v>
      </c>
      <c r="L10" s="1">
        <v>1091.7</v>
      </c>
      <c r="M10" s="1">
        <v>1091.7</v>
      </c>
      <c r="N10" s="1">
        <v>1091.7</v>
      </c>
      <c r="O10" s="1">
        <v>1091.7</v>
      </c>
      <c r="P10" s="1">
        <f>949.3+142.4</f>
        <v>1091.7</v>
      </c>
      <c r="Q10" s="1">
        <v>1091.7</v>
      </c>
      <c r="R10" s="1">
        <v>1091.7</v>
      </c>
      <c r="S10" s="1">
        <v>1091.7</v>
      </c>
      <c r="T10" s="1">
        <v>1091.7</v>
      </c>
      <c r="U10" s="1">
        <v>1091.7</v>
      </c>
      <c r="AA10" s="20">
        <f>AVERAGE(B10:U10)</f>
        <v>1078.6580000000004</v>
      </c>
      <c r="AC10" s="48" t="s">
        <v>4</v>
      </c>
      <c r="AD10" s="49">
        <f>AA7+AA13</f>
        <v>1958.1366904761903</v>
      </c>
      <c r="AF10" s="23">
        <f>AD10/20</f>
        <v>97.906834523809522</v>
      </c>
      <c r="AH10" s="34"/>
    </row>
    <row r="11" spans="1:34" s="2" customFormat="1" x14ac:dyDescent="0.25">
      <c r="A11" s="16" t="s">
        <v>7</v>
      </c>
      <c r="B11" s="6">
        <v>2113.79</v>
      </c>
      <c r="C11" s="6">
        <v>2132.33</v>
      </c>
      <c r="D11" s="2">
        <v>2132.33</v>
      </c>
      <c r="E11" s="2">
        <v>2278.15</v>
      </c>
      <c r="F11" s="2">
        <v>2278.15</v>
      </c>
      <c r="G11" s="2">
        <v>2278.15</v>
      </c>
      <c r="H11" s="2">
        <v>2278.15</v>
      </c>
      <c r="I11" s="2">
        <v>2258.34</v>
      </c>
      <c r="J11" s="2">
        <v>2278.15</v>
      </c>
      <c r="K11" s="2">
        <v>2278.15</v>
      </c>
      <c r="L11" s="2">
        <v>2278.15</v>
      </c>
      <c r="M11" s="2">
        <v>2278.15</v>
      </c>
      <c r="N11" s="2">
        <v>2278.15</v>
      </c>
      <c r="O11" s="2">
        <v>2278.15</v>
      </c>
      <c r="P11" s="2">
        <v>2278.15</v>
      </c>
      <c r="Q11" s="2">
        <v>2575.89</v>
      </c>
      <c r="R11" s="2">
        <v>2575.89</v>
      </c>
      <c r="S11" s="2">
        <v>2575.89</v>
      </c>
      <c r="T11" s="2">
        <v>2575.89</v>
      </c>
      <c r="U11" s="2">
        <v>2575.89</v>
      </c>
      <c r="AA11" s="21">
        <f>AVERAGE(B11:U11)</f>
        <v>2328.7945000000004</v>
      </c>
      <c r="AC11" s="25"/>
      <c r="AH11" s="35"/>
    </row>
    <row r="12" spans="1:34" s="11" customFormat="1" x14ac:dyDescent="0.25">
      <c r="A12" s="17" t="s">
        <v>5</v>
      </c>
      <c r="B12" s="7">
        <f>2428.34+417.24+192.66</f>
        <v>3038.24</v>
      </c>
      <c r="C12" s="7">
        <f>3813.35+420.9+194.35</f>
        <v>4428.6000000000004</v>
      </c>
      <c r="D12" s="11">
        <f>2954.72+420.9+194.35</f>
        <v>3569.97</v>
      </c>
      <c r="E12" s="11">
        <f>3307.47+472.31+218.06</f>
        <v>3997.8399999999997</v>
      </c>
      <c r="F12" s="11">
        <v>3693.99</v>
      </c>
      <c r="G12" s="11">
        <f>3740.35+472.31+218.06</f>
        <v>4430.72</v>
      </c>
      <c r="H12" s="11">
        <f>3825.36+472.31+218.06</f>
        <v>4515.7300000000005</v>
      </c>
      <c r="I12" s="11">
        <f>3455.02+468.2+216.17</f>
        <v>4139.3899999999994</v>
      </c>
      <c r="J12" s="11">
        <f>3400.32+472.31+218.06</f>
        <v>4090.69</v>
      </c>
      <c r="K12" s="11">
        <f>2861.94+472.31+218.06</f>
        <v>3552.31</v>
      </c>
      <c r="L12" s="11">
        <f>3882.03+472.31+218.06</f>
        <v>4572.4000000000005</v>
      </c>
      <c r="M12" s="11">
        <f>3712.02+472.31+218.06</f>
        <v>4402.3900000000003</v>
      </c>
      <c r="N12" s="11">
        <f>4222.06+472.31+218.06</f>
        <v>4912.4300000000012</v>
      </c>
      <c r="O12" s="11">
        <f>5752.21+472.31+218.06</f>
        <v>6442.5800000000008</v>
      </c>
      <c r="P12" s="11">
        <f>8217.44+472.31+218.06</f>
        <v>8907.81</v>
      </c>
      <c r="Q12" s="11">
        <f>572.7+509.57+235.29</f>
        <v>1317.56</v>
      </c>
      <c r="R12" s="11">
        <f>611.57+509.57+235.29</f>
        <v>1356.43</v>
      </c>
      <c r="S12" s="11">
        <f>25024.22-1184.27+509.57+235.29</f>
        <v>24584.81</v>
      </c>
      <c r="T12" s="11">
        <f>917.36+509.57+235.29</f>
        <v>1662.22</v>
      </c>
      <c r="U12" s="11">
        <v>1662.22</v>
      </c>
      <c r="AA12" s="22">
        <f>AVERAGE(B12:T12)</f>
        <v>5137.6899999999996</v>
      </c>
      <c r="AC12" s="26"/>
    </row>
    <row r="13" spans="1:34" s="13" customFormat="1" x14ac:dyDescent="0.25">
      <c r="A13" s="18" t="s">
        <v>4</v>
      </c>
      <c r="B13" s="12">
        <v>724.58</v>
      </c>
      <c r="C13" s="12">
        <v>730.94</v>
      </c>
      <c r="D13" s="13">
        <v>730.94</v>
      </c>
      <c r="E13" s="13">
        <v>820.07</v>
      </c>
      <c r="F13" s="28">
        <v>820.07</v>
      </c>
      <c r="G13" s="28">
        <v>820.07</v>
      </c>
      <c r="H13" s="28">
        <v>820.07</v>
      </c>
      <c r="I13" s="28">
        <v>812.93</v>
      </c>
      <c r="J13" s="13">
        <v>820.07</v>
      </c>
      <c r="K13" s="13">
        <v>820.07</v>
      </c>
      <c r="L13" s="13">
        <v>820.07</v>
      </c>
      <c r="M13" s="13">
        <v>820.07</v>
      </c>
      <c r="N13" s="13">
        <v>820.07</v>
      </c>
      <c r="O13" s="13">
        <v>820.07</v>
      </c>
      <c r="P13" s="13">
        <v>820.07</v>
      </c>
      <c r="Q13" s="13">
        <v>862.73</v>
      </c>
      <c r="R13" s="28">
        <v>862.73</v>
      </c>
      <c r="S13" s="13">
        <v>862.73</v>
      </c>
      <c r="T13" s="13">
        <v>862.73</v>
      </c>
      <c r="U13" s="13">
        <v>862.73</v>
      </c>
      <c r="AA13" s="23">
        <f>AVERAGE(B13:U13)</f>
        <v>816.69049999999982</v>
      </c>
      <c r="AC13" s="27"/>
    </row>
    <row r="14" spans="1:34" x14ac:dyDescent="0.25">
      <c r="B14" s="36">
        <f t="shared" ref="B14:E14" si="3">SUM(B10:B13)</f>
        <v>6878.67</v>
      </c>
      <c r="C14" s="36">
        <f t="shared" si="3"/>
        <v>8302.7200000000012</v>
      </c>
      <c r="D14" s="36">
        <f t="shared" si="3"/>
        <v>7444.09</v>
      </c>
      <c r="E14" s="36">
        <f t="shared" si="3"/>
        <v>8187.76</v>
      </c>
      <c r="F14">
        <f>SUM(F10:F13)</f>
        <v>7883.91</v>
      </c>
      <c r="G14">
        <f>SUM(G10:G13)</f>
        <v>8620.6400000000012</v>
      </c>
      <c r="H14">
        <f>SUM(H10:H13)</f>
        <v>8705.6500000000015</v>
      </c>
      <c r="I14">
        <f>SUM(I10:I13)</f>
        <v>8292.8599999999988</v>
      </c>
      <c r="J14" s="36">
        <v>8353.3700000000008</v>
      </c>
      <c r="K14" s="36">
        <f t="shared" ref="K14:Q14" si="4">SUM(K10:K13)</f>
        <v>7742.23</v>
      </c>
      <c r="L14" s="36">
        <f t="shared" si="4"/>
        <v>8762.3200000000015</v>
      </c>
      <c r="M14" s="36">
        <f t="shared" si="4"/>
        <v>8592.3100000000013</v>
      </c>
      <c r="N14" s="36">
        <f t="shared" si="4"/>
        <v>9102.3500000000022</v>
      </c>
      <c r="O14" s="36">
        <f t="shared" si="4"/>
        <v>10632.5</v>
      </c>
      <c r="P14" s="36">
        <f t="shared" si="4"/>
        <v>13097.73</v>
      </c>
      <c r="Q14" s="36">
        <f t="shared" si="4"/>
        <v>5847.8799999999992</v>
      </c>
      <c r="R14" s="57">
        <f>SUM(R10:R13)</f>
        <v>5886.75</v>
      </c>
      <c r="S14" s="60">
        <v>50.85</v>
      </c>
      <c r="T14" s="60">
        <v>91.74</v>
      </c>
      <c r="U14" s="60">
        <v>91.7</v>
      </c>
      <c r="V14" s="55"/>
      <c r="W14" s="55"/>
      <c r="X14" s="55"/>
      <c r="Y14" s="55"/>
    </row>
    <row r="15" spans="1:34" x14ac:dyDescent="0.25">
      <c r="R15" s="59">
        <v>11734.63</v>
      </c>
      <c r="S15" s="70">
        <f>SUM(S10:S14)</f>
        <v>29165.98</v>
      </c>
      <c r="T15" s="70">
        <f>SUM(T10:T14)</f>
        <v>6284.2800000000007</v>
      </c>
      <c r="U15" s="70">
        <f>SUM(U10:U14)</f>
        <v>6284.2400000000007</v>
      </c>
      <c r="AC15" s="8" t="s">
        <v>40</v>
      </c>
    </row>
    <row r="16" spans="1:34" s="8" customFormat="1" x14ac:dyDescent="0.25">
      <c r="B16" s="52">
        <f t="shared" ref="B16:E16" si="5">SUM(B8+B14)</f>
        <v>13358.560000000001</v>
      </c>
      <c r="C16" s="52">
        <f t="shared" si="5"/>
        <v>14448.03</v>
      </c>
      <c r="D16" s="52">
        <f t="shared" si="5"/>
        <v>13378.66</v>
      </c>
      <c r="E16" s="52">
        <f t="shared" si="5"/>
        <v>14793.95</v>
      </c>
      <c r="F16" s="52">
        <f t="shared" ref="F16:M16" si="6">SUM(F8+F14)</f>
        <v>14689.98</v>
      </c>
      <c r="G16" s="52">
        <f t="shared" si="6"/>
        <v>15595.650000000001</v>
      </c>
      <c r="H16" s="52">
        <f t="shared" si="6"/>
        <v>15815.800000000003</v>
      </c>
      <c r="I16" s="52">
        <f t="shared" si="6"/>
        <v>15106.73</v>
      </c>
      <c r="J16" s="52">
        <f t="shared" si="6"/>
        <v>15759.810000000001</v>
      </c>
      <c r="K16" s="52">
        <f t="shared" si="6"/>
        <v>14919.949999999999</v>
      </c>
      <c r="L16" s="52">
        <f t="shared" si="6"/>
        <v>15602.190000000002</v>
      </c>
      <c r="M16" s="52">
        <f t="shared" si="6"/>
        <v>16040.330000000002</v>
      </c>
      <c r="N16" s="52">
        <f>SUM(N8+N14)</f>
        <v>18205.870000000003</v>
      </c>
      <c r="O16" s="52">
        <f>SUM(O8+O14)</f>
        <v>17810.22</v>
      </c>
      <c r="P16" s="52">
        <f t="shared" ref="P16:R16" si="7">SUM(P8+P14)</f>
        <v>21018.75</v>
      </c>
      <c r="Q16" s="52">
        <f t="shared" si="7"/>
        <v>14105.35</v>
      </c>
      <c r="R16" s="52">
        <f t="shared" si="7"/>
        <v>15727.060000000001</v>
      </c>
      <c r="S16" s="56">
        <f>SUM(S8+S15)</f>
        <v>37619.78</v>
      </c>
      <c r="T16" s="56">
        <f>SUM(T8,T15)</f>
        <v>12753.970000000001</v>
      </c>
      <c r="U16" s="56">
        <f>SUM(U8,U15)</f>
        <v>12753.93</v>
      </c>
      <c r="V16" s="56"/>
      <c r="W16" s="56"/>
      <c r="X16" s="56"/>
      <c r="Y16" s="56"/>
    </row>
    <row r="17" spans="7:30" x14ac:dyDescent="0.25">
      <c r="G17" s="38"/>
      <c r="R17" s="59">
        <f>R15+R2</f>
        <v>29832.409999999996</v>
      </c>
      <c r="S17" s="59">
        <v>40900.61</v>
      </c>
      <c r="T17" s="59">
        <v>47184.89</v>
      </c>
      <c r="AC17" s="2" t="s">
        <v>36</v>
      </c>
    </row>
    <row r="18" spans="7:30" x14ac:dyDescent="0.25">
      <c r="G18" s="39"/>
      <c r="Q18" s="53" t="s">
        <v>42</v>
      </c>
      <c r="R18" s="53" t="s">
        <v>52</v>
      </c>
      <c r="S18" s="53" t="s">
        <v>55</v>
      </c>
      <c r="T18" s="53" t="s">
        <v>61</v>
      </c>
      <c r="U18" s="53" t="s">
        <v>64</v>
      </c>
      <c r="V18" s="53"/>
      <c r="W18" s="53"/>
      <c r="X18" s="53"/>
      <c r="Y18" s="53"/>
      <c r="AC18" s="2" t="s">
        <v>53</v>
      </c>
    </row>
    <row r="19" spans="7:30" x14ac:dyDescent="0.25">
      <c r="G19" s="40"/>
      <c r="K19" s="15"/>
      <c r="L19" s="20"/>
      <c r="P19" t="s">
        <v>43</v>
      </c>
      <c r="Q19" s="2">
        <f>Q5+Q11</f>
        <v>5151.78</v>
      </c>
      <c r="R19" s="61">
        <f>R5+R11</f>
        <v>5650.17</v>
      </c>
      <c r="S19" s="2">
        <f>SUM(S5,S11)</f>
        <v>5151.78</v>
      </c>
      <c r="T19" s="2">
        <f>T5+T11</f>
        <v>5151.78</v>
      </c>
      <c r="U19" s="2">
        <f>U5+U11</f>
        <v>5151.78</v>
      </c>
      <c r="V19" s="2"/>
      <c r="W19" s="2"/>
      <c r="X19" s="2"/>
      <c r="Y19" s="2"/>
      <c r="AD19" s="50" t="s">
        <v>41</v>
      </c>
    </row>
    <row r="20" spans="7:30" x14ac:dyDescent="0.25">
      <c r="G20" s="41"/>
      <c r="K20" s="16"/>
      <c r="L20" s="29"/>
      <c r="P20" t="s">
        <v>44</v>
      </c>
      <c r="Q20" s="11">
        <f>Q6+Q12</f>
        <v>4984.24</v>
      </c>
      <c r="R20" s="62">
        <f>R6+R12</f>
        <v>5526.0800000000008</v>
      </c>
      <c r="S20" s="11">
        <f>S6+S12</f>
        <v>27990</v>
      </c>
      <c r="T20" s="11">
        <f>T6+T12</f>
        <v>3324.44</v>
      </c>
      <c r="U20" s="11">
        <f>U6+U12</f>
        <v>3324.44</v>
      </c>
      <c r="V20" s="11"/>
      <c r="W20" s="11"/>
      <c r="X20" s="11"/>
      <c r="Y20" s="11"/>
      <c r="AC20" s="11" t="s">
        <v>37</v>
      </c>
    </row>
    <row r="21" spans="7:30" ht="15.75" thickBot="1" x14ac:dyDescent="0.3">
      <c r="K21" s="17"/>
      <c r="L21" s="22"/>
      <c r="Q21" s="54"/>
      <c r="R21" s="63"/>
      <c r="S21" s="54"/>
      <c r="T21" s="54"/>
      <c r="U21" s="55"/>
      <c r="V21" s="55"/>
      <c r="W21" s="55"/>
      <c r="X21" s="55"/>
      <c r="Y21" s="55"/>
      <c r="AC21" s="11" t="s">
        <v>38</v>
      </c>
    </row>
    <row r="22" spans="7:30" ht="15.75" thickTop="1" x14ac:dyDescent="0.25">
      <c r="K22" s="18"/>
      <c r="L22" s="23"/>
      <c r="P22" t="s">
        <v>45</v>
      </c>
      <c r="Q22" s="21">
        <f t="shared" ref="Q22:U23" si="8">Q19/20</f>
        <v>257.589</v>
      </c>
      <c r="R22" s="64">
        <f t="shared" si="8"/>
        <v>282.50850000000003</v>
      </c>
      <c r="S22" s="21">
        <f t="shared" si="8"/>
        <v>257.589</v>
      </c>
      <c r="T22" s="21">
        <f t="shared" si="8"/>
        <v>257.589</v>
      </c>
      <c r="U22" s="21">
        <f>U19/20</f>
        <v>257.589</v>
      </c>
      <c r="V22" s="21"/>
      <c r="W22" s="21"/>
      <c r="X22" s="21"/>
      <c r="Y22" s="21"/>
      <c r="AD22" s="50" t="s">
        <v>54</v>
      </c>
    </row>
    <row r="23" spans="7:30" x14ac:dyDescent="0.25">
      <c r="P23" t="s">
        <v>46</v>
      </c>
      <c r="Q23" s="22">
        <f t="shared" si="8"/>
        <v>249.21199999999999</v>
      </c>
      <c r="R23" s="65">
        <f t="shared" si="8"/>
        <v>276.30400000000003</v>
      </c>
      <c r="S23" s="65">
        <f t="shared" si="8"/>
        <v>1399.5</v>
      </c>
      <c r="T23" s="22">
        <f t="shared" si="8"/>
        <v>166.22200000000001</v>
      </c>
      <c r="U23" s="22">
        <f t="shared" si="8"/>
        <v>166.22200000000001</v>
      </c>
      <c r="V23" s="22"/>
      <c r="W23" s="22"/>
      <c r="X23" s="22"/>
      <c r="Y23" s="22"/>
      <c r="AC23" s="1" t="s">
        <v>39</v>
      </c>
    </row>
    <row r="24" spans="7:30" ht="15.75" thickBot="1" x14ac:dyDescent="0.3">
      <c r="R24" s="54"/>
      <c r="S24" s="68">
        <v>233.25</v>
      </c>
      <c r="T24" s="68">
        <v>233.25</v>
      </c>
      <c r="U24" s="68">
        <v>233.25</v>
      </c>
      <c r="V24" s="68">
        <v>233.25</v>
      </c>
      <c r="W24" s="68">
        <v>233.25</v>
      </c>
      <c r="X24" s="68">
        <v>233.25</v>
      </c>
      <c r="Y24" s="40"/>
    </row>
    <row r="25" spans="7:30" ht="15.75" thickTop="1" x14ac:dyDescent="0.25">
      <c r="R25" s="53" t="s">
        <v>56</v>
      </c>
      <c r="S25" s="53" t="s">
        <v>57</v>
      </c>
    </row>
    <row r="26" spans="7:30" x14ac:dyDescent="0.25">
      <c r="R26" s="67">
        <v>229.98</v>
      </c>
      <c r="S26" s="53" t="s">
        <v>58</v>
      </c>
      <c r="T26" s="53" t="s">
        <v>62</v>
      </c>
      <c r="U26" s="53" t="s">
        <v>63</v>
      </c>
    </row>
    <row r="27" spans="7:30" x14ac:dyDescent="0.25">
      <c r="R27" s="66">
        <v>356.03</v>
      </c>
      <c r="S27" s="71">
        <f>S24+405.61</f>
        <v>638.86</v>
      </c>
      <c r="T27" s="72">
        <f>T23+T24</f>
        <v>399.47199999999998</v>
      </c>
      <c r="U27" s="72">
        <f>U23+U24</f>
        <v>399.47199999999998</v>
      </c>
    </row>
  </sheetData>
  <mergeCells count="2">
    <mergeCell ref="AC6:AD6"/>
    <mergeCell ref="AF6:AG6"/>
  </mergeCells>
  <conditionalFormatting sqref="B16:Y16">
    <cfRule type="colorScale" priority="1">
      <colorScale>
        <cfvo type="min"/>
        <cfvo type="max"/>
        <color rgb="FFFCFCFF"/>
        <color rgb="FFF8696B"/>
      </colorScale>
    </cfRule>
  </conditionalFormatting>
  <pageMargins left="0.25" right="0.25" top="0.75" bottom="0.75" header="0.3" footer="0.3"/>
  <pageSetup scale="50" orientation="landscape" r:id="rId1"/>
  <ignoredErrors>
    <ignoredError sqref="S19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C3C0-18E0-4AA2-8C4E-8CB7FC438C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Zerilda .</cp:lastModifiedBy>
  <cp:lastPrinted>2019-08-13T12:05:37Z</cp:lastPrinted>
  <dcterms:created xsi:type="dcterms:W3CDTF">2018-09-07T13:23:32Z</dcterms:created>
  <dcterms:modified xsi:type="dcterms:W3CDTF">2020-03-17T12:23:48Z</dcterms:modified>
</cp:coreProperties>
</file>