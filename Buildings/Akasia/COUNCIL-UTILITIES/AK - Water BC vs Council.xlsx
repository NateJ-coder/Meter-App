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AK - Akasia/Council/"/>
    </mc:Choice>
  </mc:AlternateContent>
  <xr:revisionPtr revIDLastSave="153" documentId="8_{73334F6E-661E-432E-A63A-19866B374206}" xr6:coauthVersionLast="47" xr6:coauthVersionMax="47" xr10:uidLastSave="{1565BC37-C092-46BB-AD73-BEEE7B31E965}"/>
  <bookViews>
    <workbookView xWindow="-120" yWindow="-120" windowWidth="20730" windowHeight="11160" xr2:uid="{F5ADB581-C2DF-4ACA-B6F0-196AC0CBC941}"/>
  </bookViews>
  <sheets>
    <sheet name="Detailed" sheetId="1" r:id="rId1"/>
    <sheet name="Graph" sheetId="2" r:id="rId2"/>
    <sheet name="Cons Graph" sheetId="3" r:id="rId3"/>
    <sheet name="Rat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1" l="1"/>
  <c r="K6" i="1"/>
  <c r="H54" i="1"/>
  <c r="G54" i="1"/>
  <c r="E54" i="1"/>
  <c r="H46" i="1"/>
  <c r="G46" i="1"/>
  <c r="E46" i="1"/>
  <c r="E48" i="1" s="1"/>
  <c r="H38" i="1"/>
  <c r="G38" i="1"/>
  <c r="E38" i="1"/>
  <c r="H30" i="1"/>
  <c r="G30" i="1"/>
  <c r="E30" i="1"/>
  <c r="H22" i="1"/>
  <c r="G22" i="1"/>
  <c r="E22" i="1"/>
  <c r="E64" i="1"/>
  <c r="E56" i="1"/>
  <c r="E55" i="1"/>
  <c r="E40" i="1"/>
  <c r="E24" i="1"/>
  <c r="E16" i="1"/>
  <c r="E8" i="1"/>
  <c r="H14" i="1"/>
  <c r="G14" i="1"/>
  <c r="E14" i="1"/>
  <c r="H6" i="1"/>
  <c r="G6" i="1"/>
  <c r="E6" i="1"/>
  <c r="E47" i="1"/>
  <c r="E39" i="1"/>
  <c r="E31" i="1"/>
  <c r="Q15" i="2"/>
  <c r="P15" i="2"/>
  <c r="M15" i="2"/>
  <c r="L15" i="2"/>
  <c r="E63" i="1"/>
  <c r="G62" i="1"/>
  <c r="E62" i="1"/>
  <c r="B62" i="1"/>
  <c r="D62" i="1" s="1"/>
  <c r="M62" i="1" s="1"/>
  <c r="B61" i="1"/>
  <c r="D54" i="1"/>
  <c r="M54" i="1" s="1"/>
  <c r="B53" i="1"/>
  <c r="B46" i="1"/>
  <c r="M46" i="1" s="1"/>
  <c r="B45" i="1"/>
  <c r="B38" i="1"/>
  <c r="M38" i="1" s="1"/>
  <c r="B37" i="1"/>
  <c r="B30" i="1"/>
  <c r="M30" i="1" s="1"/>
  <c r="B29" i="1"/>
  <c r="E23" i="1"/>
  <c r="B22" i="1"/>
  <c r="M21" i="1"/>
  <c r="B13" i="1"/>
  <c r="B21" i="1"/>
  <c r="E15" i="1"/>
  <c r="E7" i="1"/>
  <c r="M5" i="1"/>
  <c r="B14" i="1"/>
  <c r="M14" i="1" s="1"/>
  <c r="M6" i="1"/>
  <c r="D5" i="1"/>
  <c r="R15" i="2" l="1"/>
  <c r="N15" i="2"/>
  <c r="E32" i="1"/>
  <c r="D9" i="1"/>
  <c r="D25" i="1"/>
  <c r="M22" i="1"/>
  <c r="K22" i="1"/>
  <c r="E25" i="1"/>
  <c r="K14" i="1"/>
  <c r="E9" i="1"/>
  <c r="E17" i="1"/>
  <c r="K62" i="1"/>
  <c r="M61" i="1"/>
  <c r="D65" i="1"/>
  <c r="K61" i="1"/>
  <c r="E65" i="1"/>
  <c r="K54" i="1"/>
  <c r="K53" i="1"/>
  <c r="D57" i="1"/>
  <c r="M53" i="1"/>
  <c r="E57" i="1"/>
  <c r="K46" i="1"/>
  <c r="D49" i="1"/>
  <c r="M45" i="1"/>
  <c r="K45" i="1"/>
  <c r="E49" i="1"/>
  <c r="K38" i="1"/>
  <c r="M37" i="1"/>
  <c r="D41" i="1"/>
  <c r="K37" i="1"/>
  <c r="E41" i="1"/>
  <c r="K30" i="1"/>
  <c r="D33" i="1"/>
  <c r="M29" i="1"/>
  <c r="K29" i="1"/>
  <c r="E33" i="1"/>
  <c r="K21" i="1"/>
  <c r="M13" i="1"/>
  <c r="D17" i="1"/>
  <c r="K13" i="1"/>
</calcChain>
</file>

<file path=xl/sharedStrings.xml><?xml version="1.0" encoding="utf-8"?>
<sst xmlns="http://schemas.openxmlformats.org/spreadsheetml/2006/main" count="187" uniqueCount="35">
  <si>
    <t>Unit No</t>
  </si>
  <si>
    <t>Opening Reading</t>
  </si>
  <si>
    <t>Closing Reading</t>
  </si>
  <si>
    <t>Cons</t>
  </si>
  <si>
    <t>Reading Dates</t>
  </si>
  <si>
    <t>Estimated?</t>
  </si>
  <si>
    <t>Rates</t>
  </si>
  <si>
    <t>Days</t>
  </si>
  <si>
    <t>BC Bulk</t>
  </si>
  <si>
    <t>Actual</t>
  </si>
  <si>
    <t>Council Bulk</t>
  </si>
  <si>
    <t>Total BC</t>
  </si>
  <si>
    <t>Total Council</t>
  </si>
  <si>
    <t>Difference</t>
  </si>
  <si>
    <t>ComP</t>
  </si>
  <si>
    <t>1May - 1Jun 2023</t>
  </si>
  <si>
    <t>BC</t>
  </si>
  <si>
    <t>Council</t>
  </si>
  <si>
    <t>Comments</t>
  </si>
  <si>
    <t>Take on</t>
  </si>
  <si>
    <t>Akasia Body Corporate - Water BC vs Council Recon</t>
  </si>
  <si>
    <t>Water Amount</t>
  </si>
  <si>
    <t>Basic Water Fee</t>
  </si>
  <si>
    <t>Water Flats</t>
  </si>
  <si>
    <t>KL p/day</t>
  </si>
  <si>
    <t>1Mar - 31Mar 2023</t>
  </si>
  <si>
    <t>Estimated</t>
  </si>
  <si>
    <t>1Apr - 30Apr 2023</t>
  </si>
  <si>
    <t>1May - 31May 2023</t>
  </si>
  <si>
    <t>1Jun - 30Jun 2023</t>
  </si>
  <si>
    <t>1Jul - 31Jul 2023</t>
  </si>
  <si>
    <t>1Aug - 31Aug 2023</t>
  </si>
  <si>
    <t>20Jan 2022 - 18Oct 2023</t>
  </si>
  <si>
    <t>Budgeted</t>
  </si>
  <si>
    <t>Council Backdated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</si>
</sst>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\-yy;@"/>
    <numFmt numFmtId="165" formatCode="_-[$R-436]* #,##0.00_-;\-[$R-436]* #,##0.00_-;_-[$R-436]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0" xfId="0" applyFont="1"/>
    <xf numFmtId="0" fontId="2" fillId="0" borderId="1" xfId="0" applyFont="1" applyBorder="1"/>
    <xf numFmtId="0" fontId="3" fillId="0" borderId="1" xfId="0" applyFont="1" applyBorder="1"/>
    <xf numFmtId="164" fontId="2" fillId="0" borderId="0" xfId="0" applyNumberFormat="1" applyFont="1"/>
    <xf numFmtId="0" fontId="1" fillId="0" borderId="0" xfId="0" applyFont="1"/>
    <xf numFmtId="0" fontId="4" fillId="0" borderId="0" xfId="0" applyFont="1"/>
    <xf numFmtId="164" fontId="2" fillId="2" borderId="0" xfId="0" applyNumberFormat="1" applyFont="1" applyFill="1"/>
    <xf numFmtId="165" fontId="3" fillId="0" borderId="1" xfId="0" applyNumberFormat="1" applyFont="1" applyBorder="1"/>
    <xf numFmtId="15" fontId="3" fillId="0" borderId="1" xfId="0" applyNumberFormat="1" applyFont="1" applyBorder="1"/>
    <xf numFmtId="0" fontId="2" fillId="0" borderId="0" xfId="0" applyFont="1"/>
    <xf numFmtId="165" fontId="2" fillId="0" borderId="1" xfId="0" applyNumberFormat="1" applyFont="1" applyBorder="1"/>
    <xf numFmtId="17" fontId="1" fillId="0" borderId="0" xfId="0" applyNumberFormat="1" applyFont="1"/>
    <xf numFmtId="165" fontId="0" fillId="0" borderId="0" xfId="0" applyNumberFormat="1"/>
    <xf numFmtId="165" fontId="0" fillId="0" borderId="2" xfId="0" applyNumberFormat="1" applyBorder="1"/>
    <xf numFmtId="0" fontId="0" fillId="0" borderId="2" xfId="0" applyBorder="1"/>
    <xf numFmtId="165" fontId="1" fillId="0" borderId="0" xfId="0" applyNumberFormat="1" applyFont="1"/>
    <xf numFmtId="1" fontId="3" fillId="0" borderId="0" xfId="0" applyNumberFormat="1" applyFont="1"/>
    <xf numFmtId="1" fontId="0" fillId="0" borderId="0" xfId="0" applyNumberFormat="1"/>
    <xf numFmtId="0" fontId="3" fillId="0" borderId="0" xfId="0" applyFont="1" applyAlignment="1">
      <alignment wrapText="1"/>
    </xf>
    <xf numFmtId="165" fontId="3" fillId="0" borderId="0" xfId="0" applyNumberFormat="1" applyFont="1"/>
    <xf numFmtId="0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AK</a:t>
            </a:r>
            <a:r>
              <a:rPr lang="en-US" baseline="0"/>
              <a:t> - Water BC vs Council Graph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Graph!$P$2</c:f>
              <c:strCache>
                <c:ptCount val="1"/>
                <c:pt idx="0">
                  <c:v>BC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Graph!$O$3:$O$14</c:f>
              <c:numCache>
                <c:formatCode>mmm\-yy</c:formatCode>
                <c:ptCount val="12"/>
                <c:pt idx="0">
                  <c:v>45108</c:v>
                </c:pt>
                <c:pt idx="1">
                  <c:v>45139</c:v>
                </c:pt>
                <c:pt idx="2">
                  <c:v>45170</c:v>
                </c:pt>
                <c:pt idx="3">
                  <c:v>45200</c:v>
                </c:pt>
                <c:pt idx="4">
                  <c:v>45231</c:v>
                </c:pt>
                <c:pt idx="5">
                  <c:v>45261</c:v>
                </c:pt>
                <c:pt idx="6">
                  <c:v>45292</c:v>
                </c:pt>
                <c:pt idx="7">
                  <c:v>45323</c:v>
                </c:pt>
                <c:pt idx="8">
                  <c:v>45352</c:v>
                </c:pt>
                <c:pt idx="9">
                  <c:v>45383</c:v>
                </c:pt>
                <c:pt idx="10">
                  <c:v>45413</c:v>
                </c:pt>
                <c:pt idx="11">
                  <c:v>45444</c:v>
                </c:pt>
              </c:numCache>
            </c:numRef>
          </c:cat>
          <c:val>
            <c:numRef>
              <c:f>Graph!$P$3:$P$14</c:f>
              <c:numCache>
                <c:formatCode>_-[$R-436]* #,##0.00_-;\-[$R-436]* #,##0.00_-;_-[$R-436]* "-"??_-;_-@_-</c:formatCode>
                <c:ptCount val="12"/>
                <c:pt idx="0">
                  <c:v>47767.19</c:v>
                </c:pt>
                <c:pt idx="1">
                  <c:v>47767.19</c:v>
                </c:pt>
                <c:pt idx="2">
                  <c:v>47767.19</c:v>
                </c:pt>
                <c:pt idx="3">
                  <c:v>47767.19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12-4AA9-8356-1EB55F2AAD0C}"/>
            </c:ext>
          </c:extLst>
        </c:ser>
        <c:ser>
          <c:idx val="1"/>
          <c:order val="1"/>
          <c:tx>
            <c:strRef>
              <c:f>Graph!$Q$2</c:f>
              <c:strCache>
                <c:ptCount val="1"/>
                <c:pt idx="0">
                  <c:v>Council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Graph!$O$3:$O$14</c:f>
              <c:numCache>
                <c:formatCode>mmm\-yy</c:formatCode>
                <c:ptCount val="12"/>
                <c:pt idx="0">
                  <c:v>45108</c:v>
                </c:pt>
                <c:pt idx="1">
                  <c:v>45139</c:v>
                </c:pt>
                <c:pt idx="2">
                  <c:v>45170</c:v>
                </c:pt>
                <c:pt idx="3">
                  <c:v>45200</c:v>
                </c:pt>
                <c:pt idx="4">
                  <c:v>45231</c:v>
                </c:pt>
                <c:pt idx="5">
                  <c:v>45261</c:v>
                </c:pt>
                <c:pt idx="6">
                  <c:v>45292</c:v>
                </c:pt>
                <c:pt idx="7">
                  <c:v>45323</c:v>
                </c:pt>
                <c:pt idx="8">
                  <c:v>45352</c:v>
                </c:pt>
                <c:pt idx="9">
                  <c:v>45383</c:v>
                </c:pt>
                <c:pt idx="10">
                  <c:v>45413</c:v>
                </c:pt>
                <c:pt idx="11">
                  <c:v>45444</c:v>
                </c:pt>
              </c:numCache>
            </c:numRef>
          </c:cat>
          <c:val>
            <c:numRef>
              <c:f>Graph!$Q$3:$Q$14</c:f>
              <c:numCache>
                <c:formatCode>_-[$R-436]* #,##0.00_-;\-[$R-436]* #,##0.00_-;_-[$R-436]* "-"??_-;_-@_-</c:formatCode>
                <c:ptCount val="12"/>
                <c:pt idx="0">
                  <c:v>7211.0634999999993</c:v>
                </c:pt>
                <c:pt idx="1">
                  <c:v>7620.6934999999994</c:v>
                </c:pt>
                <c:pt idx="2">
                  <c:v>9869.7599999999966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12-4AA9-8356-1EB55F2AAD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1018696"/>
        <c:axId val="701017976"/>
      </c:barChart>
      <c:dateAx>
        <c:axId val="70101869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017976"/>
        <c:crosses val="autoZero"/>
        <c:auto val="1"/>
        <c:lblOffset val="100"/>
        <c:baseTimeUnit val="months"/>
      </c:dateAx>
      <c:valAx>
        <c:axId val="701017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-436]* #,##0.00_-;\-[$R-436]* #,##0.00_-;_-[$R-436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018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AK - Water Cons BC vs Council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'Cons Graph'!$O$3</c:f>
              <c:strCache>
                <c:ptCount val="1"/>
                <c:pt idx="0">
                  <c:v>BC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'Cons Graph'!$N$4:$N$15</c:f>
              <c:numCache>
                <c:formatCode>mmm\-yy</c:formatCode>
                <c:ptCount val="12"/>
                <c:pt idx="0">
                  <c:v>45108</c:v>
                </c:pt>
                <c:pt idx="1">
                  <c:v>45139</c:v>
                </c:pt>
                <c:pt idx="2">
                  <c:v>45170</c:v>
                </c:pt>
                <c:pt idx="3">
                  <c:v>45200</c:v>
                </c:pt>
                <c:pt idx="4">
                  <c:v>45231</c:v>
                </c:pt>
                <c:pt idx="5">
                  <c:v>45261</c:v>
                </c:pt>
                <c:pt idx="6">
                  <c:v>45292</c:v>
                </c:pt>
                <c:pt idx="7">
                  <c:v>45323</c:v>
                </c:pt>
                <c:pt idx="8">
                  <c:v>45352</c:v>
                </c:pt>
                <c:pt idx="9">
                  <c:v>45383</c:v>
                </c:pt>
                <c:pt idx="10">
                  <c:v>45413</c:v>
                </c:pt>
                <c:pt idx="11">
                  <c:v>45444</c:v>
                </c:pt>
              </c:numCache>
            </c:numRef>
          </c:cat>
          <c:val>
            <c:numRef>
              <c:f>'Cons Graph'!$O$4:$O$15</c:f>
              <c:numCache>
                <c:formatCode>0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CA47-46FD-BD12-BBD1F4E15696}"/>
            </c:ext>
          </c:extLst>
        </c:ser>
        <c:ser>
          <c:idx val="1"/>
          <c:order val="1"/>
          <c:tx>
            <c:strRef>
              <c:f>'Cons Graph'!$P$3</c:f>
              <c:strCache>
                <c:ptCount val="1"/>
                <c:pt idx="0">
                  <c:v>Council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'Cons Graph'!$N$4:$N$15</c:f>
              <c:numCache>
                <c:formatCode>mmm\-yy</c:formatCode>
                <c:ptCount val="12"/>
                <c:pt idx="0">
                  <c:v>45108</c:v>
                </c:pt>
                <c:pt idx="1">
                  <c:v>45139</c:v>
                </c:pt>
                <c:pt idx="2">
                  <c:v>45170</c:v>
                </c:pt>
                <c:pt idx="3">
                  <c:v>45200</c:v>
                </c:pt>
                <c:pt idx="4">
                  <c:v>45231</c:v>
                </c:pt>
                <c:pt idx="5">
                  <c:v>45261</c:v>
                </c:pt>
                <c:pt idx="6">
                  <c:v>45292</c:v>
                </c:pt>
                <c:pt idx="7">
                  <c:v>45323</c:v>
                </c:pt>
                <c:pt idx="8">
                  <c:v>45352</c:v>
                </c:pt>
                <c:pt idx="9">
                  <c:v>45383</c:v>
                </c:pt>
                <c:pt idx="10">
                  <c:v>45413</c:v>
                </c:pt>
                <c:pt idx="11">
                  <c:v>45444</c:v>
                </c:pt>
              </c:numCache>
            </c:numRef>
          </c:cat>
          <c:val>
            <c:numRef>
              <c:f>'Cons Graph'!$P$4:$P$15</c:f>
              <c:numCache>
                <c:formatCode>0</c:formatCode>
                <c:ptCount val="12"/>
                <c:pt idx="0">
                  <c:v>20</c:v>
                </c:pt>
                <c:pt idx="1">
                  <c:v>30</c:v>
                </c:pt>
                <c:pt idx="2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47-46FD-BD12-BBD1F4E156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9501904"/>
        <c:axId val="529502624"/>
      </c:barChart>
      <c:dateAx>
        <c:axId val="52950190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502624"/>
        <c:crosses val="autoZero"/>
        <c:auto val="1"/>
        <c:lblOffset val="100"/>
        <c:baseTimeUnit val="months"/>
      </c:dateAx>
      <c:valAx>
        <c:axId val="529502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501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KL Per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'Cons Graph'!$O$18</c:f>
              <c:strCache>
                <c:ptCount val="1"/>
                <c:pt idx="0">
                  <c:v>BC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'Cons Graph'!$N$19:$N$30</c:f>
              <c:numCache>
                <c:formatCode>mmm\-yy</c:formatCode>
                <c:ptCount val="12"/>
                <c:pt idx="0">
                  <c:v>45108</c:v>
                </c:pt>
                <c:pt idx="1">
                  <c:v>45139</c:v>
                </c:pt>
                <c:pt idx="2">
                  <c:v>45170</c:v>
                </c:pt>
                <c:pt idx="3">
                  <c:v>45200</c:v>
                </c:pt>
                <c:pt idx="4">
                  <c:v>45231</c:v>
                </c:pt>
                <c:pt idx="5">
                  <c:v>45261</c:v>
                </c:pt>
                <c:pt idx="6">
                  <c:v>45292</c:v>
                </c:pt>
                <c:pt idx="7">
                  <c:v>45323</c:v>
                </c:pt>
                <c:pt idx="8">
                  <c:v>45352</c:v>
                </c:pt>
                <c:pt idx="9">
                  <c:v>45383</c:v>
                </c:pt>
                <c:pt idx="10">
                  <c:v>45413</c:v>
                </c:pt>
                <c:pt idx="11">
                  <c:v>45444</c:v>
                </c:pt>
              </c:numCache>
            </c:numRef>
          </c:cat>
          <c:val>
            <c:numRef>
              <c:f>'Cons Graph'!$O$19:$O$30</c:f>
              <c:numCache>
                <c:formatCode>0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35CC-4F4F-921D-1689B27CC3D2}"/>
            </c:ext>
          </c:extLst>
        </c:ser>
        <c:ser>
          <c:idx val="1"/>
          <c:order val="1"/>
          <c:tx>
            <c:strRef>
              <c:f>'Cons Graph'!$P$18</c:f>
              <c:strCache>
                <c:ptCount val="1"/>
                <c:pt idx="0">
                  <c:v>Council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'Cons Graph'!$N$19:$N$30</c:f>
              <c:numCache>
                <c:formatCode>mmm\-yy</c:formatCode>
                <c:ptCount val="12"/>
                <c:pt idx="0">
                  <c:v>45108</c:v>
                </c:pt>
                <c:pt idx="1">
                  <c:v>45139</c:v>
                </c:pt>
                <c:pt idx="2">
                  <c:v>45170</c:v>
                </c:pt>
                <c:pt idx="3">
                  <c:v>45200</c:v>
                </c:pt>
                <c:pt idx="4">
                  <c:v>45231</c:v>
                </c:pt>
                <c:pt idx="5">
                  <c:v>45261</c:v>
                </c:pt>
                <c:pt idx="6">
                  <c:v>45292</c:v>
                </c:pt>
                <c:pt idx="7">
                  <c:v>45323</c:v>
                </c:pt>
                <c:pt idx="8">
                  <c:v>45352</c:v>
                </c:pt>
                <c:pt idx="9">
                  <c:v>45383</c:v>
                </c:pt>
                <c:pt idx="10">
                  <c:v>45413</c:v>
                </c:pt>
                <c:pt idx="11">
                  <c:v>45444</c:v>
                </c:pt>
              </c:numCache>
            </c:numRef>
          </c:cat>
          <c:val>
            <c:numRef>
              <c:f>'Cons Graph'!$P$19:$P$30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CC-4F4F-921D-1689B27CC3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9646912"/>
        <c:axId val="539647272"/>
      </c:barChart>
      <c:dateAx>
        <c:axId val="53964691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647272"/>
        <c:crosses val="autoZero"/>
        <c:auto val="1"/>
        <c:lblOffset val="100"/>
        <c:baseTimeUnit val="months"/>
      </c:dateAx>
      <c:valAx>
        <c:axId val="539647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646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AK -</a:t>
            </a:r>
            <a:r>
              <a:rPr lang="en-US" baseline="0"/>
              <a:t> Electricity Rates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Rates!$N$3</c:f>
              <c:strCache>
                <c:ptCount val="1"/>
                <c:pt idx="0">
                  <c:v>BC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Rates!$M$4:$M$15</c:f>
              <c:numCache>
                <c:formatCode>mmm\-yy</c:formatCode>
                <c:ptCount val="12"/>
                <c:pt idx="0">
                  <c:v>45108</c:v>
                </c:pt>
                <c:pt idx="1">
                  <c:v>45139</c:v>
                </c:pt>
                <c:pt idx="2">
                  <c:v>45170</c:v>
                </c:pt>
                <c:pt idx="3">
                  <c:v>45200</c:v>
                </c:pt>
                <c:pt idx="4">
                  <c:v>45231</c:v>
                </c:pt>
                <c:pt idx="5">
                  <c:v>45261</c:v>
                </c:pt>
                <c:pt idx="6">
                  <c:v>45292</c:v>
                </c:pt>
                <c:pt idx="7">
                  <c:v>45323</c:v>
                </c:pt>
                <c:pt idx="8">
                  <c:v>45352</c:v>
                </c:pt>
                <c:pt idx="9">
                  <c:v>45383</c:v>
                </c:pt>
                <c:pt idx="10">
                  <c:v>45413</c:v>
                </c:pt>
                <c:pt idx="11">
                  <c:v>45444</c:v>
                </c:pt>
              </c:numCache>
            </c:numRef>
          </c:cat>
          <c:val>
            <c:numRef>
              <c:f>Rates!$N$4:$N$15</c:f>
              <c:numCache>
                <c:formatCode>_-[$R-436]* #,##0.00_-;\-[$R-436]* #,##0.00_-;_-[$R-436]* "-"??_-;_-@_-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F5A9-4315-B83A-53515497E485}"/>
            </c:ext>
          </c:extLst>
        </c:ser>
        <c:ser>
          <c:idx val="1"/>
          <c:order val="1"/>
          <c:tx>
            <c:strRef>
              <c:f>Rates!$O$3</c:f>
              <c:strCache>
                <c:ptCount val="1"/>
                <c:pt idx="0">
                  <c:v>Council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Rates!$M$4:$M$15</c:f>
              <c:numCache>
                <c:formatCode>mmm\-yy</c:formatCode>
                <c:ptCount val="12"/>
                <c:pt idx="0">
                  <c:v>45108</c:v>
                </c:pt>
                <c:pt idx="1">
                  <c:v>45139</c:v>
                </c:pt>
                <c:pt idx="2">
                  <c:v>45170</c:v>
                </c:pt>
                <c:pt idx="3">
                  <c:v>45200</c:v>
                </c:pt>
                <c:pt idx="4">
                  <c:v>45231</c:v>
                </c:pt>
                <c:pt idx="5">
                  <c:v>45261</c:v>
                </c:pt>
                <c:pt idx="6">
                  <c:v>45292</c:v>
                </c:pt>
                <c:pt idx="7">
                  <c:v>45323</c:v>
                </c:pt>
                <c:pt idx="8">
                  <c:v>45352</c:v>
                </c:pt>
                <c:pt idx="9">
                  <c:v>45383</c:v>
                </c:pt>
                <c:pt idx="10">
                  <c:v>45413</c:v>
                </c:pt>
                <c:pt idx="11">
                  <c:v>45444</c:v>
                </c:pt>
              </c:numCache>
            </c:numRef>
          </c:cat>
          <c:val>
            <c:numRef>
              <c:f>Rates!$O$4:$O$15</c:f>
              <c:numCache>
                <c:formatCode>_-[$R-436]* #,##0.00_-;\-[$R-436]* #,##0.00_-;_-[$R-436]* "-"??_-;_-@_-</c:formatCode>
                <c:ptCount val="12"/>
                <c:pt idx="0">
                  <c:v>40.962999999999994</c:v>
                </c:pt>
                <c:pt idx="1">
                  <c:v>40.962999999999994</c:v>
                </c:pt>
                <c:pt idx="2">
                  <c:v>5.8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A9-4315-B83A-53515497E4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4106816"/>
        <c:axId val="624107536"/>
      </c:barChart>
      <c:dateAx>
        <c:axId val="62410681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107536"/>
        <c:crosses val="autoZero"/>
        <c:auto val="1"/>
        <c:lblOffset val="100"/>
        <c:baseTimeUnit val="months"/>
      </c:dateAx>
      <c:valAx>
        <c:axId val="624107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-436]* #,##0.00_-;\-[$R-436]* #,##0.00_-;_-[$R-436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106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147636</xdr:rowOff>
    </xdr:from>
    <xdr:to>
      <xdr:col>9</xdr:col>
      <xdr:colOff>504825</xdr:colOff>
      <xdr:row>19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E0F76C-B474-6832-5DFA-82BFE169CE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200024</xdr:colOff>
      <xdr:row>1</xdr:row>
      <xdr:rowOff>128587</xdr:rowOff>
    </xdr:from>
    <xdr:to>
      <xdr:col>9</xdr:col>
      <xdr:colOff>38099</xdr:colOff>
      <xdr:row>19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8FB95F-30BB-D85B-9C9E-B1D30E6813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152400</xdr:colOff>
      <xdr:row>20</xdr:row>
      <xdr:rowOff>166687</xdr:rowOff>
    </xdr:from>
    <xdr:to>
      <xdr:col>9</xdr:col>
      <xdr:colOff>457200</xdr:colOff>
      <xdr:row>35</xdr:row>
      <xdr:rowOff>52387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356DA1-F58B-4332-9D80-AEAD620F7D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2</xdr:row>
      <xdr:rowOff>52387</xdr:rowOff>
    </xdr:from>
    <xdr:to>
      <xdr:col>7</xdr:col>
      <xdr:colOff>466725</xdr:colOff>
      <xdr:row>14</xdr:row>
      <xdr:rowOff>319087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86B780-E91F-A968-4594-5511B1CED3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CE989-4E75-4148-B921-FE34651CF465}">
  <dimension ref="A1:M66"/>
  <sheetViews>
    <sheetView tabSelected="1" workbookViewId="0">
      <selection activeCell="K6" sqref="K6"/>
    </sheetView>
  </sheetViews>
  <sheetFormatPr defaultRowHeight="15" x14ac:dyDescent="0.25"/>
  <cols>
    <col min="1" max="1" width="12.42578125" bestFit="1" customWidth="1"/>
    <col min="2" max="2" width="16.28515625" bestFit="1" customWidth="1"/>
    <col min="3" max="3" width="15.140625" bestFit="1" customWidth="1"/>
    <col min="5" max="5" width="12.140625" bestFit="1" customWidth="1"/>
    <col min="6" max="6" width="12.140625" customWidth="1"/>
    <col min="7" max="7" width="15.140625" bestFit="1" customWidth="1"/>
    <col min="8" max="8" width="15.140625" customWidth="1"/>
    <col min="9" max="9" width="21" customWidth="1"/>
    <col min="10" max="10" width="10.85546875" bestFit="1" customWidth="1"/>
    <col min="13" max="13" width="12" bestFit="1" customWidth="1"/>
  </cols>
  <sheetData>
    <row r="1" spans="1:13" ht="18.75" x14ac:dyDescent="0.3">
      <c r="A1" s="6" t="s">
        <v>20</v>
      </c>
    </row>
    <row r="2" spans="1:13" ht="18.75" x14ac:dyDescent="0.3">
      <c r="A2" s="6"/>
    </row>
    <row r="3" spans="1:13" x14ac:dyDescent="0.25">
      <c r="A3" s="7">
        <v>44986</v>
      </c>
    </row>
    <row r="4" spans="1:13" x14ac:dyDescent="0.25">
      <c r="A4" s="2" t="s">
        <v>0</v>
      </c>
      <c r="B4" s="2" t="s">
        <v>1</v>
      </c>
      <c r="C4" s="2" t="s">
        <v>2</v>
      </c>
      <c r="D4" s="2" t="s">
        <v>3</v>
      </c>
      <c r="E4" s="2" t="s">
        <v>21</v>
      </c>
      <c r="F4" s="2" t="s">
        <v>14</v>
      </c>
      <c r="G4" s="2" t="s">
        <v>22</v>
      </c>
      <c r="H4" s="2" t="s">
        <v>23</v>
      </c>
      <c r="I4" s="2" t="s">
        <v>4</v>
      </c>
      <c r="J4" s="2" t="s">
        <v>5</v>
      </c>
      <c r="K4" s="2" t="s">
        <v>6</v>
      </c>
      <c r="L4" s="2" t="s">
        <v>7</v>
      </c>
      <c r="M4" s="2" t="s">
        <v>24</v>
      </c>
    </row>
    <row r="5" spans="1:13" x14ac:dyDescent="0.25">
      <c r="A5" s="3" t="s">
        <v>8</v>
      </c>
      <c r="B5" s="3"/>
      <c r="C5" s="3"/>
      <c r="D5" s="3">
        <f>C5-B5</f>
        <v>0</v>
      </c>
      <c r="E5" s="8">
        <v>47767.19</v>
      </c>
      <c r="F5" s="8"/>
      <c r="G5" s="8"/>
      <c r="H5" s="8"/>
      <c r="I5" s="3" t="s">
        <v>25</v>
      </c>
      <c r="J5" s="3" t="s">
        <v>33</v>
      </c>
      <c r="K5" s="21" t="e">
        <f>(E5+F5)/D5</f>
        <v>#DIV/0!</v>
      </c>
      <c r="L5" s="3">
        <v>31</v>
      </c>
      <c r="M5" s="3">
        <f>D5/L5</f>
        <v>0</v>
      </c>
    </row>
    <row r="6" spans="1:13" x14ac:dyDescent="0.25">
      <c r="A6" s="3" t="s">
        <v>10</v>
      </c>
      <c r="B6" s="3"/>
      <c r="C6" s="3"/>
      <c r="D6" s="3">
        <v>30</v>
      </c>
      <c r="E6" s="8">
        <f>978.6*1.15</f>
        <v>1125.3899999999999</v>
      </c>
      <c r="F6" s="8"/>
      <c r="G6" s="8">
        <f>4838.93*1.15</f>
        <v>5564.7695000000003</v>
      </c>
      <c r="H6" s="8">
        <f>251.06*1.15</f>
        <v>288.71899999999999</v>
      </c>
      <c r="I6" s="9" t="s">
        <v>25</v>
      </c>
      <c r="J6" s="3" t="s">
        <v>26</v>
      </c>
      <c r="K6" s="8">
        <f>E6/D6</f>
        <v>37.512999999999998</v>
      </c>
      <c r="L6" s="3">
        <v>31</v>
      </c>
      <c r="M6" s="3">
        <f>D6/L6</f>
        <v>0.967741935483871</v>
      </c>
    </row>
    <row r="7" spans="1:13" x14ac:dyDescent="0.25">
      <c r="A7" s="2" t="s">
        <v>11</v>
      </c>
      <c r="B7" s="2"/>
      <c r="C7" s="2"/>
      <c r="D7" s="2"/>
      <c r="E7" s="11">
        <f>E5+F5+G5</f>
        <v>47767.19</v>
      </c>
      <c r="F7" s="2"/>
      <c r="G7" s="2"/>
      <c r="H7" s="2"/>
      <c r="I7" s="3"/>
      <c r="J7" s="3"/>
      <c r="K7" s="3"/>
      <c r="L7" s="3"/>
      <c r="M7" s="3"/>
    </row>
    <row r="8" spans="1:13" x14ac:dyDescent="0.25">
      <c r="A8" s="2" t="s">
        <v>12</v>
      </c>
      <c r="B8" s="2"/>
      <c r="C8" s="2"/>
      <c r="D8" s="2"/>
      <c r="E8" s="11">
        <f>E6+F6+G6+H6</f>
        <v>6978.8784999999998</v>
      </c>
      <c r="F8" s="2"/>
      <c r="G8" s="2"/>
      <c r="H8" s="2"/>
      <c r="I8" s="3"/>
      <c r="J8" s="3"/>
      <c r="K8" s="3"/>
      <c r="L8" s="3"/>
      <c r="M8" s="3"/>
    </row>
    <row r="9" spans="1:13" x14ac:dyDescent="0.25">
      <c r="A9" s="2" t="s">
        <v>13</v>
      </c>
      <c r="B9" s="2"/>
      <c r="C9" s="2"/>
      <c r="D9" s="2">
        <f>D5-D6</f>
        <v>-30</v>
      </c>
      <c r="E9" s="11">
        <f>E7-E8</f>
        <v>40788.311500000003</v>
      </c>
      <c r="F9" s="2"/>
      <c r="G9" s="2"/>
      <c r="H9" s="2"/>
      <c r="I9" s="3"/>
      <c r="J9" s="3"/>
      <c r="K9" s="3"/>
      <c r="L9" s="3"/>
      <c r="M9" s="3"/>
    </row>
    <row r="10" spans="1:13" x14ac:dyDescent="0.25">
      <c r="A10" s="10"/>
      <c r="B10" s="10"/>
      <c r="C10" s="10"/>
      <c r="D10" s="10"/>
      <c r="E10" s="10"/>
      <c r="F10" s="10"/>
      <c r="G10" s="10"/>
      <c r="H10" s="10"/>
      <c r="I10" s="1"/>
      <c r="J10" s="1"/>
      <c r="K10" s="1"/>
      <c r="L10" s="1"/>
      <c r="M10" s="1"/>
    </row>
    <row r="11" spans="1:13" x14ac:dyDescent="0.25">
      <c r="A11" s="4">
        <v>45017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x14ac:dyDescent="0.25">
      <c r="A12" s="2" t="s">
        <v>0</v>
      </c>
      <c r="B12" s="2" t="s">
        <v>1</v>
      </c>
      <c r="C12" s="2" t="s">
        <v>2</v>
      </c>
      <c r="D12" s="2" t="s">
        <v>3</v>
      </c>
      <c r="E12" s="2" t="s">
        <v>21</v>
      </c>
      <c r="F12" s="2" t="s">
        <v>14</v>
      </c>
      <c r="G12" s="2" t="s">
        <v>22</v>
      </c>
      <c r="H12" s="2" t="s">
        <v>23</v>
      </c>
      <c r="I12" s="2" t="s">
        <v>4</v>
      </c>
      <c r="J12" s="2" t="s">
        <v>5</v>
      </c>
      <c r="K12" s="2" t="s">
        <v>6</v>
      </c>
      <c r="L12" s="2" t="s">
        <v>7</v>
      </c>
      <c r="M12" s="2" t="s">
        <v>24</v>
      </c>
    </row>
    <row r="13" spans="1:13" x14ac:dyDescent="0.25">
      <c r="A13" s="3" t="s">
        <v>8</v>
      </c>
      <c r="B13" s="3">
        <f>C5</f>
        <v>0</v>
      </c>
      <c r="C13" s="3"/>
      <c r="D13" s="3">
        <v>0</v>
      </c>
      <c r="E13" s="8">
        <v>47767.19</v>
      </c>
      <c r="F13" s="8"/>
      <c r="G13" s="8"/>
      <c r="H13" s="8"/>
      <c r="I13" s="3"/>
      <c r="J13" s="3" t="s">
        <v>33</v>
      </c>
      <c r="K13" s="3" t="e">
        <f>(E13+F13)/D13</f>
        <v>#DIV/0!</v>
      </c>
      <c r="L13" s="3">
        <v>30</v>
      </c>
      <c r="M13" s="3">
        <f>D13/L13</f>
        <v>0</v>
      </c>
    </row>
    <row r="14" spans="1:13" x14ac:dyDescent="0.25">
      <c r="A14" s="3" t="s">
        <v>10</v>
      </c>
      <c r="B14" s="3">
        <f>C6</f>
        <v>0</v>
      </c>
      <c r="C14" s="3">
        <v>0</v>
      </c>
      <c r="D14" s="3">
        <v>30</v>
      </c>
      <c r="E14" s="8">
        <f>978.6*1.15</f>
        <v>1125.3899999999999</v>
      </c>
      <c r="F14" s="8"/>
      <c r="G14" s="8">
        <f>4838.93*1.15</f>
        <v>5564.7695000000003</v>
      </c>
      <c r="H14" s="8">
        <f>251.06*1.15</f>
        <v>288.71899999999999</v>
      </c>
      <c r="I14" s="9" t="s">
        <v>27</v>
      </c>
      <c r="J14" s="3" t="s">
        <v>26</v>
      </c>
      <c r="K14" s="8">
        <f>E14/D14</f>
        <v>37.512999999999998</v>
      </c>
      <c r="L14" s="3">
        <v>30</v>
      </c>
      <c r="M14" s="3">
        <f>D14/L14</f>
        <v>1</v>
      </c>
    </row>
    <row r="15" spans="1:13" x14ac:dyDescent="0.25">
      <c r="A15" s="2" t="s">
        <v>11</v>
      </c>
      <c r="B15" s="2"/>
      <c r="C15" s="2"/>
      <c r="D15" s="2"/>
      <c r="E15" s="11">
        <f>E13+F13+G13</f>
        <v>47767.19</v>
      </c>
      <c r="F15" s="2"/>
      <c r="G15" s="2"/>
      <c r="H15" s="2"/>
      <c r="I15" s="3"/>
      <c r="J15" s="3"/>
      <c r="K15" s="3"/>
      <c r="L15" s="3"/>
      <c r="M15" s="3"/>
    </row>
    <row r="16" spans="1:13" x14ac:dyDescent="0.25">
      <c r="A16" s="2" t="s">
        <v>12</v>
      </c>
      <c r="B16" s="2"/>
      <c r="C16" s="2"/>
      <c r="D16" s="2"/>
      <c r="E16" s="11">
        <f>E14+F14+G14+H14</f>
        <v>6978.8784999999998</v>
      </c>
      <c r="F16" s="2"/>
      <c r="G16" s="2"/>
      <c r="H16" s="2"/>
      <c r="I16" s="3"/>
      <c r="J16" s="3"/>
      <c r="K16" s="3"/>
      <c r="L16" s="3"/>
      <c r="M16" s="3"/>
    </row>
    <row r="17" spans="1:13" x14ac:dyDescent="0.25">
      <c r="A17" s="2" t="s">
        <v>13</v>
      </c>
      <c r="B17" s="2"/>
      <c r="C17" s="2"/>
      <c r="D17" s="2">
        <f>D13-D14</f>
        <v>-30</v>
      </c>
      <c r="E17" s="11">
        <f>E15-E16</f>
        <v>40788.311500000003</v>
      </c>
      <c r="F17" s="2"/>
      <c r="G17" s="2"/>
      <c r="H17" s="2"/>
      <c r="I17" s="3"/>
      <c r="J17" s="3"/>
      <c r="K17" s="3"/>
      <c r="L17" s="3"/>
      <c r="M17" s="3"/>
    </row>
    <row r="18" spans="1:13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x14ac:dyDescent="0.25">
      <c r="A19" s="4">
        <v>45047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x14ac:dyDescent="0.25">
      <c r="A20" s="2" t="s">
        <v>0</v>
      </c>
      <c r="B20" s="2" t="s">
        <v>1</v>
      </c>
      <c r="C20" s="2" t="s">
        <v>2</v>
      </c>
      <c r="D20" s="2" t="s">
        <v>3</v>
      </c>
      <c r="E20" s="2" t="s">
        <v>21</v>
      </c>
      <c r="F20" s="2" t="s">
        <v>14</v>
      </c>
      <c r="G20" s="2" t="s">
        <v>22</v>
      </c>
      <c r="H20" s="2" t="s">
        <v>23</v>
      </c>
      <c r="I20" s="2" t="s">
        <v>4</v>
      </c>
      <c r="J20" s="2" t="s">
        <v>5</v>
      </c>
      <c r="K20" s="2" t="s">
        <v>6</v>
      </c>
      <c r="L20" s="2" t="s">
        <v>7</v>
      </c>
      <c r="M20" s="2" t="s">
        <v>24</v>
      </c>
    </row>
    <row r="21" spans="1:13" x14ac:dyDescent="0.25">
      <c r="A21" s="3" t="s">
        <v>8</v>
      </c>
      <c r="B21" s="3">
        <f>C13</f>
        <v>0</v>
      </c>
      <c r="C21" s="3"/>
      <c r="D21" s="3">
        <v>0</v>
      </c>
      <c r="E21" s="8">
        <v>47767.19</v>
      </c>
      <c r="F21" s="8"/>
      <c r="G21" s="8"/>
      <c r="H21" s="8"/>
      <c r="I21" s="3"/>
      <c r="J21" s="3"/>
      <c r="K21" s="3" t="e">
        <f>(E21+F21)/D21</f>
        <v>#DIV/0!</v>
      </c>
      <c r="L21" s="3">
        <v>31</v>
      </c>
      <c r="M21" s="3">
        <f>D21/L21</f>
        <v>0</v>
      </c>
    </row>
    <row r="22" spans="1:13" x14ac:dyDescent="0.25">
      <c r="A22" s="3" t="s">
        <v>10</v>
      </c>
      <c r="B22" s="3">
        <f>C14</f>
        <v>0</v>
      </c>
      <c r="C22" s="3">
        <v>0</v>
      </c>
      <c r="D22" s="3">
        <v>20</v>
      </c>
      <c r="E22" s="8">
        <f>652.4*1.15</f>
        <v>750.25999999999988</v>
      </c>
      <c r="F22" s="8"/>
      <c r="G22" s="8">
        <f>4838.93*1.15</f>
        <v>5564.7695000000003</v>
      </c>
      <c r="H22" s="8">
        <f>251.06*1.15</f>
        <v>288.71899999999999</v>
      </c>
      <c r="I22" s="3" t="s">
        <v>28</v>
      </c>
      <c r="J22" s="3" t="s">
        <v>26</v>
      </c>
      <c r="K22" s="8">
        <f>E22/D22</f>
        <v>37.512999999999991</v>
      </c>
      <c r="L22" s="3">
        <v>31</v>
      </c>
      <c r="M22" s="3">
        <f>D22/L22</f>
        <v>0.64516129032258063</v>
      </c>
    </row>
    <row r="23" spans="1:13" x14ac:dyDescent="0.25">
      <c r="A23" s="2" t="s">
        <v>11</v>
      </c>
      <c r="B23" s="2"/>
      <c r="C23" s="2"/>
      <c r="D23" s="2"/>
      <c r="E23" s="11">
        <f>E21+F21+G21</f>
        <v>47767.19</v>
      </c>
      <c r="F23" s="2"/>
      <c r="G23" s="2"/>
      <c r="H23" s="2"/>
      <c r="I23" s="3"/>
      <c r="J23" s="3"/>
      <c r="K23" s="3"/>
      <c r="L23" s="3"/>
      <c r="M23" s="3"/>
    </row>
    <row r="24" spans="1:13" x14ac:dyDescent="0.25">
      <c r="A24" s="2" t="s">
        <v>12</v>
      </c>
      <c r="B24" s="2"/>
      <c r="C24" s="2"/>
      <c r="D24" s="2"/>
      <c r="E24" s="11">
        <f>E22+F22+G22+H22</f>
        <v>6603.7485000000006</v>
      </c>
      <c r="F24" s="2"/>
      <c r="G24" s="2"/>
      <c r="H24" s="2"/>
      <c r="I24" s="3"/>
      <c r="J24" s="3"/>
      <c r="K24" s="3"/>
      <c r="L24" s="3"/>
      <c r="M24" s="3"/>
    </row>
    <row r="25" spans="1:13" x14ac:dyDescent="0.25">
      <c r="A25" s="2" t="s">
        <v>13</v>
      </c>
      <c r="B25" s="2"/>
      <c r="C25" s="2"/>
      <c r="D25" s="2">
        <f>D21-D22</f>
        <v>-20</v>
      </c>
      <c r="E25" s="11">
        <f>E23-E24</f>
        <v>41163.441500000001</v>
      </c>
      <c r="F25" s="2"/>
      <c r="G25" s="2"/>
      <c r="H25" s="2"/>
      <c r="I25" s="3"/>
      <c r="J25" s="3"/>
      <c r="K25" s="3"/>
      <c r="L25" s="3"/>
      <c r="M25" s="3"/>
    </row>
    <row r="26" spans="1:13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x14ac:dyDescent="0.25">
      <c r="A27" s="4">
        <v>45078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x14ac:dyDescent="0.25">
      <c r="A28" s="2" t="s">
        <v>0</v>
      </c>
      <c r="B28" s="2" t="s">
        <v>1</v>
      </c>
      <c r="C28" s="2" t="s">
        <v>2</v>
      </c>
      <c r="D28" s="2" t="s">
        <v>3</v>
      </c>
      <c r="E28" s="2" t="s">
        <v>21</v>
      </c>
      <c r="F28" s="2" t="s">
        <v>14</v>
      </c>
      <c r="G28" s="2" t="s">
        <v>22</v>
      </c>
      <c r="H28" s="2" t="s">
        <v>23</v>
      </c>
      <c r="I28" s="2" t="s">
        <v>4</v>
      </c>
      <c r="J28" s="2" t="s">
        <v>5</v>
      </c>
      <c r="K28" s="2" t="s">
        <v>6</v>
      </c>
      <c r="L28" s="2" t="s">
        <v>7</v>
      </c>
      <c r="M28" s="2" t="s">
        <v>24</v>
      </c>
    </row>
    <row r="29" spans="1:13" x14ac:dyDescent="0.25">
      <c r="A29" s="3" t="s">
        <v>8</v>
      </c>
      <c r="B29" s="3">
        <f>C21</f>
        <v>0</v>
      </c>
      <c r="C29" s="3"/>
      <c r="D29" s="3">
        <v>0</v>
      </c>
      <c r="E29" s="8">
        <v>47767.19</v>
      </c>
      <c r="F29" s="8"/>
      <c r="G29" s="8"/>
      <c r="H29" s="8"/>
      <c r="I29" s="3"/>
      <c r="J29" s="3"/>
      <c r="K29" s="3" t="e">
        <f>(E29+F29)/D29</f>
        <v>#DIV/0!</v>
      </c>
      <c r="L29" s="3">
        <v>30</v>
      </c>
      <c r="M29" s="3">
        <f>D29/L29</f>
        <v>0</v>
      </c>
    </row>
    <row r="30" spans="1:13" x14ac:dyDescent="0.25">
      <c r="A30" s="3" t="s">
        <v>10</v>
      </c>
      <c r="B30" s="3">
        <f>C22</f>
        <v>0</v>
      </c>
      <c r="C30" s="3">
        <v>0</v>
      </c>
      <c r="D30" s="3">
        <v>20</v>
      </c>
      <c r="E30" s="8">
        <f>660.4*1.15</f>
        <v>759.45999999999992</v>
      </c>
      <c r="F30" s="8"/>
      <c r="G30" s="8">
        <f>5283.93*1.15</f>
        <v>6076.5194999999994</v>
      </c>
      <c r="H30" s="8">
        <f>274.16*1.15</f>
        <v>315.28399999999999</v>
      </c>
      <c r="I30" s="3" t="s">
        <v>29</v>
      </c>
      <c r="J30" s="3" t="s">
        <v>26</v>
      </c>
      <c r="K30" s="8">
        <f>E30/D30</f>
        <v>37.972999999999999</v>
      </c>
      <c r="L30" s="3">
        <v>30</v>
      </c>
      <c r="M30" s="3">
        <f>D30/L30</f>
        <v>0.66666666666666663</v>
      </c>
    </row>
    <row r="31" spans="1:13" x14ac:dyDescent="0.25">
      <c r="A31" s="2" t="s">
        <v>11</v>
      </c>
      <c r="B31" s="2"/>
      <c r="C31" s="2"/>
      <c r="D31" s="2"/>
      <c r="E31" s="11">
        <f>E29+F29+G29</f>
        <v>47767.19</v>
      </c>
      <c r="F31" s="2"/>
      <c r="G31" s="2"/>
      <c r="H31" s="2"/>
      <c r="I31" s="3"/>
      <c r="J31" s="3"/>
      <c r="K31" s="3"/>
      <c r="L31" s="3"/>
      <c r="M31" s="3"/>
    </row>
    <row r="32" spans="1:13" x14ac:dyDescent="0.25">
      <c r="A32" s="2" t="s">
        <v>12</v>
      </c>
      <c r="B32" s="2"/>
      <c r="C32" s="2"/>
      <c r="D32" s="2"/>
      <c r="E32" s="11">
        <f>E30+F30+G30+H30</f>
        <v>7151.2634999999991</v>
      </c>
      <c r="F32" s="2"/>
      <c r="G32" s="2"/>
      <c r="H32" s="2"/>
      <c r="I32" s="3"/>
      <c r="J32" s="3"/>
      <c r="K32" s="3"/>
      <c r="L32" s="3"/>
      <c r="M32" s="3"/>
    </row>
    <row r="33" spans="1:13" x14ac:dyDescent="0.25">
      <c r="A33" s="2" t="s">
        <v>13</v>
      </c>
      <c r="B33" s="2"/>
      <c r="C33" s="2"/>
      <c r="D33" s="2">
        <f>D29-D30</f>
        <v>-20</v>
      </c>
      <c r="E33" s="11">
        <f>E31-E32</f>
        <v>40615.926500000001</v>
      </c>
      <c r="F33" s="2"/>
      <c r="G33" s="2"/>
      <c r="H33" s="2"/>
      <c r="I33" s="3"/>
      <c r="J33" s="3"/>
      <c r="K33" s="3"/>
      <c r="L33" s="3"/>
      <c r="M33" s="3"/>
    </row>
    <row r="34" spans="1:13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x14ac:dyDescent="0.25">
      <c r="A35" s="4">
        <v>45108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x14ac:dyDescent="0.25">
      <c r="A36" s="2" t="s">
        <v>0</v>
      </c>
      <c r="B36" s="2" t="s">
        <v>1</v>
      </c>
      <c r="C36" s="2" t="s">
        <v>2</v>
      </c>
      <c r="D36" s="2" t="s">
        <v>3</v>
      </c>
      <c r="E36" s="2" t="s">
        <v>21</v>
      </c>
      <c r="F36" s="2" t="s">
        <v>14</v>
      </c>
      <c r="G36" s="2" t="s">
        <v>22</v>
      </c>
      <c r="H36" s="2" t="s">
        <v>23</v>
      </c>
      <c r="I36" s="2" t="s">
        <v>4</v>
      </c>
      <c r="J36" s="2" t="s">
        <v>5</v>
      </c>
      <c r="K36" s="2" t="s">
        <v>6</v>
      </c>
      <c r="L36" s="2" t="s">
        <v>7</v>
      </c>
      <c r="M36" s="2" t="s">
        <v>24</v>
      </c>
    </row>
    <row r="37" spans="1:13" x14ac:dyDescent="0.25">
      <c r="A37" s="3" t="s">
        <v>8</v>
      </c>
      <c r="B37" s="3">
        <f>C29</f>
        <v>0</v>
      </c>
      <c r="C37" s="3"/>
      <c r="D37" s="3">
        <v>0</v>
      </c>
      <c r="E37" s="8">
        <v>47767.19</v>
      </c>
      <c r="F37" s="8"/>
      <c r="G37" s="8"/>
      <c r="H37" s="8"/>
      <c r="I37" s="3"/>
      <c r="J37" s="3"/>
      <c r="K37" s="3" t="e">
        <f>(E37+F37)/D37</f>
        <v>#DIV/0!</v>
      </c>
      <c r="L37" s="3">
        <v>31</v>
      </c>
      <c r="M37" s="3">
        <f>D37/L37</f>
        <v>0</v>
      </c>
    </row>
    <row r="38" spans="1:13" x14ac:dyDescent="0.25">
      <c r="A38" s="3" t="s">
        <v>10</v>
      </c>
      <c r="B38" s="3">
        <f>C30</f>
        <v>0</v>
      </c>
      <c r="C38" s="3">
        <v>0</v>
      </c>
      <c r="D38" s="3">
        <v>20</v>
      </c>
      <c r="E38" s="8">
        <f>712.4*1.15</f>
        <v>819.25999999999988</v>
      </c>
      <c r="F38" s="8"/>
      <c r="G38" s="8">
        <f>5283.93*1.15</f>
        <v>6076.5194999999994</v>
      </c>
      <c r="H38" s="8">
        <f>274.16*1.15</f>
        <v>315.28399999999999</v>
      </c>
      <c r="I38" s="3" t="s">
        <v>30</v>
      </c>
      <c r="J38" s="3" t="s">
        <v>26</v>
      </c>
      <c r="K38" s="8">
        <f>E38/D38</f>
        <v>40.962999999999994</v>
      </c>
      <c r="L38" s="3">
        <v>31</v>
      </c>
      <c r="M38" s="3">
        <f>D38/L38</f>
        <v>0.64516129032258063</v>
      </c>
    </row>
    <row r="39" spans="1:13" x14ac:dyDescent="0.25">
      <c r="A39" s="2" t="s">
        <v>11</v>
      </c>
      <c r="B39" s="2"/>
      <c r="C39" s="2"/>
      <c r="D39" s="2"/>
      <c r="E39" s="11">
        <f>E37+F37+G37</f>
        <v>47767.19</v>
      </c>
      <c r="F39" s="2"/>
      <c r="G39" s="2"/>
      <c r="H39" s="2"/>
      <c r="I39" s="3"/>
      <c r="J39" s="3"/>
      <c r="K39" s="3"/>
      <c r="L39" s="3"/>
      <c r="M39" s="3"/>
    </row>
    <row r="40" spans="1:13" x14ac:dyDescent="0.25">
      <c r="A40" s="2" t="s">
        <v>12</v>
      </c>
      <c r="B40" s="2"/>
      <c r="C40" s="2"/>
      <c r="D40" s="2"/>
      <c r="E40" s="11">
        <f>E38+F38+G38+H38</f>
        <v>7211.0634999999993</v>
      </c>
      <c r="F40" s="2"/>
      <c r="G40" s="2"/>
      <c r="H40" s="2"/>
      <c r="I40" s="3"/>
      <c r="J40" s="3"/>
      <c r="K40" s="3"/>
      <c r="L40" s="3"/>
      <c r="M40" s="3"/>
    </row>
    <row r="41" spans="1:13" x14ac:dyDescent="0.25">
      <c r="A41" s="2" t="s">
        <v>13</v>
      </c>
      <c r="B41" s="2"/>
      <c r="C41" s="2"/>
      <c r="D41" s="2">
        <f>D37-D38</f>
        <v>-20</v>
      </c>
      <c r="E41" s="11">
        <f>E39-E40</f>
        <v>40556.126500000006</v>
      </c>
      <c r="F41" s="2"/>
      <c r="G41" s="2"/>
      <c r="H41" s="2"/>
      <c r="I41" s="3"/>
      <c r="J41" s="3"/>
      <c r="K41" s="3"/>
      <c r="L41" s="3"/>
      <c r="M41" s="3"/>
    </row>
    <row r="42" spans="1:13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x14ac:dyDescent="0.25">
      <c r="A43" s="4">
        <v>45139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x14ac:dyDescent="0.25">
      <c r="A44" s="2" t="s">
        <v>0</v>
      </c>
      <c r="B44" s="2" t="s">
        <v>1</v>
      </c>
      <c r="C44" s="2" t="s">
        <v>2</v>
      </c>
      <c r="D44" s="2" t="s">
        <v>3</v>
      </c>
      <c r="E44" s="2" t="s">
        <v>21</v>
      </c>
      <c r="F44" s="2" t="s">
        <v>14</v>
      </c>
      <c r="G44" s="2" t="s">
        <v>22</v>
      </c>
      <c r="H44" s="2" t="s">
        <v>23</v>
      </c>
      <c r="I44" s="2" t="s">
        <v>4</v>
      </c>
      <c r="J44" s="2" t="s">
        <v>5</v>
      </c>
      <c r="K44" s="2" t="s">
        <v>6</v>
      </c>
      <c r="L44" s="2" t="s">
        <v>7</v>
      </c>
      <c r="M44" s="2" t="s">
        <v>24</v>
      </c>
    </row>
    <row r="45" spans="1:13" x14ac:dyDescent="0.25">
      <c r="A45" s="3" t="s">
        <v>8</v>
      </c>
      <c r="B45" s="3">
        <f>C37</f>
        <v>0</v>
      </c>
      <c r="C45" s="3"/>
      <c r="D45" s="3">
        <v>0</v>
      </c>
      <c r="E45" s="8">
        <v>47767.19</v>
      </c>
      <c r="F45" s="8"/>
      <c r="G45" s="8"/>
      <c r="H45" s="8"/>
      <c r="I45" s="3"/>
      <c r="J45" s="3"/>
      <c r="K45" s="3" t="e">
        <f>(E45+F45)/D45</f>
        <v>#DIV/0!</v>
      </c>
      <c r="L45" s="3">
        <v>31</v>
      </c>
      <c r="M45" s="3">
        <f>D45/L45</f>
        <v>0</v>
      </c>
    </row>
    <row r="46" spans="1:13" x14ac:dyDescent="0.25">
      <c r="A46" s="3" t="s">
        <v>10</v>
      </c>
      <c r="B46" s="3">
        <f>C38</f>
        <v>0</v>
      </c>
      <c r="C46" s="3">
        <v>0</v>
      </c>
      <c r="D46" s="3">
        <v>30</v>
      </c>
      <c r="E46" s="8">
        <f>1068.6*1.15</f>
        <v>1228.8899999999999</v>
      </c>
      <c r="F46" s="8"/>
      <c r="G46" s="8">
        <f>5283.93*1.15</f>
        <v>6076.5194999999994</v>
      </c>
      <c r="H46" s="8">
        <f>274.16*1.15</f>
        <v>315.28399999999999</v>
      </c>
      <c r="I46" s="3" t="s">
        <v>31</v>
      </c>
      <c r="J46" s="3" t="s">
        <v>26</v>
      </c>
      <c r="K46" s="8">
        <f>E46/D46</f>
        <v>40.962999999999994</v>
      </c>
      <c r="L46" s="3">
        <v>31</v>
      </c>
      <c r="M46" s="3">
        <f>D46/L46</f>
        <v>0.967741935483871</v>
      </c>
    </row>
    <row r="47" spans="1:13" x14ac:dyDescent="0.25">
      <c r="A47" s="2" t="s">
        <v>11</v>
      </c>
      <c r="B47" s="2"/>
      <c r="C47" s="2"/>
      <c r="D47" s="2"/>
      <c r="E47" s="11">
        <f>E45+F45+G45</f>
        <v>47767.19</v>
      </c>
      <c r="F47" s="2"/>
      <c r="G47" s="2"/>
      <c r="H47" s="2"/>
      <c r="I47" s="3"/>
      <c r="J47" s="3"/>
      <c r="K47" s="3"/>
      <c r="L47" s="3"/>
      <c r="M47" s="3"/>
    </row>
    <row r="48" spans="1:13" x14ac:dyDescent="0.25">
      <c r="A48" s="2" t="s">
        <v>12</v>
      </c>
      <c r="B48" s="2"/>
      <c r="C48" s="2"/>
      <c r="D48" s="2"/>
      <c r="E48" s="11">
        <f>E46+F46+G46+H46</f>
        <v>7620.6934999999994</v>
      </c>
      <c r="F48" s="2"/>
      <c r="G48" s="2"/>
      <c r="H48" s="2"/>
      <c r="I48" s="3"/>
      <c r="J48" s="3"/>
      <c r="K48" s="3"/>
      <c r="L48" s="3"/>
      <c r="M48" s="3"/>
    </row>
    <row r="49" spans="1:13" x14ac:dyDescent="0.25">
      <c r="A49" s="2" t="s">
        <v>13</v>
      </c>
      <c r="B49" s="2"/>
      <c r="C49" s="2"/>
      <c r="D49" s="2">
        <f>D45-D46</f>
        <v>-30</v>
      </c>
      <c r="E49" s="11">
        <f>E47-E48</f>
        <v>40146.496500000001</v>
      </c>
      <c r="F49" s="2"/>
      <c r="G49" s="2"/>
      <c r="H49" s="2"/>
      <c r="I49" s="3"/>
      <c r="J49" s="3"/>
      <c r="K49" s="3"/>
      <c r="L49" s="3"/>
      <c r="M49" s="3"/>
    </row>
    <row r="50" spans="1:13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 x14ac:dyDescent="0.25">
      <c r="A51" s="4">
        <v>45170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x14ac:dyDescent="0.25">
      <c r="A52" s="2" t="s">
        <v>0</v>
      </c>
      <c r="B52" s="2" t="s">
        <v>1</v>
      </c>
      <c r="C52" s="2" t="s">
        <v>2</v>
      </c>
      <c r="D52" s="2" t="s">
        <v>3</v>
      </c>
      <c r="E52" s="2" t="s">
        <v>21</v>
      </c>
      <c r="F52" s="2" t="s">
        <v>14</v>
      </c>
      <c r="G52" s="2" t="s">
        <v>22</v>
      </c>
      <c r="H52" s="2" t="s">
        <v>23</v>
      </c>
      <c r="I52" s="2" t="s">
        <v>4</v>
      </c>
      <c r="J52" s="2" t="s">
        <v>5</v>
      </c>
      <c r="K52" s="2" t="s">
        <v>6</v>
      </c>
      <c r="L52" s="2" t="s">
        <v>7</v>
      </c>
      <c r="M52" s="2" t="s">
        <v>24</v>
      </c>
    </row>
    <row r="53" spans="1:13" x14ac:dyDescent="0.25">
      <c r="A53" s="3" t="s">
        <v>8</v>
      </c>
      <c r="B53" s="3">
        <f>C45</f>
        <v>0</v>
      </c>
      <c r="C53" s="3"/>
      <c r="D53" s="3">
        <v>0</v>
      </c>
      <c r="E53" s="8">
        <v>47767.19</v>
      </c>
      <c r="F53" s="8"/>
      <c r="G53" s="8"/>
      <c r="H53" s="8"/>
      <c r="I53" s="3"/>
      <c r="J53" s="3"/>
      <c r="K53" s="3" t="e">
        <f>(E53+F53)/D53</f>
        <v>#DIV/0!</v>
      </c>
      <c r="L53" s="3">
        <v>30</v>
      </c>
      <c r="M53" s="3">
        <f>D53/L53</f>
        <v>0</v>
      </c>
    </row>
    <row r="54" spans="1:13" x14ac:dyDescent="0.25">
      <c r="A54" s="3" t="s">
        <v>10</v>
      </c>
      <c r="B54" s="3">
        <v>25122</v>
      </c>
      <c r="C54" s="3">
        <v>25722</v>
      </c>
      <c r="D54" s="3">
        <f>C54-B54</f>
        <v>600</v>
      </c>
      <c r="E54" s="8">
        <f>(19482.35-16458.04)*1.15</f>
        <v>3477.956499999997</v>
      </c>
      <c r="F54" s="8"/>
      <c r="G54" s="8">
        <f>5283.93*1.15</f>
        <v>6076.5194999999994</v>
      </c>
      <c r="H54" s="8">
        <f>274.16*1.15</f>
        <v>315.28399999999999</v>
      </c>
      <c r="I54" s="3" t="s">
        <v>32</v>
      </c>
      <c r="J54" s="3" t="s">
        <v>9</v>
      </c>
      <c r="K54" s="8">
        <f>E54/D54</f>
        <v>5.7965941666666616</v>
      </c>
      <c r="L54" s="3">
        <v>636</v>
      </c>
      <c r="M54" s="3">
        <f>D54/L54</f>
        <v>0.94339622641509435</v>
      </c>
    </row>
    <row r="55" spans="1:13" x14ac:dyDescent="0.25">
      <c r="A55" s="2" t="s">
        <v>11</v>
      </c>
      <c r="B55" s="2"/>
      <c r="C55" s="2"/>
      <c r="D55" s="2"/>
      <c r="E55" s="11">
        <f>E53+F53+G53</f>
        <v>47767.19</v>
      </c>
      <c r="F55" s="2"/>
      <c r="G55" s="2"/>
      <c r="H55" s="2"/>
      <c r="I55" s="3"/>
      <c r="J55" s="3"/>
      <c r="K55" s="3"/>
      <c r="L55" s="3"/>
      <c r="M55" s="3"/>
    </row>
    <row r="56" spans="1:13" x14ac:dyDescent="0.25">
      <c r="A56" s="2" t="s">
        <v>12</v>
      </c>
      <c r="B56" s="2"/>
      <c r="C56" s="2"/>
      <c r="D56" s="2"/>
      <c r="E56" s="11">
        <f>E54+F54+G54+H54</f>
        <v>9869.7599999999966</v>
      </c>
      <c r="F56" s="2"/>
      <c r="G56" s="2"/>
      <c r="H56" s="2"/>
      <c r="I56" s="3"/>
      <c r="J56" s="3"/>
      <c r="K56" s="3"/>
      <c r="L56" s="3"/>
      <c r="M56" s="3"/>
    </row>
    <row r="57" spans="1:13" x14ac:dyDescent="0.25">
      <c r="A57" s="2" t="s">
        <v>13</v>
      </c>
      <c r="B57" s="2"/>
      <c r="C57" s="2"/>
      <c r="D57" s="2">
        <f>D53-D54</f>
        <v>-600</v>
      </c>
      <c r="E57" s="11">
        <f>E55-E56</f>
        <v>37897.430000000008</v>
      </c>
      <c r="F57" s="2"/>
      <c r="G57" s="2"/>
      <c r="H57" s="2"/>
      <c r="I57" s="3"/>
      <c r="J57" s="3"/>
      <c r="K57" s="3"/>
      <c r="L57" s="3"/>
      <c r="M57" s="3"/>
    </row>
    <row r="58" spans="1:13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 x14ac:dyDescent="0.25">
      <c r="A59" s="4">
        <v>45200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 x14ac:dyDescent="0.25">
      <c r="A60" s="2" t="s">
        <v>0</v>
      </c>
      <c r="B60" s="2" t="s">
        <v>1</v>
      </c>
      <c r="C60" s="2" t="s">
        <v>2</v>
      </c>
      <c r="D60" s="2" t="s">
        <v>3</v>
      </c>
      <c r="E60" s="2" t="s">
        <v>21</v>
      </c>
      <c r="F60" s="2" t="s">
        <v>14</v>
      </c>
      <c r="G60" s="2" t="s">
        <v>22</v>
      </c>
      <c r="H60" s="2" t="s">
        <v>23</v>
      </c>
      <c r="I60" s="2" t="s">
        <v>4</v>
      </c>
      <c r="J60" s="2" t="s">
        <v>5</v>
      </c>
      <c r="K60" s="2" t="s">
        <v>6</v>
      </c>
      <c r="L60" s="2" t="s">
        <v>7</v>
      </c>
      <c r="M60" s="2" t="s">
        <v>24</v>
      </c>
    </row>
    <row r="61" spans="1:13" x14ac:dyDescent="0.25">
      <c r="A61" s="3" t="s">
        <v>8</v>
      </c>
      <c r="B61" s="3">
        <f>C53</f>
        <v>0</v>
      </c>
      <c r="C61" s="3"/>
      <c r="D61" s="3">
        <v>0</v>
      </c>
      <c r="E61" s="8">
        <v>47767.19</v>
      </c>
      <c r="F61" s="8"/>
      <c r="G61" s="8"/>
      <c r="H61" s="8"/>
      <c r="I61" s="3"/>
      <c r="J61" s="3"/>
      <c r="K61" s="3" t="e">
        <f>(E61+F61)/D61</f>
        <v>#DIV/0!</v>
      </c>
      <c r="L61" s="3">
        <v>31</v>
      </c>
      <c r="M61" s="3">
        <f>D61/L61</f>
        <v>0</v>
      </c>
    </row>
    <row r="62" spans="1:13" x14ac:dyDescent="0.25">
      <c r="A62" s="3" t="s">
        <v>10</v>
      </c>
      <c r="B62" s="3">
        <f>C54</f>
        <v>25722</v>
      </c>
      <c r="C62" s="3">
        <v>991584</v>
      </c>
      <c r="D62" s="3">
        <f>C62-B62</f>
        <v>965862</v>
      </c>
      <c r="E62" s="8">
        <f>32959.7*1.15</f>
        <v>37903.654999999992</v>
      </c>
      <c r="F62" s="8"/>
      <c r="G62" s="8">
        <f>26077*1.15</f>
        <v>29988.55</v>
      </c>
      <c r="H62" s="8"/>
      <c r="I62" s="3" t="s">
        <v>15</v>
      </c>
      <c r="J62" s="3" t="s">
        <v>9</v>
      </c>
      <c r="K62" s="8">
        <f>E62/D62</f>
        <v>3.9243344287279124E-2</v>
      </c>
      <c r="L62" s="3">
        <v>32</v>
      </c>
      <c r="M62" s="3">
        <f>D62/L62</f>
        <v>30183.1875</v>
      </c>
    </row>
    <row r="63" spans="1:13" x14ac:dyDescent="0.25">
      <c r="A63" s="2" t="s">
        <v>11</v>
      </c>
      <c r="B63" s="2"/>
      <c r="C63" s="2"/>
      <c r="D63" s="2"/>
      <c r="E63" s="11">
        <f>E61+F61+G61</f>
        <v>47767.19</v>
      </c>
      <c r="F63" s="2"/>
      <c r="G63" s="2"/>
      <c r="H63" s="2"/>
      <c r="I63" s="3"/>
      <c r="J63" s="3"/>
      <c r="K63" s="3"/>
      <c r="L63" s="3"/>
      <c r="M63" s="3"/>
    </row>
    <row r="64" spans="1:13" x14ac:dyDescent="0.25">
      <c r="A64" s="2" t="s">
        <v>12</v>
      </c>
      <c r="B64" s="2"/>
      <c r="C64" s="2"/>
      <c r="D64" s="2"/>
      <c r="E64" s="11">
        <f>E62+F62+G62+H62</f>
        <v>67892.204999999987</v>
      </c>
      <c r="F64" s="2"/>
      <c r="G64" s="2"/>
      <c r="H64" s="2"/>
      <c r="I64" s="3"/>
      <c r="J64" s="3"/>
      <c r="K64" s="3"/>
      <c r="L64" s="3"/>
      <c r="M64" s="3"/>
    </row>
    <row r="65" spans="1:13" x14ac:dyDescent="0.25">
      <c r="A65" s="2" t="s">
        <v>13</v>
      </c>
      <c r="B65" s="2"/>
      <c r="C65" s="2"/>
      <c r="D65" s="2">
        <f>D61-D62</f>
        <v>-965862</v>
      </c>
      <c r="E65" s="11">
        <f>E63-E64</f>
        <v>-20125.014999999985</v>
      </c>
      <c r="F65" s="2"/>
      <c r="G65" s="2"/>
      <c r="H65" s="2"/>
      <c r="I65" s="3"/>
      <c r="J65" s="3"/>
      <c r="K65" s="3"/>
      <c r="L65" s="3"/>
      <c r="M65" s="3"/>
    </row>
    <row r="66" spans="1:13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3488B-15C3-477D-8826-F036BA2A5021}">
  <dimension ref="A1:R15"/>
  <sheetViews>
    <sheetView workbookViewId="0"/>
  </sheetViews>
  <sheetFormatPr defaultRowHeight="15" x14ac:dyDescent="0.25"/>
  <cols>
    <col min="11" max="11" width="9.140625" customWidth="1"/>
    <col min="12" max="14" width="12.7109375" hidden="1" customWidth="1"/>
    <col min="16" max="18" width="12.7109375" bestFit="1" customWidth="1"/>
  </cols>
  <sheetData>
    <row r="1" spans="1:18" ht="18.75" x14ac:dyDescent="0.3">
      <c r="A1" s="6" t="s">
        <v>20</v>
      </c>
    </row>
    <row r="2" spans="1:18" x14ac:dyDescent="0.25">
      <c r="L2" t="s">
        <v>16</v>
      </c>
      <c r="M2" t="s">
        <v>17</v>
      </c>
      <c r="P2" t="s">
        <v>16</v>
      </c>
      <c r="Q2" t="s">
        <v>17</v>
      </c>
    </row>
    <row r="3" spans="1:18" x14ac:dyDescent="0.25">
      <c r="K3" s="12">
        <v>44743</v>
      </c>
      <c r="L3" s="13"/>
      <c r="M3" s="13"/>
      <c r="N3" s="13"/>
      <c r="O3" s="12">
        <v>45108</v>
      </c>
      <c r="P3" s="13">
        <v>47767.19</v>
      </c>
      <c r="Q3" s="13">
        <v>7211.0634999999993</v>
      </c>
    </row>
    <row r="4" spans="1:18" x14ac:dyDescent="0.25">
      <c r="K4" s="12">
        <v>44774</v>
      </c>
      <c r="L4" s="13"/>
      <c r="M4" s="13"/>
      <c r="N4" s="13"/>
      <c r="O4" s="12">
        <v>45139</v>
      </c>
      <c r="P4" s="13">
        <v>47767.19</v>
      </c>
      <c r="Q4" s="13">
        <v>7620.6934999999994</v>
      </c>
    </row>
    <row r="5" spans="1:18" x14ac:dyDescent="0.25">
      <c r="K5" s="12">
        <v>44805</v>
      </c>
      <c r="L5" s="13"/>
      <c r="M5" s="13"/>
      <c r="N5" s="13"/>
      <c r="O5" s="12">
        <v>45170</v>
      </c>
      <c r="P5" s="13">
        <v>47767.19</v>
      </c>
      <c r="Q5" s="13">
        <v>9869.7599999999966</v>
      </c>
    </row>
    <row r="6" spans="1:18" x14ac:dyDescent="0.25">
      <c r="K6" s="12">
        <v>44835</v>
      </c>
      <c r="L6" s="13"/>
      <c r="M6" s="13"/>
      <c r="N6" s="13"/>
      <c r="O6" s="12">
        <v>45200</v>
      </c>
      <c r="P6" s="13">
        <v>47767.19</v>
      </c>
      <c r="Q6" s="13"/>
    </row>
    <row r="7" spans="1:18" x14ac:dyDescent="0.25">
      <c r="K7" s="12">
        <v>44866</v>
      </c>
      <c r="L7" s="13"/>
      <c r="M7" s="13"/>
      <c r="N7" s="13"/>
      <c r="O7" s="12">
        <v>45231</v>
      </c>
      <c r="P7" s="13"/>
      <c r="Q7" s="13"/>
    </row>
    <row r="8" spans="1:18" x14ac:dyDescent="0.25">
      <c r="K8" s="12">
        <v>44896</v>
      </c>
      <c r="L8" s="13"/>
      <c r="M8" s="13"/>
      <c r="N8" s="13"/>
      <c r="O8" s="12">
        <v>45261</v>
      </c>
      <c r="P8" s="13"/>
      <c r="Q8" s="13"/>
    </row>
    <row r="9" spans="1:18" x14ac:dyDescent="0.25">
      <c r="K9" s="12">
        <v>44927</v>
      </c>
      <c r="L9" s="13"/>
      <c r="M9" s="13"/>
      <c r="N9" s="13"/>
      <c r="O9" s="12">
        <v>45292</v>
      </c>
      <c r="P9" s="13"/>
      <c r="Q9" s="13"/>
    </row>
    <row r="10" spans="1:18" x14ac:dyDescent="0.25">
      <c r="K10" s="12">
        <v>44958</v>
      </c>
      <c r="L10" s="13"/>
      <c r="M10" s="13"/>
      <c r="N10" s="13"/>
      <c r="O10" s="12">
        <v>45323</v>
      </c>
      <c r="P10" s="13"/>
      <c r="Q10" s="13"/>
    </row>
    <row r="11" spans="1:18" x14ac:dyDescent="0.25">
      <c r="K11" s="12">
        <v>44986</v>
      </c>
      <c r="L11" s="13">
        <v>47767.19</v>
      </c>
      <c r="M11" s="13">
        <v>6978.8784999999998</v>
      </c>
      <c r="N11" s="13"/>
      <c r="O11" s="12">
        <v>45352</v>
      </c>
      <c r="P11" s="13"/>
      <c r="Q11" s="13"/>
    </row>
    <row r="12" spans="1:18" x14ac:dyDescent="0.25">
      <c r="K12" s="12">
        <v>45017</v>
      </c>
      <c r="L12" s="13">
        <v>47767.19</v>
      </c>
      <c r="M12" s="13">
        <v>6978.8784999999998</v>
      </c>
      <c r="N12" s="13"/>
      <c r="O12" s="12">
        <v>45383</v>
      </c>
      <c r="P12" s="13"/>
      <c r="Q12" s="13"/>
    </row>
    <row r="13" spans="1:18" x14ac:dyDescent="0.25">
      <c r="K13" s="12">
        <v>45047</v>
      </c>
      <c r="L13" s="13">
        <v>47767.19</v>
      </c>
      <c r="M13" s="13">
        <v>6603.7485000000006</v>
      </c>
      <c r="N13" s="13"/>
      <c r="O13" s="12">
        <v>45413</v>
      </c>
      <c r="P13" s="13"/>
      <c r="Q13" s="13"/>
    </row>
    <row r="14" spans="1:18" x14ac:dyDescent="0.25">
      <c r="K14" s="12">
        <v>45078</v>
      </c>
      <c r="L14" s="14">
        <v>47767.19</v>
      </c>
      <c r="M14" s="14">
        <v>7151.2634999999991</v>
      </c>
      <c r="N14" s="14"/>
      <c r="O14" s="12">
        <v>45444</v>
      </c>
      <c r="P14" s="14"/>
      <c r="Q14" s="14"/>
      <c r="R14" s="15"/>
    </row>
    <row r="15" spans="1:18" x14ac:dyDescent="0.25">
      <c r="L15" s="16">
        <f>SUM(L3:L14)</f>
        <v>191068.76</v>
      </c>
      <c r="M15" s="16">
        <f>SUM(M3:M14)</f>
        <v>27712.769</v>
      </c>
      <c r="N15" s="16">
        <f>L15-M15</f>
        <v>163355.99100000001</v>
      </c>
      <c r="O15" s="5"/>
      <c r="P15" s="16">
        <f>SUM(P3:P14)</f>
        <v>191068.76</v>
      </c>
      <c r="Q15" s="16">
        <f>SUM(Q3:Q14)</f>
        <v>24701.516999999993</v>
      </c>
      <c r="R15" s="16">
        <f>P15-Q15</f>
        <v>166367.24300000002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2D157-8F76-4444-9B54-5E19040000C4}">
  <dimension ref="A1:Q30"/>
  <sheetViews>
    <sheetView workbookViewId="0">
      <selection activeCell="P22" sqref="P22"/>
    </sheetView>
  </sheetViews>
  <sheetFormatPr defaultRowHeight="15" x14ac:dyDescent="0.25"/>
  <cols>
    <col min="12" max="13" width="9.140625" hidden="1" customWidth="1"/>
    <col min="15" max="16" width="9.5703125" bestFit="1" customWidth="1"/>
    <col min="17" max="17" width="22" bestFit="1" customWidth="1"/>
  </cols>
  <sheetData>
    <row r="1" spans="1:17" ht="18.75" x14ac:dyDescent="0.3">
      <c r="A1" s="6" t="s">
        <v>20</v>
      </c>
    </row>
    <row r="3" spans="1:17" x14ac:dyDescent="0.25">
      <c r="K3" s="1"/>
      <c r="L3" s="1" t="s">
        <v>16</v>
      </c>
      <c r="M3" s="1" t="s">
        <v>17</v>
      </c>
      <c r="N3" s="1"/>
      <c r="O3" s="1" t="s">
        <v>16</v>
      </c>
      <c r="P3" s="1" t="s">
        <v>17</v>
      </c>
      <c r="Q3" s="1" t="s">
        <v>18</v>
      </c>
    </row>
    <row r="4" spans="1:17" x14ac:dyDescent="0.25">
      <c r="K4" s="12">
        <v>44743</v>
      </c>
      <c r="L4" s="1"/>
      <c r="M4" s="1"/>
      <c r="N4" s="12">
        <v>45108</v>
      </c>
      <c r="O4" s="17"/>
      <c r="P4" s="17">
        <v>20</v>
      </c>
    </row>
    <row r="5" spans="1:17" x14ac:dyDescent="0.25">
      <c r="K5" s="12">
        <v>44774</v>
      </c>
      <c r="L5" s="1"/>
      <c r="M5" s="1"/>
      <c r="N5" s="12">
        <v>45139</v>
      </c>
      <c r="O5" s="17"/>
      <c r="P5" s="17">
        <v>30</v>
      </c>
    </row>
    <row r="6" spans="1:17" x14ac:dyDescent="0.25">
      <c r="K6" s="12">
        <v>44805</v>
      </c>
      <c r="L6" s="1"/>
      <c r="M6" s="1"/>
      <c r="N6" s="12">
        <v>45170</v>
      </c>
      <c r="O6" s="17"/>
      <c r="P6" s="17">
        <v>600</v>
      </c>
    </row>
    <row r="7" spans="1:17" x14ac:dyDescent="0.25">
      <c r="K7" s="12">
        <v>44835</v>
      </c>
      <c r="L7" s="1"/>
      <c r="M7" s="1"/>
      <c r="N7" s="12">
        <v>45200</v>
      </c>
      <c r="O7" s="17"/>
      <c r="P7" s="17"/>
    </row>
    <row r="8" spans="1:17" x14ac:dyDescent="0.25">
      <c r="K8" s="12">
        <v>44866</v>
      </c>
      <c r="L8" s="1"/>
      <c r="M8" s="1"/>
      <c r="N8" s="12">
        <v>45231</v>
      </c>
      <c r="O8" s="17"/>
      <c r="P8" s="17"/>
    </row>
    <row r="9" spans="1:17" x14ac:dyDescent="0.25">
      <c r="K9" s="12">
        <v>44896</v>
      </c>
      <c r="L9" s="1"/>
      <c r="M9" s="1"/>
      <c r="N9" s="12">
        <v>45261</v>
      </c>
      <c r="O9" s="17"/>
      <c r="P9" s="17"/>
    </row>
    <row r="10" spans="1:17" x14ac:dyDescent="0.25">
      <c r="K10" s="12">
        <v>44927</v>
      </c>
      <c r="L10" s="1"/>
      <c r="M10" s="1"/>
      <c r="N10" s="12">
        <v>45292</v>
      </c>
      <c r="O10" s="17"/>
      <c r="P10" s="17"/>
    </row>
    <row r="11" spans="1:17" x14ac:dyDescent="0.25">
      <c r="K11" s="12">
        <v>44958</v>
      </c>
      <c r="L11" s="1"/>
      <c r="M11" s="1"/>
      <c r="N11" s="12">
        <v>45323</v>
      </c>
      <c r="O11" s="17"/>
      <c r="P11" s="17"/>
    </row>
    <row r="12" spans="1:17" x14ac:dyDescent="0.25">
      <c r="K12" s="12">
        <v>44986</v>
      </c>
      <c r="L12" s="1"/>
      <c r="M12" s="1">
        <v>30</v>
      </c>
      <c r="N12" s="12">
        <v>45352</v>
      </c>
      <c r="O12" s="17"/>
      <c r="P12" s="17"/>
    </row>
    <row r="13" spans="1:17" x14ac:dyDescent="0.25">
      <c r="K13" s="12">
        <v>45017</v>
      </c>
      <c r="L13" s="1"/>
      <c r="M13" s="1">
        <v>30</v>
      </c>
      <c r="N13" s="12">
        <v>45383</v>
      </c>
      <c r="O13" s="17"/>
      <c r="P13" s="17"/>
    </row>
    <row r="14" spans="1:17" x14ac:dyDescent="0.25">
      <c r="K14" s="12">
        <v>45047</v>
      </c>
      <c r="M14" s="1">
        <v>20</v>
      </c>
      <c r="N14" s="12">
        <v>45413</v>
      </c>
      <c r="O14" s="17"/>
      <c r="P14" s="17"/>
    </row>
    <row r="15" spans="1:17" x14ac:dyDescent="0.25">
      <c r="K15" s="12">
        <v>45078</v>
      </c>
      <c r="L15" s="1"/>
      <c r="M15" s="1">
        <v>20</v>
      </c>
      <c r="N15" s="12">
        <v>45444</v>
      </c>
      <c r="O15" s="17"/>
      <c r="P15" s="17"/>
    </row>
    <row r="16" spans="1:17" x14ac:dyDescent="0.25">
      <c r="K16" s="1"/>
      <c r="L16" s="1"/>
      <c r="M16" s="1"/>
      <c r="N16" s="1"/>
      <c r="O16" s="1"/>
      <c r="P16" s="1"/>
    </row>
    <row r="17" spans="11:17" x14ac:dyDescent="0.25">
      <c r="K17" s="1"/>
      <c r="L17" s="1"/>
      <c r="M17" s="1"/>
      <c r="N17" s="1"/>
      <c r="O17" s="1"/>
      <c r="P17" s="1"/>
    </row>
    <row r="18" spans="11:17" x14ac:dyDescent="0.25">
      <c r="K18" s="1"/>
      <c r="L18" s="1" t="s">
        <v>16</v>
      </c>
      <c r="M18" s="1" t="s">
        <v>17</v>
      </c>
      <c r="N18" s="1"/>
      <c r="O18" s="1" t="s">
        <v>16</v>
      </c>
      <c r="P18" s="1" t="s">
        <v>17</v>
      </c>
      <c r="Q18" s="1" t="s">
        <v>18</v>
      </c>
    </row>
    <row r="19" spans="11:17" x14ac:dyDescent="0.25">
      <c r="K19" s="12">
        <v>44743</v>
      </c>
      <c r="L19" s="1"/>
      <c r="M19" s="1"/>
      <c r="N19" s="12">
        <v>45108</v>
      </c>
      <c r="O19" s="17"/>
      <c r="P19" s="17">
        <v>1</v>
      </c>
    </row>
    <row r="20" spans="11:17" x14ac:dyDescent="0.25">
      <c r="K20" s="12">
        <v>44774</v>
      </c>
      <c r="L20" s="1"/>
      <c r="M20" s="1"/>
      <c r="N20" s="12">
        <v>45139</v>
      </c>
      <c r="O20" s="17"/>
      <c r="P20" s="17">
        <v>1</v>
      </c>
    </row>
    <row r="21" spans="11:17" x14ac:dyDescent="0.25">
      <c r="K21" s="12">
        <v>44805</v>
      </c>
      <c r="L21" s="1"/>
      <c r="M21" s="1"/>
      <c r="N21" s="12">
        <v>45170</v>
      </c>
      <c r="O21" s="17"/>
      <c r="P21" s="17">
        <v>1</v>
      </c>
    </row>
    <row r="22" spans="11:17" x14ac:dyDescent="0.25">
      <c r="K22" s="12">
        <v>44835</v>
      </c>
      <c r="L22" s="1"/>
      <c r="M22" s="1"/>
      <c r="N22" s="12">
        <v>45200</v>
      </c>
      <c r="O22" s="17"/>
      <c r="P22" s="17"/>
    </row>
    <row r="23" spans="11:17" x14ac:dyDescent="0.25">
      <c r="K23" s="12">
        <v>44866</v>
      </c>
      <c r="L23" s="1"/>
      <c r="M23" s="1"/>
      <c r="N23" s="12">
        <v>45231</v>
      </c>
      <c r="O23" s="17"/>
      <c r="P23" s="17"/>
    </row>
    <row r="24" spans="11:17" x14ac:dyDescent="0.25">
      <c r="K24" s="12">
        <v>44896</v>
      </c>
      <c r="L24" s="1"/>
      <c r="M24" s="1"/>
      <c r="N24" s="12">
        <v>45261</v>
      </c>
      <c r="O24" s="17"/>
      <c r="P24" s="17"/>
    </row>
    <row r="25" spans="11:17" x14ac:dyDescent="0.25">
      <c r="K25" s="12">
        <v>44927</v>
      </c>
      <c r="L25" s="1"/>
      <c r="M25" s="1"/>
      <c r="N25" s="12">
        <v>45292</v>
      </c>
      <c r="O25" s="17"/>
      <c r="P25" s="17"/>
    </row>
    <row r="26" spans="11:17" x14ac:dyDescent="0.25">
      <c r="K26" s="12">
        <v>44958</v>
      </c>
      <c r="L26" s="1"/>
      <c r="M26" s="1"/>
      <c r="N26" s="12">
        <v>45323</v>
      </c>
      <c r="O26" s="17"/>
      <c r="P26" s="17"/>
    </row>
    <row r="27" spans="11:17" x14ac:dyDescent="0.25">
      <c r="K27" s="12">
        <v>44986</v>
      </c>
      <c r="L27" s="1"/>
      <c r="M27" s="17">
        <v>1</v>
      </c>
      <c r="N27" s="12">
        <v>45352</v>
      </c>
      <c r="O27" s="17"/>
      <c r="P27" s="17"/>
    </row>
    <row r="28" spans="11:17" x14ac:dyDescent="0.25">
      <c r="K28" s="12">
        <v>45017</v>
      </c>
      <c r="L28" s="17"/>
      <c r="M28" s="17">
        <v>1</v>
      </c>
      <c r="N28" s="12">
        <v>45383</v>
      </c>
      <c r="O28" s="17"/>
      <c r="P28" s="17"/>
    </row>
    <row r="29" spans="11:17" x14ac:dyDescent="0.25">
      <c r="K29" s="12">
        <v>45047</v>
      </c>
      <c r="L29" s="17"/>
      <c r="M29" s="17">
        <v>1</v>
      </c>
      <c r="N29" s="12">
        <v>45413</v>
      </c>
      <c r="O29" s="17"/>
      <c r="P29" s="17"/>
    </row>
    <row r="30" spans="11:17" x14ac:dyDescent="0.25">
      <c r="K30" s="12">
        <v>45078</v>
      </c>
      <c r="L30" s="17"/>
      <c r="M30" s="18">
        <v>1</v>
      </c>
      <c r="N30" s="12">
        <v>45444</v>
      </c>
      <c r="O30" s="17"/>
      <c r="P30" s="17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3C900-45F5-4AD0-AD59-5AFB6B9B773F}">
  <dimension ref="A1:P15"/>
  <sheetViews>
    <sheetView workbookViewId="0">
      <selection activeCell="P13" sqref="P13"/>
    </sheetView>
  </sheetViews>
  <sheetFormatPr defaultRowHeight="15" x14ac:dyDescent="0.25"/>
  <cols>
    <col min="10" max="11" width="9.140625" hidden="1" customWidth="1"/>
    <col min="12" max="12" width="18.140625" hidden="1" customWidth="1"/>
    <col min="16" max="16" width="20.28515625" customWidth="1"/>
  </cols>
  <sheetData>
    <row r="1" spans="1:16" ht="18.75" x14ac:dyDescent="0.3">
      <c r="A1" s="6" t="s">
        <v>20</v>
      </c>
    </row>
    <row r="3" spans="1:16" x14ac:dyDescent="0.25">
      <c r="J3" s="1" t="s">
        <v>16</v>
      </c>
      <c r="K3" s="1" t="s">
        <v>17</v>
      </c>
      <c r="L3" s="1"/>
      <c r="M3" s="1"/>
      <c r="N3" s="1" t="s">
        <v>16</v>
      </c>
      <c r="O3" s="1" t="s">
        <v>17</v>
      </c>
      <c r="P3" s="1"/>
    </row>
    <row r="4" spans="1:16" x14ac:dyDescent="0.25">
      <c r="I4" s="12">
        <v>44743</v>
      </c>
      <c r="J4" s="1"/>
      <c r="K4" s="1"/>
      <c r="L4" s="19"/>
      <c r="M4" s="12">
        <v>45108</v>
      </c>
      <c r="N4" s="20"/>
      <c r="O4" s="20">
        <v>40.962999999999994</v>
      </c>
      <c r="P4" s="19"/>
    </row>
    <row r="5" spans="1:16" x14ac:dyDescent="0.25">
      <c r="I5" s="12">
        <v>44774</v>
      </c>
      <c r="J5" s="1"/>
      <c r="K5" s="1"/>
      <c r="L5" s="19"/>
      <c r="M5" s="12">
        <v>45139</v>
      </c>
      <c r="N5" s="20"/>
      <c r="O5" s="20">
        <v>40.962999999999994</v>
      </c>
      <c r="P5" s="1"/>
    </row>
    <row r="6" spans="1:16" x14ac:dyDescent="0.25">
      <c r="I6" s="12">
        <v>44805</v>
      </c>
      <c r="J6" s="1"/>
      <c r="K6" s="1"/>
      <c r="L6" s="10"/>
      <c r="M6" s="12">
        <v>45170</v>
      </c>
      <c r="N6" s="20"/>
      <c r="O6" s="20">
        <v>5.8</v>
      </c>
      <c r="P6" s="1" t="s">
        <v>34</v>
      </c>
    </row>
    <row r="7" spans="1:16" x14ac:dyDescent="0.25">
      <c r="I7" s="12">
        <v>44835</v>
      </c>
      <c r="J7" s="1"/>
      <c r="K7" s="1"/>
      <c r="L7" s="1"/>
      <c r="M7" s="12">
        <v>45200</v>
      </c>
      <c r="N7" s="20"/>
      <c r="O7" s="20"/>
      <c r="P7" s="1"/>
    </row>
    <row r="8" spans="1:16" x14ac:dyDescent="0.25">
      <c r="I8" s="12">
        <v>44866</v>
      </c>
      <c r="J8" s="1"/>
      <c r="K8" s="1"/>
      <c r="L8" s="1"/>
      <c r="M8" s="12">
        <v>45231</v>
      </c>
      <c r="N8" s="20"/>
      <c r="O8" s="20"/>
      <c r="P8" s="1"/>
    </row>
    <row r="9" spans="1:16" x14ac:dyDescent="0.25">
      <c r="I9" s="12">
        <v>44896</v>
      </c>
      <c r="J9" s="1"/>
      <c r="K9" s="1"/>
      <c r="L9" s="1"/>
      <c r="M9" s="12">
        <v>45261</v>
      </c>
      <c r="N9" s="20"/>
      <c r="O9" s="20"/>
      <c r="P9" s="1"/>
    </row>
    <row r="10" spans="1:16" x14ac:dyDescent="0.25">
      <c r="I10" s="12">
        <v>44927</v>
      </c>
      <c r="J10" s="1"/>
      <c r="K10" s="1"/>
      <c r="L10" s="1"/>
      <c r="M10" s="12">
        <v>45292</v>
      </c>
      <c r="N10" s="20"/>
      <c r="O10" s="20"/>
      <c r="P10" s="1"/>
    </row>
    <row r="11" spans="1:16" x14ac:dyDescent="0.25">
      <c r="I11" s="12">
        <v>44958</v>
      </c>
      <c r="J11" s="1"/>
      <c r="K11" s="1"/>
      <c r="L11" s="1"/>
      <c r="M11" s="12">
        <v>45323</v>
      </c>
      <c r="N11" s="20"/>
      <c r="O11" s="20"/>
      <c r="P11" s="1"/>
    </row>
    <row r="12" spans="1:16" x14ac:dyDescent="0.25">
      <c r="I12" s="12">
        <v>44986</v>
      </c>
      <c r="J12" s="20"/>
      <c r="K12" s="20">
        <v>37.512999999999998</v>
      </c>
      <c r="L12" s="1"/>
      <c r="M12" s="12">
        <v>45352</v>
      </c>
      <c r="N12" s="20"/>
      <c r="O12" s="20"/>
      <c r="P12" s="1"/>
    </row>
    <row r="13" spans="1:16" x14ac:dyDescent="0.25">
      <c r="I13" s="12">
        <v>45017</v>
      </c>
      <c r="J13" s="20"/>
      <c r="K13" s="20">
        <v>37.512999999999998</v>
      </c>
      <c r="L13" s="19" t="s">
        <v>19</v>
      </c>
      <c r="M13" s="12">
        <v>45383</v>
      </c>
      <c r="N13" s="20"/>
      <c r="O13" s="20"/>
      <c r="P13" s="1"/>
    </row>
    <row r="14" spans="1:16" x14ac:dyDescent="0.25">
      <c r="I14" s="12">
        <v>45047</v>
      </c>
      <c r="J14" s="13"/>
      <c r="K14" s="20">
        <v>37.512999999999998</v>
      </c>
      <c r="L14" s="1"/>
      <c r="M14" s="12">
        <v>45413</v>
      </c>
      <c r="N14" s="20"/>
      <c r="O14" s="20"/>
      <c r="P14" s="1"/>
    </row>
    <row r="15" spans="1:16" x14ac:dyDescent="0.25">
      <c r="I15" s="12">
        <v>45078</v>
      </c>
      <c r="J15" s="20"/>
      <c r="K15" s="13">
        <v>37.512999999999998</v>
      </c>
      <c r="L15" s="19"/>
      <c r="M15" s="12">
        <v>45444</v>
      </c>
      <c r="N15" s="20"/>
      <c r="O15" s="20"/>
      <c r="P15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Detailed</vt:lpstr>
      <vt:lpstr>Graph</vt:lpstr>
      <vt:lpstr>Cons Graph</vt:lpstr>
      <vt:lpstr>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Zerilda</dc:creator>
  <cp:lastModifiedBy>Zerilda</cp:lastModifiedBy>
  <dcterms:created xsi:type="dcterms:W3CDTF">2023-11-10T13:09:43Z</dcterms:created>
  <dcterms:modified xsi:type="dcterms:W3CDTF">2023-11-13T13:27:39Z</dcterms:modified>
</cp:coreProperties>
</file>