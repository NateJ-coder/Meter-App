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AKA - Akasia/COUNCIL-UTILITIES/"/>
    </mc:Choice>
  </mc:AlternateContent>
  <xr:revisionPtr revIDLastSave="308" documentId="8_{38235348-FA51-4347-B1A5-BCC726CA4833}" xr6:coauthVersionLast="47" xr6:coauthVersionMax="47" xr10:uidLastSave="{C9CA2029-AF56-48A9-95C9-8E0F6CD0E2CF}"/>
  <bookViews>
    <workbookView xWindow="-120" yWindow="-120" windowWidth="20730" windowHeight="11160" activeTab="2" xr2:uid="{F5ADB581-C2DF-4ACA-B6F0-196AC0CBC941}"/>
  </bookViews>
  <sheets>
    <sheet name="Detailed" sheetId="1" r:id="rId1"/>
    <sheet name="Graph" sheetId="2" r:id="rId2"/>
    <sheet name="Cons Graph" sheetId="3" r:id="rId3"/>
    <sheet name="R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5" i="1" s="1"/>
  <c r="E45" i="1"/>
  <c r="E47" i="1" s="1"/>
  <c r="E37" i="1"/>
  <c r="E39" i="1" s="1"/>
  <c r="E29" i="1"/>
  <c r="E31" i="1" s="1"/>
  <c r="E16" i="1"/>
  <c r="Q15" i="2"/>
  <c r="P15" i="2"/>
  <c r="R15" i="2" s="1"/>
  <c r="M15" i="2"/>
  <c r="N15" i="2" s="1"/>
  <c r="L15" i="2"/>
  <c r="G54" i="1"/>
  <c r="E54" i="1"/>
  <c r="G46" i="1"/>
  <c r="E46" i="1"/>
  <c r="G38" i="1"/>
  <c r="E38" i="1"/>
  <c r="G30" i="1"/>
  <c r="E30" i="1"/>
  <c r="E63" i="1"/>
  <c r="G62" i="1"/>
  <c r="E62" i="1"/>
  <c r="B62" i="1"/>
  <c r="D62" i="1" s="1"/>
  <c r="L62" i="1" s="1"/>
  <c r="B61" i="1"/>
  <c r="B54" i="1"/>
  <c r="D54" i="1" s="1"/>
  <c r="L54" i="1" s="1"/>
  <c r="B53" i="1"/>
  <c r="B46" i="1"/>
  <c r="D46" i="1" s="1"/>
  <c r="L46" i="1" s="1"/>
  <c r="B45" i="1"/>
  <c r="B38" i="1"/>
  <c r="D38" i="1" s="1"/>
  <c r="L38" i="1" s="1"/>
  <c r="B37" i="1"/>
  <c r="B30" i="1"/>
  <c r="D30" i="1" s="1"/>
  <c r="L30" i="1" s="1"/>
  <c r="B29" i="1"/>
  <c r="L22" i="1"/>
  <c r="J22" i="1"/>
  <c r="L14" i="1"/>
  <c r="D25" i="1"/>
  <c r="E24" i="1"/>
  <c r="E23" i="1"/>
  <c r="E25" i="1" s="1"/>
  <c r="G22" i="1"/>
  <c r="E22" i="1"/>
  <c r="D22" i="1"/>
  <c r="B22" i="1"/>
  <c r="L21" i="1"/>
  <c r="B13" i="1"/>
  <c r="B21" i="1"/>
  <c r="E15" i="1"/>
  <c r="E17" i="1" s="1"/>
  <c r="D9" i="1"/>
  <c r="E8" i="1"/>
  <c r="E7" i="1"/>
  <c r="E9" i="1" s="1"/>
  <c r="J5" i="1"/>
  <c r="L5" i="1"/>
  <c r="E14" i="1"/>
  <c r="J14" i="1" s="1"/>
  <c r="B14" i="1"/>
  <c r="G6" i="1"/>
  <c r="E6" i="1"/>
  <c r="J6" i="1" s="1"/>
  <c r="D6" i="1"/>
  <c r="L6" i="1" s="1"/>
  <c r="D5" i="1"/>
  <c r="G14" i="1"/>
  <c r="D14" i="1"/>
  <c r="J62" i="1" l="1"/>
  <c r="L61" i="1"/>
  <c r="D65" i="1"/>
  <c r="J61" i="1"/>
  <c r="E64" i="1"/>
  <c r="E65" i="1" s="1"/>
  <c r="J54" i="1"/>
  <c r="J53" i="1"/>
  <c r="D57" i="1"/>
  <c r="L53" i="1"/>
  <c r="E56" i="1"/>
  <c r="E57" i="1" s="1"/>
  <c r="J46" i="1"/>
  <c r="D49" i="1"/>
  <c r="L45" i="1"/>
  <c r="J45" i="1"/>
  <c r="E48" i="1"/>
  <c r="E49" i="1" s="1"/>
  <c r="J38" i="1"/>
  <c r="L37" i="1"/>
  <c r="D41" i="1"/>
  <c r="J37" i="1"/>
  <c r="E40" i="1"/>
  <c r="E41" i="1" s="1"/>
  <c r="J30" i="1"/>
  <c r="D33" i="1"/>
  <c r="L29" i="1"/>
  <c r="J29" i="1"/>
  <c r="E32" i="1"/>
  <c r="E33" i="1" s="1"/>
  <c r="J21" i="1"/>
  <c r="L13" i="1"/>
  <c r="D17" i="1"/>
  <c r="J13" i="1"/>
</calcChain>
</file>

<file path=xl/sharedStrings.xml><?xml version="1.0" encoding="utf-8"?>
<sst xmlns="http://schemas.openxmlformats.org/spreadsheetml/2006/main" count="179" uniqueCount="32">
  <si>
    <t>Unit No</t>
  </si>
  <si>
    <t>Opening Reading</t>
  </si>
  <si>
    <t>Closing Reading</t>
  </si>
  <si>
    <t>Cons</t>
  </si>
  <si>
    <t>Elec Amount</t>
  </si>
  <si>
    <t>Reading Dates</t>
  </si>
  <si>
    <t>Estimated?</t>
  </si>
  <si>
    <t>Rates</t>
  </si>
  <si>
    <t>Days</t>
  </si>
  <si>
    <t>Kwh p/day</t>
  </si>
  <si>
    <t>BC Bulk</t>
  </si>
  <si>
    <t>Actual</t>
  </si>
  <si>
    <t>Council Bulk</t>
  </si>
  <si>
    <t>Total BC</t>
  </si>
  <si>
    <t>Total Council</t>
  </si>
  <si>
    <t>Difference</t>
  </si>
  <si>
    <t>Basic Elec Fee</t>
  </si>
  <si>
    <t>ComP</t>
  </si>
  <si>
    <t>Akasia Body Corporate - Electricity BC vs Council Recon</t>
  </si>
  <si>
    <t>1Mar - 1Apr 2023</t>
  </si>
  <si>
    <t>1Apr - 1May 2023</t>
  </si>
  <si>
    <t>1May - 1Jun 2023</t>
  </si>
  <si>
    <t>1Jun - 1Jul 2023</t>
  </si>
  <si>
    <t>1Jul - 1Aug 2023</t>
  </si>
  <si>
    <t>1Aug - 1Sept 2023</t>
  </si>
  <si>
    <t>1Sept - 1Oct 2023</t>
  </si>
  <si>
    <t>BC</t>
  </si>
  <si>
    <t>Council</t>
  </si>
  <si>
    <t>Comments</t>
  </si>
  <si>
    <t>BC cons excludes ComP</t>
  </si>
  <si>
    <t>Take on</t>
  </si>
  <si>
    <t>Rates include common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</si>
</sst>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_-[$R-436]* #,##0.00_-;\-[$R-436]* #,##0.00_-;_-[$R-436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164" fontId="2" fillId="0" borderId="0" xfId="0" applyNumberFormat="1" applyFont="1"/>
    <xf numFmtId="0" fontId="1" fillId="0" borderId="0" xfId="0" applyFont="1"/>
    <xf numFmtId="0" fontId="4" fillId="0" borderId="0" xfId="0" applyFont="1"/>
    <xf numFmtId="164" fontId="2" fillId="2" borderId="0" xfId="0" applyNumberFormat="1" applyFont="1" applyFill="1"/>
    <xf numFmtId="165" fontId="3" fillId="0" borderId="1" xfId="0" applyNumberFormat="1" applyFont="1" applyBorder="1"/>
    <xf numFmtId="15" fontId="3" fillId="0" borderId="1" xfId="0" applyNumberFormat="1" applyFont="1" applyBorder="1"/>
    <xf numFmtId="0" fontId="2" fillId="0" borderId="0" xfId="0" applyFont="1"/>
    <xf numFmtId="165" fontId="2" fillId="0" borderId="1" xfId="0" applyNumberFormat="1" applyFont="1" applyBorder="1"/>
    <xf numFmtId="17" fontId="1" fillId="0" borderId="0" xfId="0" applyNumberFormat="1" applyFont="1"/>
    <xf numFmtId="165" fontId="0" fillId="0" borderId="0" xfId="0" applyNumberFormat="1"/>
    <xf numFmtId="165" fontId="0" fillId="0" borderId="2" xfId="0" applyNumberFormat="1" applyBorder="1"/>
    <xf numFmtId="0" fontId="0" fillId="0" borderId="2" xfId="0" applyBorder="1"/>
    <xf numFmtId="165" fontId="1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3" fillId="0" borderId="0" xfId="0" applyFont="1" applyAlignment="1">
      <alignment wrapText="1"/>
    </xf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</a:t>
            </a:r>
            <a:r>
              <a:rPr lang="en-US" baseline="0"/>
              <a:t> - Electricity BC vs Council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Graph!$P$2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Graph!$O$3:$O$14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Graph!$P$3:$P$14</c:f>
              <c:numCache>
                <c:formatCode>_-[$R-436]* #,##0.00_-;\-[$R-436]* #,##0.00_-;_-[$R-436]* "-"??_-;_-@_-</c:formatCode>
                <c:ptCount val="12"/>
                <c:pt idx="0">
                  <c:v>49835.509999999995</c:v>
                </c:pt>
                <c:pt idx="1">
                  <c:v>48693.76999999999</c:v>
                </c:pt>
                <c:pt idx="2">
                  <c:v>46194.37999999999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2-4AA9-8356-1EB55F2AAD0C}"/>
            </c:ext>
          </c:extLst>
        </c:ser>
        <c:ser>
          <c:idx val="1"/>
          <c:order val="1"/>
          <c:tx>
            <c:strRef>
              <c:f>Graph!$Q$2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Graph!$O$3:$O$14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Graph!$Q$3:$Q$14</c:f>
              <c:numCache>
                <c:formatCode>_-[$R-436]* #,##0.00_-;\-[$R-436]* #,##0.00_-;_-[$R-436]* "-"??_-;_-@_-</c:formatCode>
                <c:ptCount val="12"/>
                <c:pt idx="0">
                  <c:v>99176.425499999983</c:v>
                </c:pt>
                <c:pt idx="1">
                  <c:v>89304.62999999999</c:v>
                </c:pt>
                <c:pt idx="2">
                  <c:v>68371.559499999988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2-4AA9-8356-1EB55F2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18696"/>
        <c:axId val="701017976"/>
      </c:barChart>
      <c:dateAx>
        <c:axId val="701018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17976"/>
        <c:crosses val="autoZero"/>
        <c:auto val="1"/>
        <c:lblOffset val="100"/>
        <c:baseTimeUnit val="months"/>
      </c:dateAx>
      <c:valAx>
        <c:axId val="70101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1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 - Electricity Cons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Graph'!$O$3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Graph'!$N$4:$N$15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Graph'!$O$4:$O$15</c:f>
              <c:numCache>
                <c:formatCode>0</c:formatCode>
                <c:ptCount val="12"/>
                <c:pt idx="0">
                  <c:v>12244.2</c:v>
                </c:pt>
                <c:pt idx="1">
                  <c:v>11931.7</c:v>
                </c:pt>
                <c:pt idx="2">
                  <c:v>11242.2</c:v>
                </c:pt>
                <c:pt idx="3">
                  <c:v>11268.1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7-46FD-BD12-BBD1F4E15696}"/>
            </c:ext>
          </c:extLst>
        </c:ser>
        <c:ser>
          <c:idx val="1"/>
          <c:order val="1"/>
          <c:tx>
            <c:strRef>
              <c:f>'Cons Graph'!$P$3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Graph'!$N$4:$N$15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Graph'!$P$4:$P$15</c:f>
              <c:numCache>
                <c:formatCode>0</c:formatCode>
                <c:ptCount val="12"/>
                <c:pt idx="0">
                  <c:v>19270</c:v>
                </c:pt>
                <c:pt idx="1">
                  <c:v>16330</c:v>
                </c:pt>
                <c:pt idx="2">
                  <c:v>13651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7-46FD-BD12-BBD1F4E15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501904"/>
        <c:axId val="529502624"/>
      </c:barChart>
      <c:dateAx>
        <c:axId val="529501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02624"/>
        <c:crosses val="autoZero"/>
        <c:auto val="1"/>
        <c:lblOffset val="100"/>
        <c:baseTimeUnit val="months"/>
      </c:dateAx>
      <c:valAx>
        <c:axId val="5295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0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Graph'!$O$18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Graph'!$N$19:$N$30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Graph'!$O$19:$O$30</c:f>
              <c:numCache>
                <c:formatCode>0</c:formatCode>
                <c:ptCount val="12"/>
                <c:pt idx="0">
                  <c:v>394.97419354838712</c:v>
                </c:pt>
                <c:pt idx="1">
                  <c:v>384.89354838709681</c:v>
                </c:pt>
                <c:pt idx="2">
                  <c:v>374.74</c:v>
                </c:pt>
                <c:pt idx="3">
                  <c:v>363.48709677419356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C-4F4F-921D-1689B27CC3D2}"/>
            </c:ext>
          </c:extLst>
        </c:ser>
        <c:ser>
          <c:idx val="1"/>
          <c:order val="1"/>
          <c:tx>
            <c:strRef>
              <c:f>'Cons Graph'!$P$18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Graph'!$N$19:$N$30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Graph'!$P$19:$P$30</c:f>
              <c:numCache>
                <c:formatCode>0</c:formatCode>
                <c:ptCount val="12"/>
                <c:pt idx="0">
                  <c:v>602.1875</c:v>
                </c:pt>
                <c:pt idx="1">
                  <c:v>510.3125</c:v>
                </c:pt>
                <c:pt idx="2">
                  <c:v>440.35483870967744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C-4F4F-921D-1689B27C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646912"/>
        <c:axId val="539647272"/>
      </c:barChart>
      <c:dateAx>
        <c:axId val="539646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7272"/>
        <c:crosses val="autoZero"/>
        <c:auto val="1"/>
        <c:lblOffset val="100"/>
        <c:baseTimeUnit val="months"/>
      </c:dateAx>
      <c:valAx>
        <c:axId val="53964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 -</a:t>
            </a:r>
            <a:r>
              <a:rPr lang="en-US" baseline="0"/>
              <a:t> Electricity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Rates!$N$3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Rates!$M$4:$M$15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Rates!$N$4:$N$15</c:f>
              <c:numCache>
                <c:formatCode>_-[$R-436]* #,##0.00_-;\-[$R-436]* #,##0.00_-;_-[$R-436]* "-"??_-;_-@_-</c:formatCode>
                <c:ptCount val="12"/>
                <c:pt idx="0">
                  <c:v>4.0701319808562415</c:v>
                </c:pt>
                <c:pt idx="1">
                  <c:v>4.0810420979407782</c:v>
                </c:pt>
                <c:pt idx="2">
                  <c:v>4.1090160288911415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9-4315-B83A-53515497E485}"/>
            </c:ext>
          </c:extLst>
        </c:ser>
        <c:ser>
          <c:idx val="1"/>
          <c:order val="1"/>
          <c:tx>
            <c:strRef>
              <c:f>Rates!$O$3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Rates!$M$4:$M$15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Rates!$O$4:$O$15</c:f>
              <c:numCache>
                <c:formatCode>_-[$R-436]* #,##0.00_-;\-[$R-436]* #,##0.00_-;_-[$R-436]* "-"??_-;_-@_-</c:formatCode>
                <c:ptCount val="12"/>
                <c:pt idx="0">
                  <c:v>3.3554702387130253</c:v>
                </c:pt>
                <c:pt idx="1">
                  <c:v>3.355059154929577</c:v>
                </c:pt>
                <c:pt idx="2">
                  <c:v>2.4800414255365903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9-4315-B83A-53515497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106816"/>
        <c:axId val="624107536"/>
      </c:barChart>
      <c:dateAx>
        <c:axId val="624106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07536"/>
        <c:crosses val="autoZero"/>
        <c:auto val="1"/>
        <c:lblOffset val="100"/>
        <c:baseTimeUnit val="months"/>
      </c:dateAx>
      <c:valAx>
        <c:axId val="6241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0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147636</xdr:rowOff>
    </xdr:from>
    <xdr:to>
      <xdr:col>9</xdr:col>
      <xdr:colOff>504825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0F76C-B474-6832-5DFA-82BFE169C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</xdr:row>
      <xdr:rowOff>128587</xdr:rowOff>
    </xdr:from>
    <xdr:to>
      <xdr:col>9</xdr:col>
      <xdr:colOff>38099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FB95F-30BB-D85B-9C9E-B1D30E681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20</xdr:row>
      <xdr:rowOff>166687</xdr:rowOff>
    </xdr:from>
    <xdr:to>
      <xdr:col>9</xdr:col>
      <xdr:colOff>457200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56DA1-F58B-4332-9D80-AEAD620F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</xdr:row>
      <xdr:rowOff>52387</xdr:rowOff>
    </xdr:from>
    <xdr:to>
      <xdr:col>7</xdr:col>
      <xdr:colOff>466725</xdr:colOff>
      <xdr:row>14</xdr:row>
      <xdr:rowOff>319087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6B780-E91F-A968-4594-5511B1CED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E989-4E75-4148-B921-FE34651CF465}">
  <dimension ref="A1:L66"/>
  <sheetViews>
    <sheetView topLeftCell="A27" workbookViewId="0">
      <selection activeCell="J53" sqref="J53:J54"/>
    </sheetView>
  </sheetViews>
  <sheetFormatPr defaultRowHeight="15" x14ac:dyDescent="0.25"/>
  <cols>
    <col min="1" max="1" width="12.42578125" bestFit="1" customWidth="1"/>
    <col min="2" max="2" width="16.28515625" bestFit="1" customWidth="1"/>
    <col min="3" max="3" width="15.140625" bestFit="1" customWidth="1"/>
    <col min="5" max="5" width="12.140625" bestFit="1" customWidth="1"/>
    <col min="6" max="6" width="12.140625" customWidth="1"/>
    <col min="7" max="7" width="15.140625" bestFit="1" customWidth="1"/>
    <col min="8" max="8" width="18.7109375" bestFit="1" customWidth="1"/>
    <col min="9" max="9" width="10.85546875" bestFit="1" customWidth="1"/>
    <col min="12" max="12" width="12" bestFit="1" customWidth="1"/>
  </cols>
  <sheetData>
    <row r="1" spans="1:12" ht="18.75" x14ac:dyDescent="0.3">
      <c r="A1" s="6" t="s">
        <v>18</v>
      </c>
    </row>
    <row r="2" spans="1:12" ht="18.75" x14ac:dyDescent="0.3">
      <c r="A2" s="6"/>
    </row>
    <row r="3" spans="1:12" x14ac:dyDescent="0.25">
      <c r="A3" s="7">
        <v>44986</v>
      </c>
    </row>
    <row r="4" spans="1:12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17</v>
      </c>
      <c r="G4" s="2" t="s">
        <v>16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x14ac:dyDescent="0.25">
      <c r="A5" s="3" t="s">
        <v>10</v>
      </c>
      <c r="B5" s="3"/>
      <c r="C5" s="3"/>
      <c r="D5" s="3">
        <f>C5-B5</f>
        <v>0</v>
      </c>
      <c r="E5" s="8"/>
      <c r="F5" s="8">
        <v>5374.34</v>
      </c>
      <c r="G5" s="8"/>
      <c r="H5" s="3"/>
      <c r="I5" s="3"/>
      <c r="J5" s="3" t="e">
        <f>(E5+F5)/D5</f>
        <v>#DIV/0!</v>
      </c>
      <c r="K5" s="3"/>
      <c r="L5" s="3" t="e">
        <f>D5/K5</f>
        <v>#DIV/0!</v>
      </c>
    </row>
    <row r="6" spans="1:12" x14ac:dyDescent="0.25">
      <c r="A6" s="3" t="s">
        <v>12</v>
      </c>
      <c r="B6" s="3">
        <v>947162</v>
      </c>
      <c r="C6" s="3">
        <v>961410</v>
      </c>
      <c r="D6" s="3">
        <f>C6-B6</f>
        <v>14248</v>
      </c>
      <c r="E6" s="8">
        <f>29135.74*1.15</f>
        <v>33506.101000000002</v>
      </c>
      <c r="F6" s="8"/>
      <c r="G6" s="8">
        <f>26077*1.15</f>
        <v>29988.55</v>
      </c>
      <c r="H6" s="9" t="s">
        <v>19</v>
      </c>
      <c r="I6" s="3" t="s">
        <v>11</v>
      </c>
      <c r="J6" s="3">
        <f>E6/D6</f>
        <v>2.3516353874227964</v>
      </c>
      <c r="K6" s="3">
        <v>32</v>
      </c>
      <c r="L6" s="3">
        <f>D6/K6</f>
        <v>445.25</v>
      </c>
    </row>
    <row r="7" spans="1:12" x14ac:dyDescent="0.25">
      <c r="A7" s="2" t="s">
        <v>13</v>
      </c>
      <c r="B7" s="2"/>
      <c r="C7" s="2"/>
      <c r="D7" s="2"/>
      <c r="E7" s="11">
        <f>E5+F5+G5</f>
        <v>5374.34</v>
      </c>
      <c r="F7" s="2"/>
      <c r="G7" s="2"/>
      <c r="H7" s="3"/>
      <c r="I7" s="3"/>
      <c r="J7" s="3"/>
      <c r="K7" s="3"/>
      <c r="L7" s="3"/>
    </row>
    <row r="8" spans="1:12" x14ac:dyDescent="0.25">
      <c r="A8" s="2" t="s">
        <v>14</v>
      </c>
      <c r="B8" s="2"/>
      <c r="C8" s="2"/>
      <c r="D8" s="2"/>
      <c r="E8" s="11">
        <f>E6+F6+G6</f>
        <v>63494.650999999998</v>
      </c>
      <c r="F8" s="2"/>
      <c r="G8" s="2"/>
      <c r="H8" s="3"/>
      <c r="I8" s="3"/>
      <c r="J8" s="3"/>
      <c r="K8" s="3"/>
      <c r="L8" s="3"/>
    </row>
    <row r="9" spans="1:12" x14ac:dyDescent="0.25">
      <c r="A9" s="2" t="s">
        <v>15</v>
      </c>
      <c r="B9" s="2"/>
      <c r="C9" s="2"/>
      <c r="D9" s="2">
        <f>D5-D6</f>
        <v>-14248</v>
      </c>
      <c r="E9" s="11">
        <f>E7-E8</f>
        <v>-58120.311000000002</v>
      </c>
      <c r="F9" s="2"/>
      <c r="G9" s="2"/>
      <c r="H9" s="3"/>
      <c r="I9" s="3"/>
      <c r="J9" s="3"/>
      <c r="K9" s="3"/>
      <c r="L9" s="3"/>
    </row>
    <row r="10" spans="1:12" x14ac:dyDescent="0.25">
      <c r="A10" s="10"/>
      <c r="B10" s="10"/>
      <c r="C10" s="10"/>
      <c r="D10" s="10"/>
      <c r="E10" s="10"/>
      <c r="F10" s="10"/>
      <c r="G10" s="10"/>
      <c r="H10" s="1"/>
      <c r="I10" s="1"/>
      <c r="J10" s="1"/>
      <c r="K10" s="1"/>
      <c r="L10" s="1"/>
    </row>
    <row r="11" spans="1:12" x14ac:dyDescent="0.25">
      <c r="A11" s="4">
        <v>45017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17</v>
      </c>
      <c r="G12" s="2" t="s">
        <v>16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</row>
    <row r="13" spans="1:12" x14ac:dyDescent="0.25">
      <c r="A13" s="3" t="s">
        <v>10</v>
      </c>
      <c r="B13" s="3">
        <f>C5</f>
        <v>0</v>
      </c>
      <c r="C13" s="3"/>
      <c r="D13" s="3">
        <v>9058.2999999999993</v>
      </c>
      <c r="E13" s="8">
        <v>33791.4</v>
      </c>
      <c r="F13" s="8">
        <v>5374.34</v>
      </c>
      <c r="G13" s="8"/>
      <c r="H13" s="3"/>
      <c r="I13" s="3"/>
      <c r="J13" s="3">
        <f>(E13+F13)/D13</f>
        <v>4.3237406577393118</v>
      </c>
      <c r="K13" s="3">
        <v>30</v>
      </c>
      <c r="L13" s="3">
        <f>D13/K13</f>
        <v>301.94333333333333</v>
      </c>
    </row>
    <row r="14" spans="1:12" x14ac:dyDescent="0.25">
      <c r="A14" s="3" t="s">
        <v>12</v>
      </c>
      <c r="B14" s="3">
        <f>C6</f>
        <v>961410</v>
      </c>
      <c r="C14" s="3">
        <v>975466</v>
      </c>
      <c r="D14" s="3">
        <f>C14-B14</f>
        <v>14056</v>
      </c>
      <c r="E14" s="8">
        <f>28743.11*1.15</f>
        <v>33054.576499999996</v>
      </c>
      <c r="F14" s="8"/>
      <c r="G14" s="8">
        <f>26077*1.15</f>
        <v>29988.55</v>
      </c>
      <c r="H14" s="9" t="s">
        <v>20</v>
      </c>
      <c r="I14" s="3" t="s">
        <v>11</v>
      </c>
      <c r="J14" s="8">
        <f>E14/D14</f>
        <v>2.3516346400113828</v>
      </c>
      <c r="K14" s="3">
        <v>31</v>
      </c>
      <c r="L14" s="3">
        <f>D14/K14</f>
        <v>453.41935483870969</v>
      </c>
    </row>
    <row r="15" spans="1:12" x14ac:dyDescent="0.25">
      <c r="A15" s="2" t="s">
        <v>13</v>
      </c>
      <c r="B15" s="2"/>
      <c r="C15" s="2"/>
      <c r="D15" s="2"/>
      <c r="E15" s="11">
        <f>E13+F13+G13</f>
        <v>39165.740000000005</v>
      </c>
      <c r="F15" s="2"/>
      <c r="G15" s="2"/>
      <c r="H15" s="3"/>
      <c r="I15" s="3"/>
      <c r="J15" s="3"/>
      <c r="K15" s="3"/>
      <c r="L15" s="3"/>
    </row>
    <row r="16" spans="1:12" x14ac:dyDescent="0.25">
      <c r="A16" s="2" t="s">
        <v>14</v>
      </c>
      <c r="B16" s="2"/>
      <c r="C16" s="2"/>
      <c r="D16" s="2"/>
      <c r="E16" s="11">
        <f>E14+F14+G14</f>
        <v>63043.126499999998</v>
      </c>
      <c r="F16" s="2"/>
      <c r="G16" s="2"/>
      <c r="H16" s="3"/>
      <c r="I16" s="3"/>
      <c r="J16" s="3"/>
      <c r="K16" s="3"/>
      <c r="L16" s="3"/>
    </row>
    <row r="17" spans="1:12" x14ac:dyDescent="0.25">
      <c r="A17" s="2" t="s">
        <v>15</v>
      </c>
      <c r="B17" s="2"/>
      <c r="C17" s="2"/>
      <c r="D17" s="2">
        <f>D13-D14</f>
        <v>-4997.7000000000007</v>
      </c>
      <c r="E17" s="11">
        <f>E15-E16</f>
        <v>-23877.386499999993</v>
      </c>
      <c r="F17" s="2"/>
      <c r="G17" s="2"/>
      <c r="H17" s="3"/>
      <c r="I17" s="3"/>
      <c r="J17" s="3"/>
      <c r="K17" s="3"/>
      <c r="L17" s="3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4">
        <v>45047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17</v>
      </c>
      <c r="G20" s="2" t="s">
        <v>16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</row>
    <row r="21" spans="1:12" x14ac:dyDescent="0.25">
      <c r="A21" s="3" t="s">
        <v>10</v>
      </c>
      <c r="B21" s="3">
        <f>C13</f>
        <v>0</v>
      </c>
      <c r="C21" s="3"/>
      <c r="D21" s="3">
        <v>11173.5</v>
      </c>
      <c r="E21" s="8">
        <v>40567.14</v>
      </c>
      <c r="F21" s="8">
        <v>5374.34</v>
      </c>
      <c r="G21" s="8"/>
      <c r="H21" s="3"/>
      <c r="I21" s="3"/>
      <c r="J21" s="3">
        <f>(E21+F21)/D21</f>
        <v>4.1116463059918553</v>
      </c>
      <c r="K21" s="3">
        <v>31</v>
      </c>
      <c r="L21" s="3">
        <f>D21/K21</f>
        <v>360.43548387096774</v>
      </c>
    </row>
    <row r="22" spans="1:12" x14ac:dyDescent="0.25">
      <c r="A22" s="3" t="s">
        <v>12</v>
      </c>
      <c r="B22" s="3">
        <f>C14</f>
        <v>975466</v>
      </c>
      <c r="C22" s="3">
        <v>991584</v>
      </c>
      <c r="D22" s="3">
        <f>C22-B22</f>
        <v>16118</v>
      </c>
      <c r="E22" s="8">
        <f>32959.7*1.15</f>
        <v>37903.654999999992</v>
      </c>
      <c r="F22" s="8"/>
      <c r="G22" s="8">
        <f>26077*1.15</f>
        <v>29988.55</v>
      </c>
      <c r="H22" s="3" t="s">
        <v>21</v>
      </c>
      <c r="I22" s="3" t="s">
        <v>11</v>
      </c>
      <c r="J22" s="8">
        <f>E22/D22</f>
        <v>2.3516351284278443</v>
      </c>
      <c r="K22" s="3">
        <v>32</v>
      </c>
      <c r="L22" s="3">
        <f>D22/K22</f>
        <v>503.6875</v>
      </c>
    </row>
    <row r="23" spans="1:12" x14ac:dyDescent="0.25">
      <c r="A23" s="2" t="s">
        <v>13</v>
      </c>
      <c r="B23" s="2"/>
      <c r="C23" s="2"/>
      <c r="D23" s="2"/>
      <c r="E23" s="11">
        <f>E21+F21+G21</f>
        <v>45941.479999999996</v>
      </c>
      <c r="F23" s="2"/>
      <c r="G23" s="2"/>
      <c r="H23" s="3"/>
      <c r="I23" s="3"/>
      <c r="J23" s="3"/>
      <c r="K23" s="3"/>
      <c r="L23" s="3"/>
    </row>
    <row r="24" spans="1:12" x14ac:dyDescent="0.25">
      <c r="A24" s="2" t="s">
        <v>14</v>
      </c>
      <c r="B24" s="2"/>
      <c r="C24" s="2"/>
      <c r="D24" s="2"/>
      <c r="E24" s="11">
        <f>E22+F22+G22</f>
        <v>67892.204999999987</v>
      </c>
      <c r="F24" s="2"/>
      <c r="G24" s="2"/>
      <c r="H24" s="3"/>
      <c r="I24" s="3"/>
      <c r="J24" s="3"/>
      <c r="K24" s="3"/>
      <c r="L24" s="3"/>
    </row>
    <row r="25" spans="1:12" x14ac:dyDescent="0.25">
      <c r="A25" s="2" t="s">
        <v>15</v>
      </c>
      <c r="B25" s="2"/>
      <c r="C25" s="2"/>
      <c r="D25" s="2">
        <f>D21-D22</f>
        <v>-4944.5</v>
      </c>
      <c r="E25" s="11">
        <f>E23-E24</f>
        <v>-21950.724999999991</v>
      </c>
      <c r="F25" s="2"/>
      <c r="G25" s="2"/>
      <c r="H25" s="3"/>
      <c r="I25" s="3"/>
      <c r="J25" s="3"/>
      <c r="K25" s="3"/>
      <c r="L25" s="3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4">
        <v>45078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17</v>
      </c>
      <c r="G28" s="2" t="s">
        <v>16</v>
      </c>
      <c r="H28" s="2" t="s">
        <v>5</v>
      </c>
      <c r="I28" s="2" t="s">
        <v>6</v>
      </c>
      <c r="J28" s="2" t="s">
        <v>7</v>
      </c>
      <c r="K28" s="2" t="s">
        <v>8</v>
      </c>
      <c r="L28" s="2" t="s">
        <v>9</v>
      </c>
    </row>
    <row r="29" spans="1:12" x14ac:dyDescent="0.25">
      <c r="A29" s="3" t="s">
        <v>10</v>
      </c>
      <c r="B29" s="3">
        <f>C21</f>
        <v>0</v>
      </c>
      <c r="C29" s="3"/>
      <c r="D29" s="3">
        <v>12216.8</v>
      </c>
      <c r="E29" s="8">
        <f>49729.58-F29</f>
        <v>44355.240000000005</v>
      </c>
      <c r="F29" s="8">
        <v>5374.34</v>
      </c>
      <c r="G29" s="8"/>
      <c r="H29" s="3"/>
      <c r="I29" s="3"/>
      <c r="J29" s="3">
        <f>(E29+F29)/D29</f>
        <v>4.0705896797852139</v>
      </c>
      <c r="K29" s="3">
        <v>30</v>
      </c>
      <c r="L29" s="3">
        <f>D29/K29</f>
        <v>407.22666666666663</v>
      </c>
    </row>
    <row r="30" spans="1:12" x14ac:dyDescent="0.25">
      <c r="A30" s="3" t="s">
        <v>12</v>
      </c>
      <c r="B30" s="3">
        <f>C22</f>
        <v>991584</v>
      </c>
      <c r="C30" s="3">
        <v>1008536</v>
      </c>
      <c r="D30" s="3">
        <f>C30-B30</f>
        <v>16952</v>
      </c>
      <c r="E30" s="8">
        <f>46928.22*1.15</f>
        <v>53967.452999999994</v>
      </c>
      <c r="F30" s="8"/>
      <c r="G30" s="8">
        <f>30014.36*1.15</f>
        <v>34516.513999999996</v>
      </c>
      <c r="H30" s="3" t="s">
        <v>22</v>
      </c>
      <c r="I30" s="3" t="s">
        <v>11</v>
      </c>
      <c r="J30" s="8">
        <f>E30/D30</f>
        <v>3.1835448914582347</v>
      </c>
      <c r="K30" s="3">
        <v>31</v>
      </c>
      <c r="L30" s="3">
        <f>D30/K30</f>
        <v>546.83870967741939</v>
      </c>
    </row>
    <row r="31" spans="1:12" x14ac:dyDescent="0.25">
      <c r="A31" s="2" t="s">
        <v>13</v>
      </c>
      <c r="B31" s="2"/>
      <c r="C31" s="2"/>
      <c r="D31" s="2"/>
      <c r="E31" s="11">
        <f>E29+F29+G29</f>
        <v>49729.58</v>
      </c>
      <c r="F31" s="2"/>
      <c r="G31" s="2"/>
      <c r="H31" s="3"/>
      <c r="I31" s="3"/>
      <c r="J31" s="3"/>
      <c r="K31" s="3"/>
      <c r="L31" s="3"/>
    </row>
    <row r="32" spans="1:12" x14ac:dyDescent="0.25">
      <c r="A32" s="2" t="s">
        <v>14</v>
      </c>
      <c r="B32" s="2"/>
      <c r="C32" s="2"/>
      <c r="D32" s="2"/>
      <c r="E32" s="11">
        <f>E30+F30+G30</f>
        <v>88483.96699999999</v>
      </c>
      <c r="F32" s="2"/>
      <c r="G32" s="2"/>
      <c r="H32" s="3"/>
      <c r="I32" s="3"/>
      <c r="J32" s="3"/>
      <c r="K32" s="3"/>
      <c r="L32" s="3"/>
    </row>
    <row r="33" spans="1:12" x14ac:dyDescent="0.25">
      <c r="A33" s="2" t="s">
        <v>15</v>
      </c>
      <c r="B33" s="2"/>
      <c r="C33" s="2"/>
      <c r="D33" s="2">
        <f>D29-D30</f>
        <v>-4735.2000000000007</v>
      </c>
      <c r="E33" s="11">
        <f>E31-E32</f>
        <v>-38754.386999999988</v>
      </c>
      <c r="F33" s="2"/>
      <c r="G33" s="2"/>
      <c r="H33" s="3"/>
      <c r="I33" s="3"/>
      <c r="J33" s="3"/>
      <c r="K33" s="3"/>
      <c r="L33" s="3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4">
        <v>45108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17</v>
      </c>
      <c r="G36" s="2" t="s">
        <v>16</v>
      </c>
      <c r="H36" s="2" t="s">
        <v>5</v>
      </c>
      <c r="I36" s="2" t="s">
        <v>6</v>
      </c>
      <c r="J36" s="2" t="s">
        <v>7</v>
      </c>
      <c r="K36" s="2" t="s">
        <v>8</v>
      </c>
      <c r="L36" s="2" t="s">
        <v>9</v>
      </c>
    </row>
    <row r="37" spans="1:12" x14ac:dyDescent="0.25">
      <c r="A37" s="3" t="s">
        <v>10</v>
      </c>
      <c r="B37" s="3">
        <f>C29</f>
        <v>0</v>
      </c>
      <c r="C37" s="3"/>
      <c r="D37" s="3">
        <v>12244.2</v>
      </c>
      <c r="E37" s="8">
        <f>49835.51-F37</f>
        <v>44461.17</v>
      </c>
      <c r="F37" s="8">
        <v>5374.34</v>
      </c>
      <c r="G37" s="8"/>
      <c r="H37" s="3"/>
      <c r="I37" s="3"/>
      <c r="J37" s="3">
        <f>(E37+F37)/D37</f>
        <v>4.0701319808562415</v>
      </c>
      <c r="K37" s="3">
        <v>31</v>
      </c>
      <c r="L37" s="3">
        <f>D37/K37</f>
        <v>394.97419354838712</v>
      </c>
    </row>
    <row r="38" spans="1:12" x14ac:dyDescent="0.25">
      <c r="A38" s="3" t="s">
        <v>12</v>
      </c>
      <c r="B38" s="3">
        <f>C30</f>
        <v>1008536</v>
      </c>
      <c r="C38" s="3">
        <v>1027806</v>
      </c>
      <c r="D38" s="3">
        <f>C38-B38</f>
        <v>19270</v>
      </c>
      <c r="E38" s="8">
        <f>56226.01*1.15</f>
        <v>64659.911499999995</v>
      </c>
      <c r="F38" s="8"/>
      <c r="G38" s="8">
        <f>30014.36*1.15</f>
        <v>34516.513999999996</v>
      </c>
      <c r="H38" s="3" t="s">
        <v>23</v>
      </c>
      <c r="I38" s="3" t="s">
        <v>11</v>
      </c>
      <c r="J38" s="8">
        <f>E38/D38</f>
        <v>3.3554702387130253</v>
      </c>
      <c r="K38" s="3">
        <v>32</v>
      </c>
      <c r="L38" s="3">
        <f>D38/K38</f>
        <v>602.1875</v>
      </c>
    </row>
    <row r="39" spans="1:12" x14ac:dyDescent="0.25">
      <c r="A39" s="2" t="s">
        <v>13</v>
      </c>
      <c r="B39" s="2"/>
      <c r="C39" s="2"/>
      <c r="D39" s="2"/>
      <c r="E39" s="11">
        <f>E37+F37+G37</f>
        <v>49835.509999999995</v>
      </c>
      <c r="F39" s="2"/>
      <c r="G39" s="2"/>
      <c r="H39" s="3"/>
      <c r="I39" s="3"/>
      <c r="J39" s="3"/>
      <c r="K39" s="3"/>
      <c r="L39" s="3"/>
    </row>
    <row r="40" spans="1:12" x14ac:dyDescent="0.25">
      <c r="A40" s="2" t="s">
        <v>14</v>
      </c>
      <c r="B40" s="2"/>
      <c r="C40" s="2"/>
      <c r="D40" s="2"/>
      <c r="E40" s="11">
        <f>E38+F38+G38</f>
        <v>99176.425499999983</v>
      </c>
      <c r="F40" s="2"/>
      <c r="G40" s="2"/>
      <c r="H40" s="3"/>
      <c r="I40" s="3"/>
      <c r="J40" s="3"/>
      <c r="K40" s="3"/>
      <c r="L40" s="3"/>
    </row>
    <row r="41" spans="1:12" x14ac:dyDescent="0.25">
      <c r="A41" s="2" t="s">
        <v>15</v>
      </c>
      <c r="B41" s="2"/>
      <c r="C41" s="2"/>
      <c r="D41" s="2">
        <f>D37-D38</f>
        <v>-7025.7999999999993</v>
      </c>
      <c r="E41" s="11">
        <f>E39-E40</f>
        <v>-49340.915499999988</v>
      </c>
      <c r="F41" s="2"/>
      <c r="G41" s="2"/>
      <c r="H41" s="3"/>
      <c r="I41" s="3"/>
      <c r="J41" s="3"/>
      <c r="K41" s="3"/>
      <c r="L41" s="3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4">
        <v>45139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17</v>
      </c>
      <c r="G44" s="2" t="s">
        <v>16</v>
      </c>
      <c r="H44" s="2" t="s">
        <v>5</v>
      </c>
      <c r="I44" s="2" t="s">
        <v>6</v>
      </c>
      <c r="J44" s="2" t="s">
        <v>7</v>
      </c>
      <c r="K44" s="2" t="s">
        <v>8</v>
      </c>
      <c r="L44" s="2" t="s">
        <v>9</v>
      </c>
    </row>
    <row r="45" spans="1:12" x14ac:dyDescent="0.25">
      <c r="A45" s="3" t="s">
        <v>10</v>
      </c>
      <c r="B45" s="3">
        <f>C37</f>
        <v>0</v>
      </c>
      <c r="C45" s="3"/>
      <c r="D45" s="3">
        <v>11931.7</v>
      </c>
      <c r="E45" s="8">
        <f>48693.77-F45</f>
        <v>43319.429999999993</v>
      </c>
      <c r="F45" s="8">
        <v>5374.34</v>
      </c>
      <c r="G45" s="8"/>
      <c r="H45" s="3"/>
      <c r="I45" s="3"/>
      <c r="J45" s="3">
        <f>(E45+F45)/D45</f>
        <v>4.0810420979407782</v>
      </c>
      <c r="K45" s="3">
        <v>31</v>
      </c>
      <c r="L45" s="3">
        <f>D45/K45</f>
        <v>384.89354838709681</v>
      </c>
    </row>
    <row r="46" spans="1:12" x14ac:dyDescent="0.25">
      <c r="A46" s="3" t="s">
        <v>12</v>
      </c>
      <c r="B46" s="3">
        <f>C38</f>
        <v>1027806</v>
      </c>
      <c r="C46" s="3">
        <v>1044136</v>
      </c>
      <c r="D46" s="3">
        <f>C46-B46</f>
        <v>16330</v>
      </c>
      <c r="E46" s="8">
        <f>47641.84*1.15</f>
        <v>54788.115999999995</v>
      </c>
      <c r="F46" s="8"/>
      <c r="G46" s="8">
        <f>30014.36*1.15</f>
        <v>34516.513999999996</v>
      </c>
      <c r="H46" s="3" t="s">
        <v>24</v>
      </c>
      <c r="I46" s="3" t="s">
        <v>11</v>
      </c>
      <c r="J46" s="8">
        <f>E46/D46</f>
        <v>3.355059154929577</v>
      </c>
      <c r="K46" s="3">
        <v>32</v>
      </c>
      <c r="L46" s="3">
        <f>D46/K46</f>
        <v>510.3125</v>
      </c>
    </row>
    <row r="47" spans="1:12" x14ac:dyDescent="0.25">
      <c r="A47" s="2" t="s">
        <v>13</v>
      </c>
      <c r="B47" s="2"/>
      <c r="C47" s="2"/>
      <c r="D47" s="2"/>
      <c r="E47" s="11">
        <f>E45+F45+G45</f>
        <v>48693.76999999999</v>
      </c>
      <c r="F47" s="2"/>
      <c r="G47" s="2"/>
      <c r="H47" s="3"/>
      <c r="I47" s="3"/>
      <c r="J47" s="3"/>
      <c r="K47" s="3"/>
      <c r="L47" s="3"/>
    </row>
    <row r="48" spans="1:12" x14ac:dyDescent="0.25">
      <c r="A48" s="2" t="s">
        <v>14</v>
      </c>
      <c r="B48" s="2"/>
      <c r="C48" s="2"/>
      <c r="D48" s="2"/>
      <c r="E48" s="11">
        <f>E46+F46+G46</f>
        <v>89304.62999999999</v>
      </c>
      <c r="F48" s="2"/>
      <c r="G48" s="2"/>
      <c r="H48" s="3"/>
      <c r="I48" s="3"/>
      <c r="J48" s="3"/>
      <c r="K48" s="3"/>
      <c r="L48" s="3"/>
    </row>
    <row r="49" spans="1:12" x14ac:dyDescent="0.25">
      <c r="A49" s="2" t="s">
        <v>15</v>
      </c>
      <c r="B49" s="2"/>
      <c r="C49" s="2"/>
      <c r="D49" s="2">
        <f>D45-D46</f>
        <v>-4398.2999999999993</v>
      </c>
      <c r="E49" s="11">
        <f>E47-E48</f>
        <v>-40610.86</v>
      </c>
      <c r="F49" s="2"/>
      <c r="G49" s="2"/>
      <c r="H49" s="3"/>
      <c r="I49" s="3"/>
      <c r="J49" s="3"/>
      <c r="K49" s="3"/>
      <c r="L49" s="3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4">
        <v>45170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17</v>
      </c>
      <c r="G52" s="2" t="s">
        <v>16</v>
      </c>
      <c r="H52" s="2" t="s">
        <v>5</v>
      </c>
      <c r="I52" s="2" t="s">
        <v>6</v>
      </c>
      <c r="J52" s="2" t="s">
        <v>7</v>
      </c>
      <c r="K52" s="2" t="s">
        <v>8</v>
      </c>
      <c r="L52" s="2" t="s">
        <v>9</v>
      </c>
    </row>
    <row r="53" spans="1:12" x14ac:dyDescent="0.25">
      <c r="A53" s="3" t="s">
        <v>10</v>
      </c>
      <c r="B53" s="3">
        <f>C45</f>
        <v>0</v>
      </c>
      <c r="C53" s="3"/>
      <c r="D53" s="3">
        <v>11242.2</v>
      </c>
      <c r="E53" s="8">
        <f>46194.38-F53</f>
        <v>40820.039999999994</v>
      </c>
      <c r="F53" s="8">
        <v>5374.34</v>
      </c>
      <c r="G53" s="8"/>
      <c r="H53" s="3"/>
      <c r="I53" s="3"/>
      <c r="J53" s="3">
        <f>(E53+F53)/D53</f>
        <v>4.1090160288911415</v>
      </c>
      <c r="K53" s="3">
        <v>30</v>
      </c>
      <c r="L53" s="3">
        <f>D53/K53</f>
        <v>374.74</v>
      </c>
    </row>
    <row r="54" spans="1:12" x14ac:dyDescent="0.25">
      <c r="A54" s="3" t="s">
        <v>12</v>
      </c>
      <c r="B54" s="3">
        <f>C46</f>
        <v>1044136</v>
      </c>
      <c r="C54" s="3">
        <v>1057787</v>
      </c>
      <c r="D54" s="3">
        <f>C54-B54</f>
        <v>13651</v>
      </c>
      <c r="E54" s="8">
        <f>29439.17*1.15</f>
        <v>33855.045499999993</v>
      </c>
      <c r="F54" s="8"/>
      <c r="G54" s="8">
        <f>30014.36*1.15</f>
        <v>34516.513999999996</v>
      </c>
      <c r="H54" s="3" t="s">
        <v>25</v>
      </c>
      <c r="I54" s="3" t="s">
        <v>11</v>
      </c>
      <c r="J54" s="8">
        <f>E54/D54</f>
        <v>2.4800414255365903</v>
      </c>
      <c r="K54" s="3">
        <v>31</v>
      </c>
      <c r="L54" s="3">
        <f>D54/K54</f>
        <v>440.35483870967744</v>
      </c>
    </row>
    <row r="55" spans="1:12" x14ac:dyDescent="0.25">
      <c r="A55" s="2" t="s">
        <v>13</v>
      </c>
      <c r="B55" s="2"/>
      <c r="C55" s="2"/>
      <c r="D55" s="2"/>
      <c r="E55" s="11">
        <f>E53+F53+G53</f>
        <v>46194.37999999999</v>
      </c>
      <c r="F55" s="2"/>
      <c r="G55" s="2"/>
      <c r="H55" s="3"/>
      <c r="I55" s="3"/>
      <c r="J55" s="3"/>
      <c r="K55" s="3"/>
      <c r="L55" s="3"/>
    </row>
    <row r="56" spans="1:12" x14ac:dyDescent="0.25">
      <c r="A56" s="2" t="s">
        <v>14</v>
      </c>
      <c r="B56" s="2"/>
      <c r="C56" s="2"/>
      <c r="D56" s="2"/>
      <c r="E56" s="11">
        <f>E54+F54+G54</f>
        <v>68371.559499999988</v>
      </c>
      <c r="F56" s="2"/>
      <c r="G56" s="2"/>
      <c r="H56" s="3"/>
      <c r="I56" s="3"/>
      <c r="J56" s="3"/>
      <c r="K56" s="3"/>
      <c r="L56" s="3"/>
    </row>
    <row r="57" spans="1:12" x14ac:dyDescent="0.25">
      <c r="A57" s="2" t="s">
        <v>15</v>
      </c>
      <c r="B57" s="2"/>
      <c r="C57" s="2"/>
      <c r="D57" s="2">
        <f>D53-D54</f>
        <v>-2408.7999999999993</v>
      </c>
      <c r="E57" s="11">
        <f>E55-E56</f>
        <v>-22177.179499999998</v>
      </c>
      <c r="F57" s="2"/>
      <c r="G57" s="2"/>
      <c r="H57" s="3"/>
      <c r="I57" s="3"/>
      <c r="J57" s="3"/>
      <c r="K57" s="3"/>
      <c r="L57" s="3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4">
        <v>45200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17</v>
      </c>
      <c r="G60" s="2" t="s">
        <v>16</v>
      </c>
      <c r="H60" s="2" t="s">
        <v>5</v>
      </c>
      <c r="I60" s="2" t="s">
        <v>6</v>
      </c>
      <c r="J60" s="2" t="s">
        <v>7</v>
      </c>
      <c r="K60" s="2" t="s">
        <v>8</v>
      </c>
      <c r="L60" s="2" t="s">
        <v>9</v>
      </c>
    </row>
    <row r="61" spans="1:12" x14ac:dyDescent="0.25">
      <c r="A61" s="3" t="s">
        <v>10</v>
      </c>
      <c r="B61" s="3">
        <f>C53</f>
        <v>0</v>
      </c>
      <c r="C61" s="3"/>
      <c r="D61" s="3">
        <v>11268.1</v>
      </c>
      <c r="E61" s="8"/>
      <c r="F61" s="8">
        <v>5374.34</v>
      </c>
      <c r="G61" s="8"/>
      <c r="H61" s="3"/>
      <c r="I61" s="3"/>
      <c r="J61" s="3">
        <f>(E61+F61)/D61</f>
        <v>0.47695174874202395</v>
      </c>
      <c r="K61" s="3">
        <v>31</v>
      </c>
      <c r="L61" s="3">
        <f>D61/K61</f>
        <v>363.48709677419356</v>
      </c>
    </row>
    <row r="62" spans="1:12" x14ac:dyDescent="0.25">
      <c r="A62" s="3" t="s">
        <v>12</v>
      </c>
      <c r="B62" s="3">
        <f>C54</f>
        <v>1057787</v>
      </c>
      <c r="C62" s="3">
        <v>991584</v>
      </c>
      <c r="D62" s="3">
        <f>C62-B62</f>
        <v>-66203</v>
      </c>
      <c r="E62" s="8">
        <f>32959.7*1.15</f>
        <v>37903.654999999992</v>
      </c>
      <c r="F62" s="8"/>
      <c r="G62" s="8">
        <f>26077*1.15</f>
        <v>29988.55</v>
      </c>
      <c r="H62" s="3" t="s">
        <v>21</v>
      </c>
      <c r="I62" s="3" t="s">
        <v>11</v>
      </c>
      <c r="J62" s="8">
        <f>E62/D62</f>
        <v>-0.57253681857317629</v>
      </c>
      <c r="K62" s="3">
        <v>32</v>
      </c>
      <c r="L62" s="3">
        <f>D62/K62</f>
        <v>-2068.84375</v>
      </c>
    </row>
    <row r="63" spans="1:12" x14ac:dyDescent="0.25">
      <c r="A63" s="2" t="s">
        <v>13</v>
      </c>
      <c r="B63" s="2"/>
      <c r="C63" s="2"/>
      <c r="D63" s="2"/>
      <c r="E63" s="11">
        <f>E61+F61+G61</f>
        <v>5374.34</v>
      </c>
      <c r="F63" s="2"/>
      <c r="G63" s="2"/>
      <c r="H63" s="3"/>
      <c r="I63" s="3"/>
      <c r="J63" s="3"/>
      <c r="K63" s="3"/>
      <c r="L63" s="3"/>
    </row>
    <row r="64" spans="1:12" x14ac:dyDescent="0.25">
      <c r="A64" s="2" t="s">
        <v>14</v>
      </c>
      <c r="B64" s="2"/>
      <c r="C64" s="2"/>
      <c r="D64" s="2"/>
      <c r="E64" s="11">
        <f>E62+F62+G62</f>
        <v>67892.204999999987</v>
      </c>
      <c r="F64" s="2"/>
      <c r="G64" s="2"/>
      <c r="H64" s="3"/>
      <c r="I64" s="3"/>
      <c r="J64" s="3"/>
      <c r="K64" s="3"/>
      <c r="L64" s="3"/>
    </row>
    <row r="65" spans="1:12" x14ac:dyDescent="0.25">
      <c r="A65" s="2" t="s">
        <v>15</v>
      </c>
      <c r="B65" s="2"/>
      <c r="C65" s="2"/>
      <c r="D65" s="2">
        <f>D61-D62</f>
        <v>77471.100000000006</v>
      </c>
      <c r="E65" s="11">
        <f>E63-E64</f>
        <v>-62517.864999999991</v>
      </c>
      <c r="F65" s="2"/>
      <c r="G65" s="2"/>
      <c r="H65" s="3"/>
      <c r="I65" s="3"/>
      <c r="J65" s="3"/>
      <c r="K65" s="3"/>
      <c r="L65" s="3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488B-15C3-477D-8826-F036BA2A5021}">
  <dimension ref="A1:R15"/>
  <sheetViews>
    <sheetView workbookViewId="0">
      <selection activeCell="O3" sqref="O3:O14"/>
    </sheetView>
  </sheetViews>
  <sheetFormatPr defaultRowHeight="15" x14ac:dyDescent="0.25"/>
  <cols>
    <col min="12" max="14" width="12.7109375" hidden="1" customWidth="1"/>
    <col min="16" max="18" width="12.7109375" bestFit="1" customWidth="1"/>
  </cols>
  <sheetData>
    <row r="1" spans="1:18" ht="18.75" x14ac:dyDescent="0.3">
      <c r="A1" s="6" t="s">
        <v>18</v>
      </c>
    </row>
    <row r="2" spans="1:18" x14ac:dyDescent="0.25">
      <c r="L2" t="s">
        <v>26</v>
      </c>
      <c r="M2" t="s">
        <v>27</v>
      </c>
      <c r="P2" t="s">
        <v>26</v>
      </c>
      <c r="Q2" t="s">
        <v>27</v>
      </c>
    </row>
    <row r="3" spans="1:18" x14ac:dyDescent="0.25">
      <c r="K3" s="12">
        <v>44743</v>
      </c>
      <c r="L3" s="13"/>
      <c r="M3" s="13"/>
      <c r="N3" s="13"/>
      <c r="O3" s="12">
        <v>45108</v>
      </c>
      <c r="P3" s="13">
        <v>49835.509999999995</v>
      </c>
      <c r="Q3" s="13">
        <v>99176.425499999983</v>
      </c>
    </row>
    <row r="4" spans="1:18" x14ac:dyDescent="0.25">
      <c r="K4" s="12">
        <v>44774</v>
      </c>
      <c r="L4" s="13"/>
      <c r="M4" s="13"/>
      <c r="N4" s="13"/>
      <c r="O4" s="12">
        <v>45139</v>
      </c>
      <c r="P4" s="13">
        <v>48693.76999999999</v>
      </c>
      <c r="Q4" s="13">
        <v>89304.62999999999</v>
      </c>
    </row>
    <row r="5" spans="1:18" x14ac:dyDescent="0.25">
      <c r="K5" s="12">
        <v>44805</v>
      </c>
      <c r="L5" s="13"/>
      <c r="M5" s="13"/>
      <c r="N5" s="13"/>
      <c r="O5" s="12">
        <v>45170</v>
      </c>
      <c r="P5" s="13">
        <v>46194.37999999999</v>
      </c>
      <c r="Q5" s="13">
        <v>68371.559499999988</v>
      </c>
    </row>
    <row r="6" spans="1:18" x14ac:dyDescent="0.25">
      <c r="K6" s="12">
        <v>44835</v>
      </c>
      <c r="L6" s="13"/>
      <c r="M6" s="13"/>
      <c r="N6" s="13"/>
      <c r="O6" s="12">
        <v>45200</v>
      </c>
      <c r="P6" s="13"/>
      <c r="Q6" s="13"/>
    </row>
    <row r="7" spans="1:18" x14ac:dyDescent="0.25">
      <c r="K7" s="12">
        <v>44866</v>
      </c>
      <c r="L7" s="13"/>
      <c r="M7" s="13"/>
      <c r="N7" s="13"/>
      <c r="O7" s="12">
        <v>45231</v>
      </c>
      <c r="P7" s="13"/>
      <c r="Q7" s="13"/>
    </row>
    <row r="8" spans="1:18" x14ac:dyDescent="0.25">
      <c r="K8" s="12">
        <v>44896</v>
      </c>
      <c r="L8" s="13"/>
      <c r="M8" s="13"/>
      <c r="N8" s="13"/>
      <c r="O8" s="12">
        <v>45261</v>
      </c>
      <c r="P8" s="13"/>
      <c r="Q8" s="13"/>
    </row>
    <row r="9" spans="1:18" x14ac:dyDescent="0.25">
      <c r="K9" s="12">
        <v>44927</v>
      </c>
      <c r="L9" s="13"/>
      <c r="M9" s="13"/>
      <c r="N9" s="13"/>
      <c r="O9" s="12">
        <v>45292</v>
      </c>
      <c r="P9" s="13"/>
      <c r="Q9" s="13"/>
    </row>
    <row r="10" spans="1:18" x14ac:dyDescent="0.25">
      <c r="K10" s="12">
        <v>44958</v>
      </c>
      <c r="L10" s="13"/>
      <c r="M10" s="13"/>
      <c r="N10" s="13"/>
      <c r="O10" s="12">
        <v>45323</v>
      </c>
      <c r="P10" s="13"/>
      <c r="Q10" s="13"/>
    </row>
    <row r="11" spans="1:18" x14ac:dyDescent="0.25">
      <c r="K11" s="12">
        <v>44986</v>
      </c>
      <c r="L11" s="13"/>
      <c r="M11" s="13">
        <v>63494.650999999998</v>
      </c>
      <c r="N11" s="13"/>
      <c r="O11" s="12">
        <v>45352</v>
      </c>
      <c r="P11" s="13"/>
      <c r="Q11" s="13"/>
    </row>
    <row r="12" spans="1:18" x14ac:dyDescent="0.25">
      <c r="K12" s="12">
        <v>45017</v>
      </c>
      <c r="L12" s="13">
        <v>39165.740000000005</v>
      </c>
      <c r="M12" s="13">
        <v>63043.126499999998</v>
      </c>
      <c r="N12" s="13"/>
      <c r="O12" s="12">
        <v>45383</v>
      </c>
      <c r="P12" s="13"/>
      <c r="Q12" s="13"/>
    </row>
    <row r="13" spans="1:18" x14ac:dyDescent="0.25">
      <c r="K13" s="12">
        <v>45047</v>
      </c>
      <c r="L13" s="13">
        <v>45941.479999999996</v>
      </c>
      <c r="M13" s="13">
        <v>67892.204999999987</v>
      </c>
      <c r="N13" s="13"/>
      <c r="O13" s="12">
        <v>45413</v>
      </c>
      <c r="P13" s="13"/>
      <c r="Q13" s="13"/>
    </row>
    <row r="14" spans="1:18" x14ac:dyDescent="0.25">
      <c r="K14" s="12">
        <v>45078</v>
      </c>
      <c r="L14" s="14">
        <v>49729.58</v>
      </c>
      <c r="M14" s="14">
        <v>88483.96699999999</v>
      </c>
      <c r="N14" s="14"/>
      <c r="O14" s="12">
        <v>45444</v>
      </c>
      <c r="P14" s="14"/>
      <c r="Q14" s="14"/>
      <c r="R14" s="15"/>
    </row>
    <row r="15" spans="1:18" x14ac:dyDescent="0.25">
      <c r="L15" s="16">
        <f>SUM(L3:L14)</f>
        <v>134836.79999999999</v>
      </c>
      <c r="M15" s="16">
        <f>SUM(M3:M14)</f>
        <v>282913.94949999999</v>
      </c>
      <c r="N15" s="16">
        <f>L15-M15</f>
        <v>-148077.1495</v>
      </c>
      <c r="O15" s="5"/>
      <c r="P15" s="16">
        <f>SUM(P3:P14)</f>
        <v>144723.65999999997</v>
      </c>
      <c r="Q15" s="16">
        <f>SUM(Q3:Q14)</f>
        <v>256852.61499999993</v>
      </c>
      <c r="R15" s="16">
        <f>P15-Q15</f>
        <v>-112128.95499999996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D157-8F76-4444-9B54-5E19040000C4}">
  <dimension ref="A1:Q30"/>
  <sheetViews>
    <sheetView tabSelected="1" workbookViewId="0"/>
  </sheetViews>
  <sheetFormatPr defaultRowHeight="15" x14ac:dyDescent="0.25"/>
  <cols>
    <col min="12" max="13" width="0" hidden="1" customWidth="1"/>
    <col min="15" max="16" width="9.5703125" bestFit="1" customWidth="1"/>
    <col min="17" max="17" width="22" bestFit="1" customWidth="1"/>
  </cols>
  <sheetData>
    <row r="1" spans="1:17" ht="18.75" x14ac:dyDescent="0.3">
      <c r="A1" s="6" t="s">
        <v>18</v>
      </c>
    </row>
    <row r="3" spans="1:17" x14ac:dyDescent="0.25">
      <c r="K3" s="1"/>
      <c r="L3" s="1" t="s">
        <v>26</v>
      </c>
      <c r="M3" s="1" t="s">
        <v>27</v>
      </c>
      <c r="N3" s="1"/>
      <c r="O3" s="1" t="s">
        <v>26</v>
      </c>
      <c r="P3" s="1" t="s">
        <v>27</v>
      </c>
      <c r="Q3" s="1" t="s">
        <v>28</v>
      </c>
    </row>
    <row r="4" spans="1:17" x14ac:dyDescent="0.25">
      <c r="K4" s="12">
        <v>44743</v>
      </c>
      <c r="L4" s="1"/>
      <c r="M4" s="1"/>
      <c r="N4" s="12">
        <v>45108</v>
      </c>
      <c r="O4" s="17">
        <v>12244.2</v>
      </c>
      <c r="P4" s="17">
        <v>19270</v>
      </c>
      <c r="Q4" t="s">
        <v>29</v>
      </c>
    </row>
    <row r="5" spans="1:17" x14ac:dyDescent="0.25">
      <c r="K5" s="12">
        <v>44774</v>
      </c>
      <c r="L5" s="1"/>
      <c r="M5" s="1"/>
      <c r="N5" s="12">
        <v>45139</v>
      </c>
      <c r="O5" s="17">
        <v>11931.7</v>
      </c>
      <c r="P5" s="17">
        <v>16330</v>
      </c>
    </row>
    <row r="6" spans="1:17" x14ac:dyDescent="0.25">
      <c r="K6" s="12">
        <v>44805</v>
      </c>
      <c r="L6" s="1"/>
      <c r="M6" s="1"/>
      <c r="N6" s="12">
        <v>45170</v>
      </c>
      <c r="O6" s="17">
        <v>11242.2</v>
      </c>
      <c r="P6" s="17">
        <v>13651</v>
      </c>
    </row>
    <row r="7" spans="1:17" x14ac:dyDescent="0.25">
      <c r="K7" s="12">
        <v>44835</v>
      </c>
      <c r="L7" s="1"/>
      <c r="M7" s="1"/>
      <c r="N7" s="12">
        <v>45200</v>
      </c>
      <c r="O7" s="17">
        <v>11268.1</v>
      </c>
      <c r="P7" s="17"/>
    </row>
    <row r="8" spans="1:17" x14ac:dyDescent="0.25">
      <c r="K8" s="12">
        <v>44866</v>
      </c>
      <c r="L8" s="1"/>
      <c r="M8" s="1"/>
      <c r="N8" s="12">
        <v>45231</v>
      </c>
      <c r="O8" s="17"/>
      <c r="P8" s="17"/>
    </row>
    <row r="9" spans="1:17" x14ac:dyDescent="0.25">
      <c r="K9" s="12">
        <v>44896</v>
      </c>
      <c r="L9" s="1"/>
      <c r="M9" s="1"/>
      <c r="N9" s="12">
        <v>45261</v>
      </c>
      <c r="O9" s="17"/>
      <c r="P9" s="17"/>
    </row>
    <row r="10" spans="1:17" x14ac:dyDescent="0.25">
      <c r="K10" s="12">
        <v>44927</v>
      </c>
      <c r="L10" s="1"/>
      <c r="M10" s="1"/>
      <c r="N10" s="12">
        <v>45292</v>
      </c>
      <c r="O10" s="17"/>
      <c r="P10" s="17"/>
    </row>
    <row r="11" spans="1:17" x14ac:dyDescent="0.25">
      <c r="K11" s="12">
        <v>44958</v>
      </c>
      <c r="L11" s="1"/>
      <c r="M11" s="1"/>
      <c r="N11" s="12">
        <v>45323</v>
      </c>
      <c r="O11" s="17"/>
      <c r="P11" s="17"/>
    </row>
    <row r="12" spans="1:17" x14ac:dyDescent="0.25">
      <c r="K12" s="12">
        <v>44986</v>
      </c>
      <c r="L12" s="1"/>
      <c r="M12" s="1">
        <v>14248</v>
      </c>
      <c r="N12" s="12">
        <v>45352</v>
      </c>
      <c r="O12" s="17"/>
      <c r="P12" s="17"/>
    </row>
    <row r="13" spans="1:17" x14ac:dyDescent="0.25">
      <c r="K13" s="12">
        <v>45017</v>
      </c>
      <c r="L13" s="1">
        <v>9058.2999999999993</v>
      </c>
      <c r="M13" s="1">
        <v>14056</v>
      </c>
      <c r="N13" s="12">
        <v>45383</v>
      </c>
      <c r="O13" s="17"/>
      <c r="P13" s="17"/>
    </row>
    <row r="14" spans="1:17" x14ac:dyDescent="0.25">
      <c r="K14" s="12">
        <v>45047</v>
      </c>
      <c r="L14">
        <v>11173.5</v>
      </c>
      <c r="M14" s="1">
        <v>16118</v>
      </c>
      <c r="N14" s="12">
        <v>45413</v>
      </c>
      <c r="O14" s="17"/>
      <c r="P14" s="17"/>
    </row>
    <row r="15" spans="1:17" x14ac:dyDescent="0.25">
      <c r="K15" s="12">
        <v>45078</v>
      </c>
      <c r="L15" s="1">
        <v>12216.8</v>
      </c>
      <c r="M15" s="1">
        <v>16952</v>
      </c>
      <c r="N15" s="12">
        <v>45444</v>
      </c>
      <c r="O15" s="17"/>
      <c r="P15" s="17"/>
    </row>
    <row r="16" spans="1:17" x14ac:dyDescent="0.25">
      <c r="K16" s="1"/>
      <c r="L16" s="1"/>
      <c r="M16" s="1"/>
      <c r="N16" s="1"/>
      <c r="O16" s="1"/>
      <c r="P16" s="1"/>
    </row>
    <row r="17" spans="11:17" x14ac:dyDescent="0.25">
      <c r="K17" s="1"/>
      <c r="L17" s="1"/>
      <c r="M17" s="1"/>
      <c r="N17" s="1"/>
      <c r="O17" s="1"/>
      <c r="P17" s="1"/>
    </row>
    <row r="18" spans="11:17" x14ac:dyDescent="0.25">
      <c r="K18" s="1"/>
      <c r="L18" s="1" t="s">
        <v>26</v>
      </c>
      <c r="M18" s="1" t="s">
        <v>27</v>
      </c>
      <c r="N18" s="1"/>
      <c r="O18" s="1" t="s">
        <v>26</v>
      </c>
      <c r="P18" s="1" t="s">
        <v>27</v>
      </c>
      <c r="Q18" s="1" t="s">
        <v>28</v>
      </c>
    </row>
    <row r="19" spans="11:17" x14ac:dyDescent="0.25">
      <c r="K19" s="12">
        <v>44743</v>
      </c>
      <c r="L19" s="1"/>
      <c r="M19" s="1"/>
      <c r="N19" s="12">
        <v>45108</v>
      </c>
      <c r="O19" s="17">
        <v>394.97419354838712</v>
      </c>
      <c r="P19" s="17">
        <v>602.1875</v>
      </c>
      <c r="Q19" t="s">
        <v>29</v>
      </c>
    </row>
    <row r="20" spans="11:17" x14ac:dyDescent="0.25">
      <c r="K20" s="12">
        <v>44774</v>
      </c>
      <c r="L20" s="1"/>
      <c r="M20" s="1"/>
      <c r="N20" s="12">
        <v>45139</v>
      </c>
      <c r="O20" s="17">
        <v>384.89354838709681</v>
      </c>
      <c r="P20" s="17">
        <v>510.3125</v>
      </c>
    </row>
    <row r="21" spans="11:17" x14ac:dyDescent="0.25">
      <c r="K21" s="12">
        <v>44805</v>
      </c>
      <c r="L21" s="1"/>
      <c r="M21" s="1"/>
      <c r="N21" s="12">
        <v>45170</v>
      </c>
      <c r="O21" s="17">
        <v>374.74</v>
      </c>
      <c r="P21" s="17">
        <v>440.35483870967744</v>
      </c>
    </row>
    <row r="22" spans="11:17" x14ac:dyDescent="0.25">
      <c r="K22" s="12">
        <v>44835</v>
      </c>
      <c r="L22" s="1"/>
      <c r="M22" s="1"/>
      <c r="N22" s="12">
        <v>45200</v>
      </c>
      <c r="O22" s="17">
        <v>363.48709677419356</v>
      </c>
      <c r="P22" s="17"/>
    </row>
    <row r="23" spans="11:17" x14ac:dyDescent="0.25">
      <c r="K23" s="12">
        <v>44866</v>
      </c>
      <c r="L23" s="1"/>
      <c r="M23" s="1"/>
      <c r="N23" s="12">
        <v>45231</v>
      </c>
      <c r="O23" s="17"/>
      <c r="P23" s="17"/>
    </row>
    <row r="24" spans="11:17" x14ac:dyDescent="0.25">
      <c r="K24" s="12">
        <v>44896</v>
      </c>
      <c r="L24" s="1"/>
      <c r="M24" s="1"/>
      <c r="N24" s="12">
        <v>45261</v>
      </c>
      <c r="O24" s="17"/>
      <c r="P24" s="17"/>
    </row>
    <row r="25" spans="11:17" x14ac:dyDescent="0.25">
      <c r="K25" s="12">
        <v>44927</v>
      </c>
      <c r="L25" s="1"/>
      <c r="M25" s="1"/>
      <c r="N25" s="12">
        <v>45292</v>
      </c>
      <c r="O25" s="17"/>
      <c r="P25" s="17"/>
    </row>
    <row r="26" spans="11:17" x14ac:dyDescent="0.25">
      <c r="K26" s="12">
        <v>44958</v>
      </c>
      <c r="L26" s="1"/>
      <c r="M26" s="1"/>
      <c r="N26" s="12">
        <v>45323</v>
      </c>
      <c r="O26" s="17"/>
      <c r="P26" s="17"/>
    </row>
    <row r="27" spans="11:17" x14ac:dyDescent="0.25">
      <c r="K27" s="12">
        <v>44986</v>
      </c>
      <c r="L27" s="1"/>
      <c r="M27" s="17">
        <v>445.25</v>
      </c>
      <c r="N27" s="12">
        <v>45352</v>
      </c>
      <c r="O27" s="17"/>
      <c r="P27" s="17"/>
    </row>
    <row r="28" spans="11:17" x14ac:dyDescent="0.25">
      <c r="K28" s="12">
        <v>45017</v>
      </c>
      <c r="L28" s="17">
        <v>301.94333333333333</v>
      </c>
      <c r="M28" s="17">
        <v>453.41935483870969</v>
      </c>
      <c r="N28" s="12">
        <v>45383</v>
      </c>
      <c r="O28" s="17"/>
      <c r="P28" s="17"/>
    </row>
    <row r="29" spans="11:17" x14ac:dyDescent="0.25">
      <c r="K29" s="12">
        <v>45047</v>
      </c>
      <c r="L29" s="17">
        <v>360.43548387096774</v>
      </c>
      <c r="M29" s="17">
        <v>503.6875</v>
      </c>
      <c r="N29" s="12">
        <v>45413</v>
      </c>
      <c r="O29" s="17"/>
      <c r="P29" s="17"/>
    </row>
    <row r="30" spans="11:17" x14ac:dyDescent="0.25">
      <c r="K30" s="12">
        <v>45078</v>
      </c>
      <c r="L30" s="17">
        <v>407.22666666666663</v>
      </c>
      <c r="M30" s="18">
        <v>546.83870967741939</v>
      </c>
      <c r="N30" s="12">
        <v>45444</v>
      </c>
      <c r="O30" s="17"/>
      <c r="P30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900-45F5-4AD0-AD59-5AFB6B9B773F}">
  <dimension ref="A1:P15"/>
  <sheetViews>
    <sheetView workbookViewId="0">
      <selection activeCell="H25" sqref="H25"/>
    </sheetView>
  </sheetViews>
  <sheetFormatPr defaultRowHeight="15" x14ac:dyDescent="0.25"/>
  <cols>
    <col min="10" max="11" width="0" hidden="1" customWidth="1"/>
    <col min="12" max="12" width="18.140625" hidden="1" customWidth="1"/>
    <col min="16" max="16" width="20.28515625" customWidth="1"/>
  </cols>
  <sheetData>
    <row r="1" spans="1:16" ht="18.75" x14ac:dyDescent="0.3">
      <c r="A1" s="6" t="s">
        <v>18</v>
      </c>
    </row>
    <row r="3" spans="1:16" x14ac:dyDescent="0.25">
      <c r="J3" s="1" t="s">
        <v>26</v>
      </c>
      <c r="K3" s="1" t="s">
        <v>27</v>
      </c>
      <c r="L3" s="1"/>
      <c r="M3" s="1"/>
      <c r="N3" s="1" t="s">
        <v>26</v>
      </c>
      <c r="O3" s="1" t="s">
        <v>27</v>
      </c>
      <c r="P3" s="1"/>
    </row>
    <row r="4" spans="1:16" ht="30" x14ac:dyDescent="0.25">
      <c r="I4" s="12">
        <v>44743</v>
      </c>
      <c r="J4" s="1"/>
      <c r="K4" s="1"/>
      <c r="L4" s="19"/>
      <c r="M4" s="12">
        <v>45108</v>
      </c>
      <c r="N4" s="20">
        <v>4.0701319808562415</v>
      </c>
      <c r="O4" s="20">
        <v>3.3554702387130253</v>
      </c>
      <c r="P4" s="19" t="s">
        <v>31</v>
      </c>
    </row>
    <row r="5" spans="1:16" x14ac:dyDescent="0.25">
      <c r="I5" s="12">
        <v>44774</v>
      </c>
      <c r="J5" s="1"/>
      <c r="K5" s="1"/>
      <c r="L5" s="19"/>
      <c r="M5" s="12">
        <v>45139</v>
      </c>
      <c r="N5" s="20">
        <v>4.0810420979407782</v>
      </c>
      <c r="O5" s="20">
        <v>3.355059154929577</v>
      </c>
      <c r="P5" s="1"/>
    </row>
    <row r="6" spans="1:16" x14ac:dyDescent="0.25">
      <c r="I6" s="12">
        <v>44805</v>
      </c>
      <c r="J6" s="1"/>
      <c r="K6" s="1"/>
      <c r="L6" s="10"/>
      <c r="M6" s="12">
        <v>45170</v>
      </c>
      <c r="N6" s="20">
        <v>4.1090160288911415</v>
      </c>
      <c r="O6" s="20">
        <v>2.4800414255365903</v>
      </c>
      <c r="P6" s="1"/>
    </row>
    <row r="7" spans="1:16" x14ac:dyDescent="0.25">
      <c r="I7" s="12">
        <v>44835</v>
      </c>
      <c r="J7" s="1"/>
      <c r="K7" s="1"/>
      <c r="L7" s="1"/>
      <c r="M7" s="12">
        <v>45200</v>
      </c>
      <c r="N7" s="20"/>
      <c r="O7" s="20"/>
      <c r="P7" s="1"/>
    </row>
    <row r="8" spans="1:16" x14ac:dyDescent="0.25">
      <c r="I8" s="12">
        <v>44866</v>
      </c>
      <c r="J8" s="1"/>
      <c r="K8" s="1"/>
      <c r="L8" s="1"/>
      <c r="M8" s="12">
        <v>45231</v>
      </c>
      <c r="N8" s="20"/>
      <c r="O8" s="20"/>
      <c r="P8" s="1"/>
    </row>
    <row r="9" spans="1:16" x14ac:dyDescent="0.25">
      <c r="I9" s="12">
        <v>44896</v>
      </c>
      <c r="J9" s="1"/>
      <c r="K9" s="1"/>
      <c r="L9" s="1"/>
      <c r="M9" s="12">
        <v>45261</v>
      </c>
      <c r="N9" s="20"/>
      <c r="O9" s="20"/>
      <c r="P9" s="1"/>
    </row>
    <row r="10" spans="1:16" x14ac:dyDescent="0.25">
      <c r="I10" s="12">
        <v>44927</v>
      </c>
      <c r="J10" s="1"/>
      <c r="K10" s="1"/>
      <c r="L10" s="1"/>
      <c r="M10" s="12">
        <v>45292</v>
      </c>
      <c r="N10" s="20"/>
      <c r="O10" s="20"/>
      <c r="P10" s="1"/>
    </row>
    <row r="11" spans="1:16" x14ac:dyDescent="0.25">
      <c r="I11" s="12">
        <v>44958</v>
      </c>
      <c r="J11" s="1"/>
      <c r="K11" s="1"/>
      <c r="L11" s="1"/>
      <c r="M11" s="12">
        <v>45323</v>
      </c>
      <c r="N11" s="20"/>
      <c r="O11" s="20"/>
      <c r="P11" s="1"/>
    </row>
    <row r="12" spans="1:16" x14ac:dyDescent="0.25">
      <c r="I12" s="12">
        <v>44986</v>
      </c>
      <c r="J12" s="20"/>
      <c r="K12" s="20">
        <v>2.3516353874227964</v>
      </c>
      <c r="L12" s="1"/>
      <c r="M12" s="12">
        <v>45352</v>
      </c>
      <c r="N12" s="20"/>
      <c r="O12" s="20"/>
      <c r="P12" s="1"/>
    </row>
    <row r="13" spans="1:16" x14ac:dyDescent="0.25">
      <c r="I13" s="12">
        <v>45017</v>
      </c>
      <c r="J13" s="20">
        <v>4.3237406577393118</v>
      </c>
      <c r="K13" s="20">
        <v>2.3516346400113828</v>
      </c>
      <c r="L13" s="19" t="s">
        <v>30</v>
      </c>
      <c r="M13" s="12">
        <v>45383</v>
      </c>
      <c r="N13" s="20"/>
      <c r="O13" s="20"/>
      <c r="P13" s="1"/>
    </row>
    <row r="14" spans="1:16" x14ac:dyDescent="0.25">
      <c r="I14" s="12">
        <v>45047</v>
      </c>
      <c r="J14" s="13">
        <v>4.1116463059918553</v>
      </c>
      <c r="K14" s="20">
        <v>2.3516351284278443</v>
      </c>
      <c r="L14" s="1"/>
      <c r="M14" s="12">
        <v>45413</v>
      </c>
      <c r="N14" s="20"/>
      <c r="O14" s="20"/>
      <c r="P14" s="1"/>
    </row>
    <row r="15" spans="1:16" ht="30" x14ac:dyDescent="0.25">
      <c r="I15" s="12">
        <v>45078</v>
      </c>
      <c r="J15" s="20">
        <v>4.0705896797852139</v>
      </c>
      <c r="K15" s="13">
        <v>3.1835448914582347</v>
      </c>
      <c r="L15" s="19" t="s">
        <v>31</v>
      </c>
      <c r="M15" s="12">
        <v>45444</v>
      </c>
      <c r="N15" s="20"/>
      <c r="O15" s="20"/>
      <c r="P1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</vt:lpstr>
      <vt:lpstr>Graph</vt:lpstr>
      <vt:lpstr>Cons Graph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</dc:creator>
  <cp:lastModifiedBy>Zerilda</cp:lastModifiedBy>
  <dcterms:created xsi:type="dcterms:W3CDTF">2023-11-10T13:09:43Z</dcterms:created>
  <dcterms:modified xsi:type="dcterms:W3CDTF">2025-02-18T12:28:48Z</dcterms:modified>
</cp:coreProperties>
</file>