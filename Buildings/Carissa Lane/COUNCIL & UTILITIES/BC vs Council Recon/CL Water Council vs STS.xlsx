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ziopro-my.sharepoint.com/personal/calla_sectionalts_co/Documents/Desktop/STS vs Council Accounts/"/>
    </mc:Choice>
  </mc:AlternateContent>
  <xr:revisionPtr revIDLastSave="984" documentId="13_ncr:1_{4495A95D-C20D-4EB5-B71B-2D8A88414E5A}" xr6:coauthVersionLast="47" xr6:coauthVersionMax="47" xr10:uidLastSave="{344D106F-E53C-4237-B977-8E91827EE06E}"/>
  <bookViews>
    <workbookView xWindow="28680" yWindow="-120" windowWidth="29040" windowHeight="15990" firstSheet="3" xr2:uid="{25C848DB-F9DC-4360-8C04-43BCD7831B6B}"/>
  </bookViews>
  <sheets>
    <sheet name="Data" sheetId="1" r:id="rId1"/>
    <sheet name="Collected Graph" sheetId="2" r:id="rId2"/>
    <sheet name="Consumption Graph" sheetId="3" r:id="rId3"/>
    <sheet name="Rates Graph" sheetId="4" r:id="rId4"/>
    <sheet name="WCU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14" i="1" l="1"/>
  <c r="G613" i="1"/>
  <c r="H614" i="1"/>
  <c r="G616" i="1"/>
  <c r="B614" i="1"/>
  <c r="D614" i="1" s="1"/>
  <c r="L614" i="1" s="1"/>
  <c r="H613" i="1"/>
  <c r="G615" i="1"/>
  <c r="B613" i="1"/>
  <c r="D613" i="1" s="1"/>
  <c r="L613" i="1" s="1"/>
  <c r="G605" i="1"/>
  <c r="G606" i="1"/>
  <c r="H606" i="1"/>
  <c r="G608" i="1"/>
  <c r="B606" i="1"/>
  <c r="D606" i="1" s="1"/>
  <c r="L606" i="1" s="1"/>
  <c r="H605" i="1"/>
  <c r="G607" i="1"/>
  <c r="B605" i="1"/>
  <c r="D605" i="1" s="1"/>
  <c r="L605" i="1" s="1"/>
  <c r="Q15" i="5"/>
  <c r="P15" i="5"/>
  <c r="R15" i="5" s="1"/>
  <c r="M15" i="5"/>
  <c r="L15" i="5"/>
  <c r="N15" i="5" s="1"/>
  <c r="G598" i="1"/>
  <c r="G597" i="1"/>
  <c r="H598" i="1"/>
  <c r="G600" i="1"/>
  <c r="B598" i="1"/>
  <c r="D598" i="1" s="1"/>
  <c r="L598" i="1" s="1"/>
  <c r="H597" i="1"/>
  <c r="G599" i="1"/>
  <c r="B597" i="1"/>
  <c r="D597" i="1" s="1"/>
  <c r="L597" i="1" s="1"/>
  <c r="AH15" i="2"/>
  <c r="AG15" i="2"/>
  <c r="AI15" i="2" s="1"/>
  <c r="H582" i="1"/>
  <c r="H590" i="1"/>
  <c r="G590" i="1"/>
  <c r="G589" i="1"/>
  <c r="G592" i="1"/>
  <c r="B590" i="1"/>
  <c r="D590" i="1" s="1"/>
  <c r="L590" i="1" s="1"/>
  <c r="H589" i="1"/>
  <c r="G591" i="1"/>
  <c r="B589" i="1"/>
  <c r="D589" i="1" s="1"/>
  <c r="L589" i="1" s="1"/>
  <c r="G581" i="1"/>
  <c r="G582" i="1"/>
  <c r="G584" i="1" s="1"/>
  <c r="D582" i="1"/>
  <c r="L582" i="1" s="1"/>
  <c r="B582" i="1"/>
  <c r="H581" i="1"/>
  <c r="G583" i="1" s="1"/>
  <c r="B581" i="1"/>
  <c r="D581" i="1" s="1"/>
  <c r="L581" i="1" s="1"/>
  <c r="G567" i="1"/>
  <c r="G565" i="1"/>
  <c r="E565" i="1"/>
  <c r="G573" i="1"/>
  <c r="G575" i="1" s="1"/>
  <c r="G574" i="1"/>
  <c r="G576" i="1" s="1"/>
  <c r="H574" i="1"/>
  <c r="D574" i="1"/>
  <c r="L574" i="1" s="1"/>
  <c r="B574" i="1"/>
  <c r="H573" i="1"/>
  <c r="D573" i="1"/>
  <c r="L573" i="1" s="1"/>
  <c r="B573" i="1"/>
  <c r="G566" i="1"/>
  <c r="H566" i="1"/>
  <c r="G568" i="1"/>
  <c r="B566" i="1"/>
  <c r="D566" i="1" s="1"/>
  <c r="L566" i="1" s="1"/>
  <c r="H565" i="1"/>
  <c r="B565" i="1"/>
  <c r="D565" i="1" s="1"/>
  <c r="L565" i="1" s="1"/>
  <c r="G557" i="1"/>
  <c r="G558" i="1"/>
  <c r="H558" i="1"/>
  <c r="G560" i="1"/>
  <c r="B558" i="1"/>
  <c r="D558" i="1" s="1"/>
  <c r="L558" i="1" s="1"/>
  <c r="H557" i="1"/>
  <c r="G559" i="1"/>
  <c r="B557" i="1"/>
  <c r="D557" i="1" s="1"/>
  <c r="L557" i="1" s="1"/>
  <c r="G550" i="1"/>
  <c r="G549" i="1"/>
  <c r="H550" i="1"/>
  <c r="G552" i="1"/>
  <c r="B550" i="1"/>
  <c r="D550" i="1" s="1"/>
  <c r="L550" i="1" s="1"/>
  <c r="H549" i="1"/>
  <c r="G551" i="1"/>
  <c r="B549" i="1"/>
  <c r="D549" i="1" s="1"/>
  <c r="L549" i="1" s="1"/>
  <c r="G541" i="1"/>
  <c r="G542" i="1"/>
  <c r="H542" i="1"/>
  <c r="G544" i="1"/>
  <c r="B542" i="1"/>
  <c r="D542" i="1" s="1"/>
  <c r="L542" i="1" s="1"/>
  <c r="H541" i="1"/>
  <c r="G543" i="1"/>
  <c r="B541" i="1"/>
  <c r="D541" i="1" s="1"/>
  <c r="L541" i="1" s="1"/>
  <c r="G533" i="1"/>
  <c r="E533" i="1"/>
  <c r="G534" i="1"/>
  <c r="B534" i="1"/>
  <c r="H534" i="1"/>
  <c r="G536" i="1"/>
  <c r="D534" i="1"/>
  <c r="L534" i="1" s="1"/>
  <c r="H533" i="1"/>
  <c r="G535" i="1"/>
  <c r="B533" i="1"/>
  <c r="D533" i="1" s="1"/>
  <c r="L533" i="1" s="1"/>
  <c r="H526" i="1"/>
  <c r="G526" i="1"/>
  <c r="H525" i="1"/>
  <c r="G525" i="1"/>
  <c r="E525" i="1"/>
  <c r="G528" i="1"/>
  <c r="D526" i="1"/>
  <c r="L526" i="1" s="1"/>
  <c r="G527" i="1"/>
  <c r="B525" i="1"/>
  <c r="D525" i="1" s="1"/>
  <c r="L525" i="1" s="1"/>
  <c r="G518" i="1"/>
  <c r="B518" i="1"/>
  <c r="G517" i="1"/>
  <c r="H518" i="1"/>
  <c r="G520" i="1"/>
  <c r="D518" i="1"/>
  <c r="L518" i="1" s="1"/>
  <c r="H517" i="1"/>
  <c r="G519" i="1"/>
  <c r="B517" i="1"/>
  <c r="D517" i="1" s="1"/>
  <c r="L517" i="1" s="1"/>
  <c r="G510" i="1"/>
  <c r="G511" i="1"/>
  <c r="G509" i="1"/>
  <c r="E509" i="1"/>
  <c r="H510" i="1"/>
  <c r="G512" i="1"/>
  <c r="D510" i="1"/>
  <c r="L510" i="1" s="1"/>
  <c r="H509" i="1"/>
  <c r="B509" i="1"/>
  <c r="D509" i="1" s="1"/>
  <c r="L509" i="1" s="1"/>
  <c r="G502" i="1"/>
  <c r="E501" i="1"/>
  <c r="G501" i="1"/>
  <c r="H502" i="1"/>
  <c r="G504" i="1"/>
  <c r="D502" i="1"/>
  <c r="L502" i="1" s="1"/>
  <c r="H501" i="1"/>
  <c r="G503" i="1"/>
  <c r="B501" i="1"/>
  <c r="D501" i="1" s="1"/>
  <c r="L501" i="1" s="1"/>
  <c r="G494" i="1"/>
  <c r="G493" i="1"/>
  <c r="E493" i="1"/>
  <c r="H494" i="1"/>
  <c r="G496" i="1"/>
  <c r="B494" i="1"/>
  <c r="D494" i="1" s="1"/>
  <c r="L494" i="1" s="1"/>
  <c r="H493" i="1"/>
  <c r="G495" i="1"/>
  <c r="B493" i="1"/>
  <c r="D493" i="1" s="1"/>
  <c r="L493" i="1" s="1"/>
  <c r="AD15" i="2"/>
  <c r="AC15" i="2"/>
  <c r="G486" i="1"/>
  <c r="G485" i="1"/>
  <c r="E485" i="1"/>
  <c r="H486" i="1"/>
  <c r="G488" i="1"/>
  <c r="B486" i="1"/>
  <c r="D486" i="1" s="1"/>
  <c r="L486" i="1" s="1"/>
  <c r="H485" i="1"/>
  <c r="G487" i="1"/>
  <c r="B485" i="1"/>
  <c r="D485" i="1" s="1"/>
  <c r="L485" i="1" s="1"/>
  <c r="G478" i="1"/>
  <c r="G477" i="1"/>
  <c r="E477" i="1"/>
  <c r="H478" i="1"/>
  <c r="G480" i="1"/>
  <c r="B478" i="1"/>
  <c r="D478" i="1" s="1"/>
  <c r="L478" i="1" s="1"/>
  <c r="H477" i="1"/>
  <c r="G479" i="1"/>
  <c r="B477" i="1"/>
  <c r="D477" i="1" s="1"/>
  <c r="L477" i="1" s="1"/>
  <c r="G470" i="1"/>
  <c r="G469" i="1"/>
  <c r="E469" i="1"/>
  <c r="H470" i="1"/>
  <c r="G472" i="1"/>
  <c r="B470" i="1"/>
  <c r="D470" i="1" s="1"/>
  <c r="L470" i="1" s="1"/>
  <c r="H469" i="1"/>
  <c r="G471" i="1"/>
  <c r="B469" i="1"/>
  <c r="D469" i="1" s="1"/>
  <c r="L469" i="1" s="1"/>
  <c r="G462" i="1"/>
  <c r="G461" i="1"/>
  <c r="H462" i="1"/>
  <c r="G464" i="1"/>
  <c r="B462" i="1"/>
  <c r="D462" i="1" s="1"/>
  <c r="L462" i="1" s="1"/>
  <c r="H461" i="1"/>
  <c r="G463" i="1"/>
  <c r="B461" i="1"/>
  <c r="D461" i="1" s="1"/>
  <c r="L461" i="1" s="1"/>
  <c r="G454" i="1"/>
  <c r="G453" i="1"/>
  <c r="H454" i="1"/>
  <c r="G456" i="1"/>
  <c r="B454" i="1"/>
  <c r="D454" i="1" s="1"/>
  <c r="L454" i="1" s="1"/>
  <c r="H453" i="1"/>
  <c r="G455" i="1"/>
  <c r="B453" i="1"/>
  <c r="D453" i="1" s="1"/>
  <c r="L453" i="1" s="1"/>
  <c r="M446" i="1"/>
  <c r="M445" i="1"/>
  <c r="G446" i="1"/>
  <c r="G445" i="1"/>
  <c r="H446" i="1"/>
  <c r="G448" i="1"/>
  <c r="B446" i="1"/>
  <c r="D446" i="1" s="1"/>
  <c r="L446" i="1" s="1"/>
  <c r="H445" i="1"/>
  <c r="G447" i="1"/>
  <c r="B445" i="1"/>
  <c r="D445" i="1" s="1"/>
  <c r="L445" i="1" s="1"/>
  <c r="G437" i="1"/>
  <c r="G438" i="1"/>
  <c r="H438" i="1"/>
  <c r="G440" i="1"/>
  <c r="B438" i="1"/>
  <c r="D438" i="1" s="1"/>
  <c r="L438" i="1" s="1"/>
  <c r="H437" i="1"/>
  <c r="G439" i="1"/>
  <c r="B437" i="1"/>
  <c r="D437" i="1" s="1"/>
  <c r="L437" i="1" s="1"/>
  <c r="H430" i="1"/>
  <c r="G430" i="1"/>
  <c r="H429" i="1"/>
  <c r="G429" i="1"/>
  <c r="G432" i="1"/>
  <c r="B430" i="1"/>
  <c r="D430" i="1" s="1"/>
  <c r="L430" i="1" s="1"/>
  <c r="G431" i="1"/>
  <c r="B429" i="1"/>
  <c r="D429" i="1" s="1"/>
  <c r="L429" i="1" s="1"/>
  <c r="G422" i="1"/>
  <c r="G421" i="1"/>
  <c r="E421" i="1"/>
  <c r="H422" i="1"/>
  <c r="G424" i="1"/>
  <c r="B422" i="1"/>
  <c r="D422" i="1" s="1"/>
  <c r="L422" i="1" s="1"/>
  <c r="H421" i="1"/>
  <c r="G423" i="1"/>
  <c r="B421" i="1"/>
  <c r="D421" i="1" s="1"/>
  <c r="L421" i="1" s="1"/>
  <c r="G414" i="1"/>
  <c r="G413" i="1"/>
  <c r="E413" i="1"/>
  <c r="H414" i="1"/>
  <c r="G416" i="1"/>
  <c r="B414" i="1"/>
  <c r="D414" i="1" s="1"/>
  <c r="L414" i="1" s="1"/>
  <c r="H413" i="1"/>
  <c r="G415" i="1"/>
  <c r="B413" i="1"/>
  <c r="D413" i="1" s="1"/>
  <c r="L413" i="1" s="1"/>
  <c r="G406" i="1"/>
  <c r="E405" i="1"/>
  <c r="G405" i="1"/>
  <c r="H406" i="1"/>
  <c r="G408" i="1"/>
  <c r="B406" i="1"/>
  <c r="D406" i="1" s="1"/>
  <c r="L406" i="1" s="1"/>
  <c r="H405" i="1"/>
  <c r="G407" i="1"/>
  <c r="B405" i="1"/>
  <c r="D405" i="1" s="1"/>
  <c r="L405" i="1" s="1"/>
  <c r="Z15" i="2"/>
  <c r="Y15" i="2"/>
  <c r="V15" i="2"/>
  <c r="U15" i="2"/>
  <c r="R15" i="2"/>
  <c r="Q15" i="2"/>
  <c r="G397" i="1"/>
  <c r="G398" i="1"/>
  <c r="H398" i="1"/>
  <c r="G400" i="1"/>
  <c r="B398" i="1"/>
  <c r="D398" i="1" s="1"/>
  <c r="L398" i="1" s="1"/>
  <c r="H397" i="1"/>
  <c r="G399" i="1"/>
  <c r="B397" i="1"/>
  <c r="D397" i="1" s="1"/>
  <c r="L397" i="1" s="1"/>
  <c r="G390" i="1"/>
  <c r="G389" i="1"/>
  <c r="G391" i="1" s="1"/>
  <c r="H390" i="1"/>
  <c r="B390" i="1"/>
  <c r="D390" i="1" s="1"/>
  <c r="L390" i="1" s="1"/>
  <c r="H389" i="1"/>
  <c r="B389" i="1"/>
  <c r="D389" i="1" s="1"/>
  <c r="L389" i="1" s="1"/>
  <c r="G382" i="1"/>
  <c r="G381" i="1"/>
  <c r="G383" i="1" s="1"/>
  <c r="H382" i="1"/>
  <c r="G384" i="1" s="1"/>
  <c r="B382" i="1"/>
  <c r="D382" i="1" s="1"/>
  <c r="L382" i="1" s="1"/>
  <c r="H381" i="1"/>
  <c r="B381" i="1"/>
  <c r="D381" i="1" s="1"/>
  <c r="L381" i="1" s="1"/>
  <c r="G374" i="1"/>
  <c r="G373" i="1"/>
  <c r="H374" i="1"/>
  <c r="G376" i="1"/>
  <c r="D374" i="1"/>
  <c r="L374" i="1" s="1"/>
  <c r="B374" i="1"/>
  <c r="H373" i="1"/>
  <c r="B373" i="1"/>
  <c r="D373" i="1" s="1"/>
  <c r="L373" i="1" s="1"/>
  <c r="G366" i="1"/>
  <c r="G365" i="1"/>
  <c r="E365" i="1"/>
  <c r="H366" i="1"/>
  <c r="G368" i="1"/>
  <c r="B366" i="1"/>
  <c r="D366" i="1" s="1"/>
  <c r="L366" i="1" s="1"/>
  <c r="H365" i="1"/>
  <c r="G367" i="1" s="1"/>
  <c r="B365" i="1"/>
  <c r="D365" i="1" s="1"/>
  <c r="L365" i="1" s="1"/>
  <c r="G358" i="1"/>
  <c r="G360" i="1" s="1"/>
  <c r="G357" i="1"/>
  <c r="E357" i="1"/>
  <c r="H358" i="1"/>
  <c r="B358" i="1"/>
  <c r="D358" i="1" s="1"/>
  <c r="L358" i="1" s="1"/>
  <c r="H357" i="1"/>
  <c r="B357" i="1"/>
  <c r="D357" i="1" s="1"/>
  <c r="L357" i="1" s="1"/>
  <c r="G350" i="1"/>
  <c r="G352" i="1" s="1"/>
  <c r="G349" i="1"/>
  <c r="E349" i="1"/>
  <c r="H350" i="1"/>
  <c r="B350" i="1"/>
  <c r="D350" i="1" s="1"/>
  <c r="L350" i="1" s="1"/>
  <c r="H349" i="1"/>
  <c r="G351" i="1"/>
  <c r="B349" i="1"/>
  <c r="D349" i="1" s="1"/>
  <c r="L349" i="1" s="1"/>
  <c r="G343" i="1"/>
  <c r="G342" i="1"/>
  <c r="G344" i="1" s="1"/>
  <c r="G341" i="1"/>
  <c r="E341" i="1"/>
  <c r="H342" i="1"/>
  <c r="D342" i="1"/>
  <c r="L342" i="1" s="1"/>
  <c r="B342" i="1"/>
  <c r="H341" i="1"/>
  <c r="B341" i="1"/>
  <c r="D341" i="1" s="1"/>
  <c r="L341" i="1" s="1"/>
  <c r="H334" i="1"/>
  <c r="G334" i="1"/>
  <c r="H333" i="1"/>
  <c r="G333" i="1"/>
  <c r="E333" i="1"/>
  <c r="B334" i="1"/>
  <c r="D334" i="1" s="1"/>
  <c r="L334" i="1" s="1"/>
  <c r="B333" i="1"/>
  <c r="D333" i="1" s="1"/>
  <c r="L333" i="1" s="1"/>
  <c r="G326" i="1"/>
  <c r="G328" i="1" s="1"/>
  <c r="G325" i="1"/>
  <c r="E325" i="1"/>
  <c r="H326" i="1"/>
  <c r="D326" i="1"/>
  <c r="L326" i="1" s="1"/>
  <c r="B326" i="1"/>
  <c r="H325" i="1"/>
  <c r="B325" i="1"/>
  <c r="D325" i="1" s="1"/>
  <c r="L325" i="1" s="1"/>
  <c r="G318" i="1"/>
  <c r="G320" i="1" s="1"/>
  <c r="H318" i="1"/>
  <c r="B318" i="1"/>
  <c r="D318" i="1" s="1"/>
  <c r="L318" i="1" s="1"/>
  <c r="H317" i="1"/>
  <c r="G317" i="1"/>
  <c r="E317" i="1"/>
  <c r="G319" i="1" s="1"/>
  <c r="B317" i="1"/>
  <c r="D317" i="1" s="1"/>
  <c r="L317" i="1" s="1"/>
  <c r="G310" i="1"/>
  <c r="G309" i="1"/>
  <c r="E309" i="1"/>
  <c r="G311" i="1" s="1"/>
  <c r="H310" i="1"/>
  <c r="B310" i="1"/>
  <c r="D310" i="1" s="1"/>
  <c r="L310" i="1" s="1"/>
  <c r="H309" i="1"/>
  <c r="B309" i="1"/>
  <c r="D309" i="1" s="1"/>
  <c r="L309" i="1" s="1"/>
  <c r="G302" i="1"/>
  <c r="G301" i="1"/>
  <c r="E301" i="1"/>
  <c r="H302" i="1"/>
  <c r="G304" i="1"/>
  <c r="D302" i="1"/>
  <c r="L302" i="1" s="1"/>
  <c r="B302" i="1"/>
  <c r="H301" i="1"/>
  <c r="B301" i="1"/>
  <c r="D301" i="1" s="1"/>
  <c r="L301" i="1" s="1"/>
  <c r="G294" i="1"/>
  <c r="G293" i="1"/>
  <c r="E293" i="1"/>
  <c r="H294" i="1"/>
  <c r="B294" i="1"/>
  <c r="D294" i="1" s="1"/>
  <c r="L294" i="1" s="1"/>
  <c r="H293" i="1"/>
  <c r="G295" i="1"/>
  <c r="B293" i="1"/>
  <c r="D293" i="1" s="1"/>
  <c r="L293" i="1" s="1"/>
  <c r="G286" i="1"/>
  <c r="G285" i="1"/>
  <c r="E285" i="1"/>
  <c r="H286" i="1"/>
  <c r="G288" i="1" s="1"/>
  <c r="B286" i="1"/>
  <c r="D286" i="1" s="1"/>
  <c r="L286" i="1" s="1"/>
  <c r="H285" i="1"/>
  <c r="B285" i="1"/>
  <c r="D285" i="1" s="1"/>
  <c r="L285" i="1" s="1"/>
  <c r="G278" i="1"/>
  <c r="E277" i="1"/>
  <c r="G277" i="1"/>
  <c r="H278" i="1"/>
  <c r="G280" i="1"/>
  <c r="B278" i="1"/>
  <c r="D278" i="1" s="1"/>
  <c r="L278" i="1" s="1"/>
  <c r="H277" i="1"/>
  <c r="D277" i="1"/>
  <c r="L277" i="1" s="1"/>
  <c r="B277" i="1"/>
  <c r="G617" i="1" l="1"/>
  <c r="M613" i="1"/>
  <c r="M614" i="1"/>
  <c r="G609" i="1"/>
  <c r="M605" i="1"/>
  <c r="M606" i="1"/>
  <c r="G601" i="1"/>
  <c r="M597" i="1"/>
  <c r="M598" i="1"/>
  <c r="G593" i="1"/>
  <c r="M589" i="1"/>
  <c r="M590" i="1"/>
  <c r="M582" i="1"/>
  <c r="G585" i="1"/>
  <c r="M581" i="1"/>
  <c r="AE15" i="2"/>
  <c r="M574" i="1"/>
  <c r="G577" i="1"/>
  <c r="M573" i="1"/>
  <c r="G569" i="1"/>
  <c r="M565" i="1"/>
  <c r="M566" i="1"/>
  <c r="G561" i="1"/>
  <c r="M557" i="1"/>
  <c r="M558" i="1"/>
  <c r="G553" i="1"/>
  <c r="M549" i="1"/>
  <c r="M550" i="1"/>
  <c r="G545" i="1"/>
  <c r="M541" i="1"/>
  <c r="M542" i="1"/>
  <c r="G537" i="1"/>
  <c r="M533" i="1"/>
  <c r="M534" i="1"/>
  <c r="G529" i="1"/>
  <c r="M525" i="1"/>
  <c r="M526" i="1"/>
  <c r="G521" i="1"/>
  <c r="M517" i="1"/>
  <c r="M518" i="1"/>
  <c r="G513" i="1"/>
  <c r="M509" i="1"/>
  <c r="M510" i="1"/>
  <c r="G505" i="1"/>
  <c r="M501" i="1"/>
  <c r="M502" i="1"/>
  <c r="G497" i="1"/>
  <c r="M493" i="1"/>
  <c r="M494" i="1"/>
  <c r="G489" i="1"/>
  <c r="M485" i="1"/>
  <c r="M486" i="1"/>
  <c r="G481" i="1"/>
  <c r="M477" i="1"/>
  <c r="M478" i="1"/>
  <c r="G473" i="1"/>
  <c r="M469" i="1"/>
  <c r="M470" i="1"/>
  <c r="G465" i="1"/>
  <c r="M461" i="1"/>
  <c r="M462" i="1"/>
  <c r="G457" i="1"/>
  <c r="M453" i="1"/>
  <c r="M454" i="1"/>
  <c r="G449" i="1"/>
  <c r="G441" i="1"/>
  <c r="M437" i="1"/>
  <c r="M438" i="1"/>
  <c r="G433" i="1"/>
  <c r="M429" i="1"/>
  <c r="M430" i="1"/>
  <c r="G425" i="1"/>
  <c r="M421" i="1"/>
  <c r="M422" i="1"/>
  <c r="G417" i="1"/>
  <c r="M413" i="1"/>
  <c r="M414" i="1"/>
  <c r="G409" i="1"/>
  <c r="M405" i="1"/>
  <c r="M406" i="1"/>
  <c r="G401" i="1"/>
  <c r="M397" i="1"/>
  <c r="M398" i="1"/>
  <c r="AA15" i="2"/>
  <c r="G392" i="1"/>
  <c r="M358" i="1"/>
  <c r="M318" i="1"/>
  <c r="M326" i="1"/>
  <c r="M366" i="1"/>
  <c r="M389" i="1"/>
  <c r="G393" i="1"/>
  <c r="M390" i="1"/>
  <c r="M382" i="1"/>
  <c r="G385" i="1"/>
  <c r="M381" i="1"/>
  <c r="M374" i="1"/>
  <c r="G375" i="1"/>
  <c r="G377" i="1" s="1"/>
  <c r="G369" i="1"/>
  <c r="M365" i="1"/>
  <c r="G359" i="1"/>
  <c r="M350" i="1"/>
  <c r="G353" i="1"/>
  <c r="M349" i="1"/>
  <c r="M342" i="1"/>
  <c r="G345" i="1"/>
  <c r="M341" i="1"/>
  <c r="G336" i="1"/>
  <c r="M334" i="1" s="1"/>
  <c r="G335" i="1"/>
  <c r="G327" i="1"/>
  <c r="G329" i="1" s="1"/>
  <c r="W15" i="2"/>
  <c r="G321" i="1"/>
  <c r="M317" i="1"/>
  <c r="G312" i="1"/>
  <c r="M310" i="1" s="1"/>
  <c r="G313" i="1"/>
  <c r="M309" i="1"/>
  <c r="M302" i="1"/>
  <c r="G303" i="1"/>
  <c r="G305" i="1" s="1"/>
  <c r="M301" i="1"/>
  <c r="G296" i="1"/>
  <c r="M294" i="1" s="1"/>
  <c r="M293" i="1"/>
  <c r="G287" i="1"/>
  <c r="G289" i="1"/>
  <c r="M285" i="1"/>
  <c r="M286" i="1"/>
  <c r="G279" i="1"/>
  <c r="G281" i="1" s="1"/>
  <c r="M278" i="1"/>
  <c r="M277" i="1"/>
  <c r="G270" i="1"/>
  <c r="E269" i="1"/>
  <c r="G269" i="1"/>
  <c r="H270" i="1"/>
  <c r="G272" i="1"/>
  <c r="B270" i="1"/>
  <c r="D270" i="1" s="1"/>
  <c r="L270" i="1" s="1"/>
  <c r="H269" i="1"/>
  <c r="B269" i="1"/>
  <c r="D269" i="1" s="1"/>
  <c r="L269" i="1" s="1"/>
  <c r="M373" i="1" l="1"/>
  <c r="G337" i="1"/>
  <c r="G361" i="1"/>
  <c r="M357" i="1"/>
  <c r="M333" i="1"/>
  <c r="M325" i="1"/>
  <c r="G297" i="1"/>
  <c r="M270" i="1"/>
  <c r="G271" i="1"/>
  <c r="G273" i="1" s="1"/>
  <c r="H261" i="1"/>
  <c r="G262" i="1"/>
  <c r="G261" i="1"/>
  <c r="E261" i="1"/>
  <c r="H262" i="1"/>
  <c r="G264" i="1"/>
  <c r="D262" i="1"/>
  <c r="L262" i="1" s="1"/>
  <c r="B262" i="1"/>
  <c r="B261" i="1"/>
  <c r="D261" i="1" s="1"/>
  <c r="L261" i="1" s="1"/>
  <c r="M269" i="1" l="1"/>
  <c r="G263" i="1"/>
  <c r="M261" i="1" s="1"/>
  <c r="M262" i="1"/>
  <c r="G265" i="1"/>
  <c r="G253" i="1"/>
  <c r="F245" i="1"/>
  <c r="E245" i="1"/>
  <c r="G254" i="1"/>
  <c r="G256" i="1" s="1"/>
  <c r="H254" i="1"/>
  <c r="B254" i="1"/>
  <c r="D254" i="1" s="1"/>
  <c r="L254" i="1" s="1"/>
  <c r="H253" i="1"/>
  <c r="F253" i="1"/>
  <c r="E253" i="1"/>
  <c r="G255" i="1" s="1"/>
  <c r="B253" i="1"/>
  <c r="D253" i="1" s="1"/>
  <c r="L253" i="1" s="1"/>
  <c r="G257" i="1" l="1"/>
  <c r="M253" i="1"/>
  <c r="M254" i="1"/>
  <c r="G245" i="1"/>
  <c r="H246" i="1"/>
  <c r="G246" i="1"/>
  <c r="H238" i="1"/>
  <c r="G238" i="1"/>
  <c r="G248" i="1"/>
  <c r="B246" i="1"/>
  <c r="D246" i="1" s="1"/>
  <c r="L246" i="1" s="1"/>
  <c r="H245" i="1"/>
  <c r="B245" i="1"/>
  <c r="D245" i="1" s="1"/>
  <c r="L245" i="1" s="1"/>
  <c r="G247" i="1" l="1"/>
  <c r="G249" i="1" s="1"/>
  <c r="M246" i="1"/>
  <c r="G237" i="1"/>
  <c r="E237" i="1"/>
  <c r="G240" i="1"/>
  <c r="B238" i="1"/>
  <c r="D238" i="1" s="1"/>
  <c r="L238" i="1" s="1"/>
  <c r="H237" i="1"/>
  <c r="B237" i="1"/>
  <c r="D237" i="1" s="1"/>
  <c r="L237" i="1" s="1"/>
  <c r="M245" i="1" l="1"/>
  <c r="M238" i="1"/>
  <c r="G239" i="1"/>
  <c r="G241" i="1" s="1"/>
  <c r="G230" i="1"/>
  <c r="G232" i="1" s="1"/>
  <c r="G229" i="1"/>
  <c r="G231" i="1" s="1"/>
  <c r="E229" i="1"/>
  <c r="H230" i="1"/>
  <c r="B230" i="1"/>
  <c r="D230" i="1" s="1"/>
  <c r="L230" i="1" s="1"/>
  <c r="H229" i="1"/>
  <c r="B229" i="1"/>
  <c r="D229" i="1" s="1"/>
  <c r="L229" i="1" s="1"/>
  <c r="M237" i="1" l="1"/>
  <c r="M230" i="1"/>
  <c r="G233" i="1"/>
  <c r="M229" i="1"/>
  <c r="G222" i="1"/>
  <c r="G221" i="1" l="1"/>
  <c r="E221" i="1"/>
  <c r="H222" i="1"/>
  <c r="G224" i="1"/>
  <c r="B222" i="1"/>
  <c r="D222" i="1" s="1"/>
  <c r="L222" i="1" s="1"/>
  <c r="H221" i="1"/>
  <c r="B221" i="1"/>
  <c r="D221" i="1" s="1"/>
  <c r="L221" i="1" s="1"/>
  <c r="G223" i="1" l="1"/>
  <c r="G225" i="1"/>
  <c r="M221" i="1"/>
  <c r="M222" i="1"/>
  <c r="G214" i="1"/>
  <c r="G216" i="1" l="1"/>
  <c r="G215" i="1"/>
  <c r="G217" i="1" s="1"/>
  <c r="G207" i="1"/>
  <c r="E213" i="1"/>
  <c r="H214" i="1"/>
  <c r="B214" i="1"/>
  <c r="D214" i="1" s="1"/>
  <c r="H213" i="1"/>
  <c r="G213" i="1"/>
  <c r="B213" i="1"/>
  <c r="D213" i="1" s="1"/>
  <c r="G206" i="1"/>
  <c r="E205" i="1"/>
  <c r="G205" i="1"/>
  <c r="H206" i="1"/>
  <c r="B206" i="1"/>
  <c r="D206" i="1" s="1"/>
  <c r="L206" i="1" s="1"/>
  <c r="H205" i="1"/>
  <c r="B205" i="1"/>
  <c r="D205" i="1" s="1"/>
  <c r="L205" i="1" s="1"/>
  <c r="M213" i="1" l="1"/>
  <c r="M214" i="1"/>
  <c r="L213" i="1"/>
  <c r="L214" i="1"/>
  <c r="M206" i="1"/>
  <c r="G209" i="1"/>
  <c r="M205" i="1"/>
  <c r="G197" i="1"/>
  <c r="G198" i="1"/>
  <c r="H198" i="1"/>
  <c r="B198" i="1"/>
  <c r="D198" i="1" s="1"/>
  <c r="H197" i="1"/>
  <c r="G199" i="1" s="1"/>
  <c r="G200" i="1" l="1"/>
  <c r="S15" i="2"/>
  <c r="G201" i="1"/>
  <c r="M198" i="1"/>
  <c r="G182" i="1"/>
  <c r="E189" i="1"/>
  <c r="C189" i="1"/>
  <c r="B197" i="1" s="1"/>
  <c r="D197" i="1" s="1"/>
  <c r="L197" i="1" s="1"/>
  <c r="G190" i="1"/>
  <c r="H190" i="1"/>
  <c r="B190" i="1"/>
  <c r="D190" i="1" s="1"/>
  <c r="H189" i="1"/>
  <c r="G189" i="1"/>
  <c r="B189" i="1"/>
  <c r="M197" i="1" l="1"/>
  <c r="G191" i="1"/>
  <c r="D189" i="1"/>
  <c r="L189" i="1" s="1"/>
  <c r="G192" i="1"/>
  <c r="M190" i="1" s="1"/>
  <c r="G181" i="1"/>
  <c r="E181" i="1"/>
  <c r="H182" i="1"/>
  <c r="G184" i="1" s="1"/>
  <c r="D182" i="1"/>
  <c r="H181" i="1"/>
  <c r="G183" i="1"/>
  <c r="B181" i="1"/>
  <c r="D181" i="1" s="1"/>
  <c r="L181" i="1" s="1"/>
  <c r="G193" i="1" l="1"/>
  <c r="M189" i="1"/>
  <c r="M182" i="1"/>
  <c r="G185" i="1"/>
  <c r="M181" i="1"/>
  <c r="G173" i="1"/>
  <c r="E173" i="1"/>
  <c r="H174" i="1"/>
  <c r="G174" i="1"/>
  <c r="D174" i="1"/>
  <c r="H173" i="1"/>
  <c r="B173" i="1"/>
  <c r="D173" i="1" s="1"/>
  <c r="L173" i="1" s="1"/>
  <c r="G175" i="1" l="1"/>
  <c r="G176" i="1"/>
  <c r="M174" i="1" s="1"/>
  <c r="G177" i="1"/>
  <c r="M173" i="1"/>
  <c r="G166" i="1"/>
  <c r="H165" i="1"/>
  <c r="E165" i="1"/>
  <c r="G165" i="1"/>
  <c r="B166" i="1"/>
  <c r="D166" i="1" s="1"/>
  <c r="B165" i="1"/>
  <c r="D165" i="1" s="1"/>
  <c r="H166" i="1"/>
  <c r="N16" i="2"/>
  <c r="M16" i="2"/>
  <c r="G167" i="1" l="1"/>
  <c r="G168" i="1"/>
  <c r="M166" i="1" s="1"/>
  <c r="M165" i="1"/>
  <c r="L165" i="1"/>
  <c r="G169" i="1"/>
  <c r="O16" i="2"/>
  <c r="M125" i="1" l="1"/>
  <c r="L125" i="1"/>
  <c r="M117" i="1"/>
  <c r="L117" i="1"/>
  <c r="M109" i="1"/>
  <c r="L109" i="1"/>
  <c r="M101" i="1"/>
  <c r="L101" i="1"/>
  <c r="M126" i="1"/>
  <c r="M118" i="1"/>
  <c r="M110" i="1"/>
  <c r="M102" i="1"/>
  <c r="H158" i="1" l="1"/>
  <c r="G158" i="1"/>
  <c r="G160" i="1" s="1"/>
  <c r="M158" i="1" s="1"/>
  <c r="H150" i="1"/>
  <c r="G150" i="1"/>
  <c r="G152" i="1" s="1"/>
  <c r="M150" i="1" s="1"/>
  <c r="H142" i="1"/>
  <c r="G142" i="1"/>
  <c r="G144" i="1" s="1"/>
  <c r="H134" i="1"/>
  <c r="G134" i="1"/>
  <c r="G136" i="1" s="1"/>
  <c r="M134" i="1" s="1"/>
  <c r="G159" i="1"/>
  <c r="G151" i="1"/>
  <c r="G143" i="1"/>
  <c r="G135" i="1"/>
  <c r="D157" i="1"/>
  <c r="L157" i="1" s="1"/>
  <c r="D149" i="1"/>
  <c r="L149" i="1" s="1"/>
  <c r="D141" i="1"/>
  <c r="L141" i="1" s="1"/>
  <c r="D133" i="1"/>
  <c r="L133" i="1" s="1"/>
  <c r="M142" i="1" l="1"/>
  <c r="G145" i="1"/>
  <c r="M149" i="1"/>
  <c r="M157" i="1"/>
  <c r="G161" i="1"/>
  <c r="M133" i="1"/>
  <c r="M141" i="1"/>
  <c r="G137" i="1"/>
  <c r="G153" i="1"/>
</calcChain>
</file>

<file path=xl/sharedStrings.xml><?xml version="1.0" encoding="utf-8"?>
<sst xmlns="http://schemas.openxmlformats.org/spreadsheetml/2006/main" count="1735" uniqueCount="170">
  <si>
    <t>Carissa Lane Water Detailed - BC vs Council</t>
  </si>
  <si>
    <t>Unit No</t>
  </si>
  <si>
    <t>Opening Reading</t>
  </si>
  <si>
    <t>Closing Reading</t>
  </si>
  <si>
    <t>Cons</t>
  </si>
  <si>
    <t>Water Amount</t>
  </si>
  <si>
    <t>Demand Levy</t>
  </si>
  <si>
    <t>Service Fee</t>
  </si>
  <si>
    <t>Network Fee</t>
  </si>
  <si>
    <t>STS Bulk</t>
  </si>
  <si>
    <t>Council Bulk</t>
  </si>
  <si>
    <t>Total STS</t>
  </si>
  <si>
    <t>Total Council</t>
  </si>
  <si>
    <t>Difference</t>
  </si>
  <si>
    <t>M. Charge</t>
  </si>
  <si>
    <t>ComP</t>
  </si>
  <si>
    <t>Estimated?</t>
  </si>
  <si>
    <t>Reading Dates</t>
  </si>
  <si>
    <t>Days</t>
  </si>
  <si>
    <t>Kl p/day</t>
  </si>
  <si>
    <t>Rates</t>
  </si>
  <si>
    <t>Actual</t>
  </si>
  <si>
    <t>10Jan - 24Jan 2019</t>
  </si>
  <si>
    <t>18Dec 2018 - 28Jan 2019</t>
  </si>
  <si>
    <t>24Jan - 28Feb 2019</t>
  </si>
  <si>
    <t>29Jan - 23Feb 2019</t>
  </si>
  <si>
    <t>28Feb - 31Mar 2019</t>
  </si>
  <si>
    <t>24Feb - 25Mar 2019</t>
  </si>
  <si>
    <t>31Mar - 2May 2019</t>
  </si>
  <si>
    <t>26Mar - 21Apr 2019</t>
  </si>
  <si>
    <t>2May - 30May 2019</t>
  </si>
  <si>
    <t>22Apr - 18May</t>
  </si>
  <si>
    <t>30May - 27Jun 2019</t>
  </si>
  <si>
    <t>19May - 25Jun 2019</t>
  </si>
  <si>
    <t>27Jun - 1Aug 2019</t>
  </si>
  <si>
    <t>26Jun - 20Jul 2019</t>
  </si>
  <si>
    <t>1Aug - 29Aug 2019</t>
  </si>
  <si>
    <t>21Jul - 22Aug 2019</t>
  </si>
  <si>
    <t>29Aug - 26Sep 2019</t>
  </si>
  <si>
    <t>23Aug - 21Sep 2019</t>
  </si>
  <si>
    <t>26Sep - 31Oct 2019</t>
  </si>
  <si>
    <t>31Oct - 29Nov2019</t>
  </si>
  <si>
    <t>20Oct - 19Nov 2019</t>
  </si>
  <si>
    <t>29Nov - 9Jan 2020</t>
  </si>
  <si>
    <t>20Nov - 22Dec 2019</t>
  </si>
  <si>
    <t>BC Bulk</t>
  </si>
  <si>
    <t>9Jan - 30Jan 2020</t>
  </si>
  <si>
    <t>23Dec - 22Jan 2020</t>
  </si>
  <si>
    <t>Total BC</t>
  </si>
  <si>
    <t>30Jan - 27Feb 2020</t>
  </si>
  <si>
    <t>23Jan - 24Feb 2020</t>
  </si>
  <si>
    <t>27Feb - 26Mar 2020</t>
  </si>
  <si>
    <t>25Feb - 19Mar 2020</t>
  </si>
  <si>
    <t>26Mar - 30Apr 2020</t>
  </si>
  <si>
    <t xml:space="preserve">Estimated </t>
  </si>
  <si>
    <t>20Mar - 18Apr 2020</t>
  </si>
  <si>
    <t>30Apr - 28May 2020</t>
  </si>
  <si>
    <t>20Mar - 27May 2020</t>
  </si>
  <si>
    <t>28May - 25Jun 2020</t>
  </si>
  <si>
    <t>25Jun - 31Jul 2020</t>
  </si>
  <si>
    <t>26Jun - 16Jul 2020</t>
  </si>
  <si>
    <t>31Jul - 27Aug 2020</t>
  </si>
  <si>
    <t>17Jul - 1Sept 2020</t>
  </si>
  <si>
    <t>27 Aug - 1Oct 2020</t>
  </si>
  <si>
    <t>2Sept - 15Sept 2020</t>
  </si>
  <si>
    <t>1Oct - 29Oct 2020</t>
  </si>
  <si>
    <t>16Sept - 20Oct 2020</t>
  </si>
  <si>
    <t>29Oct - 26Nov 2020</t>
  </si>
  <si>
    <t>21Oct - 17Nov 2020</t>
  </si>
  <si>
    <t>26Nov 2020 - 7Jan 2021</t>
  </si>
  <si>
    <t>18Nov - 17Dec 2020</t>
  </si>
  <si>
    <t>7Jan - 28Jan 2021</t>
  </si>
  <si>
    <t>18Dec 2020 - 21Jan 2021</t>
  </si>
  <si>
    <t>28Jan - 25Feb 2021</t>
  </si>
  <si>
    <t>22Jan - 19Feb 2021</t>
  </si>
  <si>
    <t>25Feb - 31Mar 2021</t>
  </si>
  <si>
    <t>20Feb - 17Mar 2021</t>
  </si>
  <si>
    <t>31Mar - 29Apr 2021</t>
  </si>
  <si>
    <t>18Mar - 19Apr 2021</t>
  </si>
  <si>
    <t>29Apr - 27May 2021</t>
  </si>
  <si>
    <t>20Apr - 20May 2021</t>
  </si>
  <si>
    <t>27May - 1Jul 2021</t>
  </si>
  <si>
    <t>21May - 18Jun 2021</t>
  </si>
  <si>
    <t>1Jul - 29Jul 2021</t>
  </si>
  <si>
    <t>19Jun - 23Jul 2021</t>
  </si>
  <si>
    <t>29Jul - 2Sept 2021</t>
  </si>
  <si>
    <t>24Jul - 25Aug 2021</t>
  </si>
  <si>
    <t>2Sept - 30Sept 2021</t>
  </si>
  <si>
    <t>26Aug - 20Sept 2021</t>
  </si>
  <si>
    <t>30Sept - 28Oct 2021</t>
  </si>
  <si>
    <t>21Sept - 20Oct 2021</t>
  </si>
  <si>
    <t>28Oct - 2Dec 2021</t>
  </si>
  <si>
    <t>21Oct - 16Nov 2021</t>
  </si>
  <si>
    <t>2Dec 2021 - 6Jan 2022</t>
  </si>
  <si>
    <t>17Nov - 10Dec 2021</t>
  </si>
  <si>
    <t>6Jan - 27Jan 2022</t>
  </si>
  <si>
    <t>27Jan - 24Feb 2022</t>
  </si>
  <si>
    <t>21Jan - 18Feb 2022</t>
  </si>
  <si>
    <t>24Feb - 31Mar 2022</t>
  </si>
  <si>
    <t>19Feb - 22Mar 2022</t>
  </si>
  <si>
    <t>31Mar - 28Apr 2022</t>
  </si>
  <si>
    <t>23Mar - 21Apr 2022</t>
  </si>
  <si>
    <t>28Apr - 2Jun 2022</t>
  </si>
  <si>
    <t>22Apr - 17May 2022</t>
  </si>
  <si>
    <t>2Jun - 30Jun 2022</t>
  </si>
  <si>
    <t>18May - 22Jun 2022</t>
  </si>
  <si>
    <t>30Jun - 28Jul 2022</t>
  </si>
  <si>
    <t>23Jun - 20Jul 2022</t>
  </si>
  <si>
    <t>28Jul - 1Sept 2022</t>
  </si>
  <si>
    <t>21Jul - 18Aug 2022</t>
  </si>
  <si>
    <t>1Sept - 29Sept 2022</t>
  </si>
  <si>
    <t>19Aug - 22Sept 2022</t>
  </si>
  <si>
    <t>29Sept - 27Oct 2022</t>
  </si>
  <si>
    <t>23Sept - 18Oct 2022</t>
  </si>
  <si>
    <t>27Oct - 1Dec 2022</t>
  </si>
  <si>
    <t>19Oct - 17Nov 2022</t>
  </si>
  <si>
    <t>1Dec 2022 - 5Jan 2023</t>
  </si>
  <si>
    <t>18Nov - 20Dec 2022</t>
  </si>
  <si>
    <t>5Jan - 2Feb 2023</t>
  </si>
  <si>
    <t>Estimated</t>
  </si>
  <si>
    <t>21Dec 2022 - 2Feb 2023</t>
  </si>
  <si>
    <t>2Feb - 2Mar 2023</t>
  </si>
  <si>
    <t>3Feb - 1Mar 2023</t>
  </si>
  <si>
    <t>2Mar - 30Mar 2023</t>
  </si>
  <si>
    <t>21Dec 2022 - 23Mar 2023</t>
  </si>
  <si>
    <t>30Mar - 4May 2023</t>
  </si>
  <si>
    <t>24Mar - 25Apr 2023</t>
  </si>
  <si>
    <t>4May - 1Jun 2023</t>
  </si>
  <si>
    <t>26Apr - 25May 2023</t>
  </si>
  <si>
    <t>1June - 29 June 2023</t>
  </si>
  <si>
    <t>26Apr - 20 June 2023</t>
  </si>
  <si>
    <t>29Jun - 3Aug 2023</t>
  </si>
  <si>
    <t>21Jun - 2Aug 2023</t>
  </si>
  <si>
    <t>3Aug - 31Aug 2023</t>
  </si>
  <si>
    <t>3Aug - 17Aug 2023</t>
  </si>
  <si>
    <t>31Aug - 28Sept 2023</t>
  </si>
  <si>
    <t>18Aug - 27Sept 2023</t>
  </si>
  <si>
    <t>28Sept - 2Nov 2023</t>
  </si>
  <si>
    <t>28Sept - 19Oct 2023</t>
  </si>
  <si>
    <t xml:space="preserve"> 2Nov - 30Nov 2023</t>
  </si>
  <si>
    <t>20Oct - 22Nov 2023</t>
  </si>
  <si>
    <t>30Nov - 4Jan 2024</t>
  </si>
  <si>
    <t>23Nov - 14Dec 2023</t>
  </si>
  <si>
    <t>4Jan - 1Feb 2024</t>
  </si>
  <si>
    <t>15Dec - 19Jan 2024</t>
  </si>
  <si>
    <t>1Feb - 29Feb 2024</t>
  </si>
  <si>
    <t>20Jan - 18Feb 2024</t>
  </si>
  <si>
    <t>29Feb - 28Mar 2024</t>
  </si>
  <si>
    <t>19Feb - 25Mar 2024</t>
  </si>
  <si>
    <t>28Mar - 2May 2024</t>
  </si>
  <si>
    <t>26Mar -30Apr 2024</t>
  </si>
  <si>
    <t>2May - 30May 2024</t>
  </si>
  <si>
    <t>1May - 24May 2024</t>
  </si>
  <si>
    <t xml:space="preserve">Carissa Lane Water </t>
  </si>
  <si>
    <t>Reading Month</t>
  </si>
  <si>
    <t>BC</t>
  </si>
  <si>
    <t>Council</t>
  </si>
  <si>
    <t>Actual / Estimated</t>
  </si>
  <si>
    <t>A</t>
  </si>
  <si>
    <t>E</t>
  </si>
  <si>
    <t>A - COJ Back Dated</t>
  </si>
  <si>
    <t>CL Water Council Billing is CORRECT</t>
  </si>
  <si>
    <t>Consumption readings are in line.</t>
  </si>
  <si>
    <t>Water charged according to Step Rates, in line.</t>
  </si>
  <si>
    <t>Common Property being recouped.</t>
  </si>
  <si>
    <t>CL Water Cons BC vs Council</t>
  </si>
  <si>
    <t>KL PER DAY</t>
  </si>
  <si>
    <t>CL Water Rates STS vs Council</t>
  </si>
  <si>
    <t>Counil</t>
  </si>
  <si>
    <t>Billing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</si>
</sst>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&quot;* #,##0.00_-;\-&quot;R&quot;* #,##0.00_-;_-&quot;R&quot;* &quot;-&quot;??_-;_-@_-"/>
    <numFmt numFmtId="165" formatCode="&quot;R&quot;#,##0.00"/>
    <numFmt numFmtId="166" formatCode="_-[$R-436]* #,##0.00_-;\-[$R-436]* #,##0.00_-;_-[$R-436]* &quot;-&quot;??_-;_-@_-"/>
    <numFmt numFmtId="167" formatCode="_-[$R-1C09]* #,##0.00_-;\-[$R-1C09]* #,##0.00_-;_-[$R-1C09]* &quot;-&quot;??_-;_-@_-"/>
    <numFmt numFmtId="168" formatCode="0.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6">
    <xf numFmtId="0" fontId="0" fillId="0" borderId="0" xfId="0"/>
    <xf numFmtId="17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 applyProtection="1">
      <alignment horizontal="center"/>
      <protection locked="0"/>
    </xf>
    <xf numFmtId="0" fontId="2" fillId="0" borderId="0" xfId="0" applyFont="1"/>
    <xf numFmtId="165" fontId="0" fillId="0" borderId="1" xfId="0" applyNumberFormat="1" applyBorder="1"/>
    <xf numFmtId="165" fontId="1" fillId="0" borderId="1" xfId="0" applyNumberFormat="1" applyFont="1" applyBorder="1"/>
    <xf numFmtId="164" fontId="0" fillId="0" borderId="0" xfId="0" applyNumberFormat="1"/>
    <xf numFmtId="164" fontId="1" fillId="0" borderId="2" xfId="0" applyNumberFormat="1" applyFont="1" applyBorder="1"/>
    <xf numFmtId="0" fontId="3" fillId="0" borderId="0" xfId="0" applyFont="1"/>
    <xf numFmtId="1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/>
    <xf numFmtId="164" fontId="0" fillId="0" borderId="0" xfId="1" applyFont="1"/>
    <xf numFmtId="17" fontId="1" fillId="2" borderId="0" xfId="0" applyNumberFormat="1" applyFont="1" applyFill="1"/>
    <xf numFmtId="0" fontId="5" fillId="0" borderId="0" xfId="0" applyFont="1"/>
    <xf numFmtId="164" fontId="0" fillId="0" borderId="0" xfId="1" applyFont="1" applyBorder="1"/>
    <xf numFmtId="164" fontId="0" fillId="0" borderId="1" xfId="1" applyFont="1" applyBorder="1"/>
    <xf numFmtId="164" fontId="0" fillId="0" borderId="1" xfId="0" applyNumberFormat="1" applyBorder="1"/>
    <xf numFmtId="166" fontId="0" fillId="0" borderId="0" xfId="0" applyNumberFormat="1"/>
    <xf numFmtId="1" fontId="0" fillId="0" borderId="1" xfId="0" applyNumberFormat="1" applyBorder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3" xfId="0" applyBorder="1"/>
    <xf numFmtId="0" fontId="1" fillId="0" borderId="3" xfId="0" applyFont="1" applyBorder="1"/>
    <xf numFmtId="167" fontId="0" fillId="0" borderId="3" xfId="0" applyNumberFormat="1" applyBorder="1"/>
    <xf numFmtId="166" fontId="0" fillId="0" borderId="0" xfId="0" applyNumberFormat="1" applyAlignment="1">
      <alignment horizontal="center"/>
    </xf>
    <xf numFmtId="167" fontId="0" fillId="0" borderId="1" xfId="0" applyNumberFormat="1" applyBorder="1"/>
    <xf numFmtId="164" fontId="1" fillId="0" borderId="1" xfId="1" applyFont="1" applyBorder="1"/>
    <xf numFmtId="0" fontId="6" fillId="0" borderId="1" xfId="0" applyFont="1" applyBorder="1"/>
    <xf numFmtId="164" fontId="6" fillId="0" borderId="1" xfId="1" applyFont="1" applyBorder="1"/>
    <xf numFmtId="168" fontId="6" fillId="0" borderId="1" xfId="0" applyNumberFormat="1" applyFont="1" applyBorder="1"/>
    <xf numFmtId="168" fontId="0" fillId="0" borderId="1" xfId="0" applyNumberFormat="1" applyBorder="1"/>
    <xf numFmtId="0" fontId="1" fillId="0" borderId="0" xfId="0" applyFon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'Collected Graph'!$AG$2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'Collected Graph'!$AF$3:$AF$14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'Collected Graph'!$AG$3:$AG$14</c:f>
              <c:numCache>
                <c:formatCode>_-[$R-436]* #,##0.00_-;\-[$R-436]* #,##0.00_-;_-[$R-436]* "-"??_-;_-@_-</c:formatCode>
                <c:ptCount val="12"/>
                <c:pt idx="0">
                  <c:v>6209.6319999999996</c:v>
                </c:pt>
                <c:pt idx="1">
                  <c:v>5620.0844999999999</c:v>
                </c:pt>
                <c:pt idx="2">
                  <c:v>8188.0459999999994</c:v>
                </c:pt>
                <c:pt idx="3">
                  <c:v>6026.1379999999999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7B-435F-8C2B-49CDC2A89DBC}"/>
            </c:ext>
          </c:extLst>
        </c:ser>
        <c:ser>
          <c:idx val="1"/>
          <c:order val="1"/>
          <c:tx>
            <c:strRef>
              <c:f>'Collected Graph'!$AH$2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'Collected Graph'!$AF$3:$AF$14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'Collected Graph'!$AH$3:$AH$14</c:f>
              <c:numCache>
                <c:formatCode>_-[$R-436]* #,##0.00_-;\-[$R-436]* #,##0.00_-;_-[$R-436]* "-"??_-;_-@_-</c:formatCode>
                <c:ptCount val="12"/>
                <c:pt idx="0">
                  <c:v>6126.6135000000004</c:v>
                </c:pt>
                <c:pt idx="1">
                  <c:v>7571.6805000000004</c:v>
                </c:pt>
                <c:pt idx="2">
                  <c:v>6754.1224999999995</c:v>
                </c:pt>
                <c:pt idx="3">
                  <c:v>5350.8464999999997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7B-435F-8C2B-49CDC2A89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256008"/>
        <c:axId val="1312258056"/>
      </c:barChart>
      <c:dateAx>
        <c:axId val="1312256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58056"/>
        <c:crosses val="autoZero"/>
        <c:auto val="1"/>
        <c:lblOffset val="100"/>
        <c:baseTimeUnit val="months"/>
      </c:dateAx>
      <c:valAx>
        <c:axId val="1312258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25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Graph'!$AB$2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'Consumption Graph'!$AA$3:$AA$14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'Consumption Graph'!$AB$3:$AB$14</c:f>
              <c:numCache>
                <c:formatCode>0</c:formatCode>
                <c:ptCount val="12"/>
                <c:pt idx="0" formatCode="General">
                  <c:v>330</c:v>
                </c:pt>
                <c:pt idx="1">
                  <c:v>333</c:v>
                </c:pt>
                <c:pt idx="2" formatCode="General">
                  <c:v>406</c:v>
                </c:pt>
                <c:pt idx="3" formatCode="General">
                  <c:v>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3-438E-A203-5EF98B9A302B}"/>
            </c:ext>
          </c:extLst>
        </c:ser>
        <c:ser>
          <c:idx val="1"/>
          <c:order val="1"/>
          <c:tx>
            <c:strRef>
              <c:f>'Consumption Graph'!$AC$2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'Consumption Graph'!$AA$3:$AA$14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'Consumption Graph'!$AC$3:$AC$14</c:f>
              <c:numCache>
                <c:formatCode>General</c:formatCode>
                <c:ptCount val="12"/>
                <c:pt idx="0" formatCode="0">
                  <c:v>352</c:v>
                </c:pt>
                <c:pt idx="1">
                  <c:v>438</c:v>
                </c:pt>
                <c:pt idx="2">
                  <c:v>410</c:v>
                </c:pt>
                <c:pt idx="3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83-438E-A203-5EF98B9A3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0283655"/>
        <c:axId val="1556522503"/>
      </c:barChart>
      <c:dateAx>
        <c:axId val="12002836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522503"/>
        <c:crosses val="autoZero"/>
        <c:auto val="1"/>
        <c:lblOffset val="100"/>
        <c:baseTimeUnit val="months"/>
      </c:dateAx>
      <c:valAx>
        <c:axId val="1556522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8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'Consumption Graph'!$AB$23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'Consumption Graph'!$AA$24:$AA$35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'Consumption Graph'!$AB$24:$AB$35</c:f>
              <c:numCache>
                <c:formatCode>0</c:formatCode>
                <c:ptCount val="12"/>
                <c:pt idx="0">
                  <c:v>11.379310344827585</c:v>
                </c:pt>
                <c:pt idx="1">
                  <c:v>11.892857142857142</c:v>
                </c:pt>
                <c:pt idx="2">
                  <c:v>11.6</c:v>
                </c:pt>
                <c:pt idx="3">
                  <c:v>12.107142857142858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4-4457-8803-F4D7CB8DA60F}"/>
            </c:ext>
          </c:extLst>
        </c:ser>
        <c:ser>
          <c:idx val="1"/>
          <c:order val="1"/>
          <c:tx>
            <c:strRef>
              <c:f>'Consumption Graph'!$AC$23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'Consumption Graph'!$AA$24:$AA$35</c:f>
              <c:numCache>
                <c:formatCode>mmm\-yy</c:formatCode>
                <c:ptCount val="12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</c:numCache>
            </c:numRef>
          </c:cat>
          <c:val>
            <c:numRef>
              <c:f>'Consumption Graph'!$AC$24:$AC$35</c:f>
              <c:numCache>
                <c:formatCode>0</c:formatCode>
                <c:ptCount val="12"/>
                <c:pt idx="0">
                  <c:v>9.7777777777777786</c:v>
                </c:pt>
                <c:pt idx="1">
                  <c:v>12.166666666666666</c:v>
                </c:pt>
                <c:pt idx="2">
                  <c:v>11.388888888888889</c:v>
                </c:pt>
                <c:pt idx="3">
                  <c:v>12.041666666666666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74-4457-8803-F4D7CB8DA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386439"/>
        <c:axId val="1066388487"/>
      </c:barChart>
      <c:dateAx>
        <c:axId val="106638643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88487"/>
        <c:crosses val="autoZero"/>
        <c:auto val="1"/>
        <c:lblOffset val="100"/>
        <c:baseTimeUnit val="months"/>
      </c:dateAx>
      <c:valAx>
        <c:axId val="1066388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38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 Rates BC vs Council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'Rates Graph'!$W$2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'Rates Graph'!$V$3:$V$14</c:f>
              <c:numCache>
                <c:formatCode>mmm\-yy</c:formatCode>
                <c:ptCount val="12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</c:numCache>
            </c:numRef>
          </c:cat>
          <c:val>
            <c:numRef>
              <c:f>'Rates Graph'!$W$3:$W$14</c:f>
              <c:numCache>
                <c:formatCode>_-[$R-436]* #,##0.00_-;\-[$R-436]* #,##0.00_-;_-[$R-436]* "-"??_-;_-@_-</c:formatCode>
                <c:ptCount val="12"/>
                <c:pt idx="0">
                  <c:v>13.983546052631578</c:v>
                </c:pt>
                <c:pt idx="1">
                  <c:v>17.090293313069907</c:v>
                </c:pt>
                <c:pt idx="2">
                  <c:v>16.613163934426229</c:v>
                </c:pt>
                <c:pt idx="3">
                  <c:v>14.005186379928316</c:v>
                </c:pt>
                <c:pt idx="4">
                  <c:v>14.271575409836062</c:v>
                </c:pt>
                <c:pt idx="5">
                  <c:v>17.939039164490861</c:v>
                </c:pt>
                <c:pt idx="6">
                  <c:v>19.001712857142856</c:v>
                </c:pt>
                <c:pt idx="7">
                  <c:v>19.354128032345013</c:v>
                </c:pt>
                <c:pt idx="8">
                  <c:v>22.641671548117152</c:v>
                </c:pt>
                <c:pt idx="9">
                  <c:v>18.379970588235292</c:v>
                </c:pt>
                <c:pt idx="10">
                  <c:v>19.327880145278449</c:v>
                </c:pt>
                <c:pt idx="11">
                  <c:v>16.49905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5-44D2-B345-D8BC8E665CDD}"/>
            </c:ext>
          </c:extLst>
        </c:ser>
        <c:ser>
          <c:idx val="1"/>
          <c:order val="1"/>
          <c:tx>
            <c:strRef>
              <c:f>'Rates Graph'!$X$2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'Rates Graph'!$V$3:$V$14</c:f>
              <c:numCache>
                <c:formatCode>mmm\-yy</c:formatCode>
                <c:ptCount val="12"/>
                <c:pt idx="0">
                  <c:v>44958</c:v>
                </c:pt>
                <c:pt idx="1">
                  <c:v>44986</c:v>
                </c:pt>
                <c:pt idx="2">
                  <c:v>45017</c:v>
                </c:pt>
                <c:pt idx="3">
                  <c:v>45047</c:v>
                </c:pt>
                <c:pt idx="4">
                  <c:v>45078</c:v>
                </c:pt>
                <c:pt idx="5">
                  <c:v>45108</c:v>
                </c:pt>
                <c:pt idx="6">
                  <c:v>45139</c:v>
                </c:pt>
                <c:pt idx="7">
                  <c:v>45170</c:v>
                </c:pt>
                <c:pt idx="8">
                  <c:v>45200</c:v>
                </c:pt>
                <c:pt idx="9">
                  <c:v>45231</c:v>
                </c:pt>
                <c:pt idx="10">
                  <c:v>45261</c:v>
                </c:pt>
                <c:pt idx="11">
                  <c:v>45292</c:v>
                </c:pt>
              </c:numCache>
            </c:numRef>
          </c:cat>
          <c:val>
            <c:numRef>
              <c:f>'Rates Graph'!$X$3:$X$14</c:f>
              <c:numCache>
                <c:formatCode>_-[$R-436]* #,##0.00_-;\-[$R-436]* #,##0.00_-;_-[$R-436]* "-"??_-;_-@_-</c:formatCode>
                <c:ptCount val="12"/>
                <c:pt idx="0">
                  <c:v>16.5235245398773</c:v>
                </c:pt>
                <c:pt idx="1">
                  <c:v>2.8764442870632672</c:v>
                </c:pt>
                <c:pt idx="2">
                  <c:v>14.070504424778761</c:v>
                </c:pt>
                <c:pt idx="3">
                  <c:v>16.092667134831458</c:v>
                </c:pt>
                <c:pt idx="4">
                  <c:v>5.5718959390862945</c:v>
                </c:pt>
                <c:pt idx="5">
                  <c:v>15.144977272727271</c:v>
                </c:pt>
                <c:pt idx="6">
                  <c:v>21.201883522727272</c:v>
                </c:pt>
                <c:pt idx="7">
                  <c:v>18.209683394160582</c:v>
                </c:pt>
                <c:pt idx="8">
                  <c:v>20.395345514950165</c:v>
                </c:pt>
                <c:pt idx="9">
                  <c:v>19.136338947368419</c:v>
                </c:pt>
                <c:pt idx="10">
                  <c:v>20.395230897009966</c:v>
                </c:pt>
                <c:pt idx="11" formatCode="_-&quot;R&quot;* #,##0.00_-;\-&quot;R&quot;* #,##0.00_-;_-&quot;R&quot;* &quot;-&quot;??_-;_-@_-">
                  <c:v>15.615265873015872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15-44D2-B345-D8BC8E665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497848"/>
        <c:axId val="1679357736"/>
      </c:barChart>
      <c:dateAx>
        <c:axId val="1783497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357736"/>
        <c:crosses val="autoZero"/>
        <c:auto val="1"/>
        <c:lblOffset val="100"/>
        <c:baseTimeUnit val="months"/>
      </c:dateAx>
      <c:valAx>
        <c:axId val="1679357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497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WCU!$P$2</c:f>
              <c:strCache>
                <c:ptCount val="1"/>
                <c:pt idx="0">
                  <c:v>BC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WCU!$O$3:$O$14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WCU!$P$3:$P$14</c:f>
              <c:numCache>
                <c:formatCode>_-[$R-436]* #,##0.00_-;\-[$R-436]* #,##0.00_-;_-[$R-436]* "-"??_-;_-@_-</c:formatCode>
                <c:ptCount val="12"/>
                <c:pt idx="0">
                  <c:v>5279.71</c:v>
                </c:pt>
                <c:pt idx="1">
                  <c:v>6209.66</c:v>
                </c:pt>
                <c:pt idx="2">
                  <c:v>5620.1</c:v>
                </c:pt>
                <c:pt idx="3">
                  <c:v>8188.08</c:v>
                </c:pt>
                <c:pt idx="4">
                  <c:v>6026.16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A-4093-B7EE-D468D67BAF43}"/>
            </c:ext>
          </c:extLst>
        </c:ser>
        <c:ser>
          <c:idx val="1"/>
          <c:order val="1"/>
          <c:tx>
            <c:strRef>
              <c:f>WCU!$Q$2</c:f>
              <c:strCache>
                <c:ptCount val="1"/>
                <c:pt idx="0">
                  <c:v>Council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WCU!$O$3:$O$14</c:f>
              <c:numCache>
                <c:formatCode>mmm\-yy</c:formatCode>
                <c:ptCount val="12"/>
                <c:pt idx="0">
                  <c:v>45352</c:v>
                </c:pt>
                <c:pt idx="1">
                  <c:v>45383</c:v>
                </c:pt>
                <c:pt idx="2">
                  <c:v>45413</c:v>
                </c:pt>
                <c:pt idx="3">
                  <c:v>45444</c:v>
                </c:pt>
                <c:pt idx="4">
                  <c:v>45474</c:v>
                </c:pt>
                <c:pt idx="5">
                  <c:v>45505</c:v>
                </c:pt>
                <c:pt idx="6">
                  <c:v>45536</c:v>
                </c:pt>
                <c:pt idx="7">
                  <c:v>45566</c:v>
                </c:pt>
                <c:pt idx="8">
                  <c:v>45597</c:v>
                </c:pt>
                <c:pt idx="9">
                  <c:v>45627</c:v>
                </c:pt>
                <c:pt idx="10">
                  <c:v>45658</c:v>
                </c:pt>
                <c:pt idx="11">
                  <c:v>45689</c:v>
                </c:pt>
              </c:numCache>
            </c:numRef>
          </c:cat>
          <c:val>
            <c:numRef>
              <c:f>WCU!$Q$3:$Q$14</c:f>
              <c:numCache>
                <c:formatCode>_-[$R-436]* #,##0.00_-;\-[$R-436]* #,##0.00_-;_-[$R-436]* "-"??_-;_-@_-</c:formatCode>
                <c:ptCount val="12"/>
                <c:pt idx="0">
                  <c:v>6125.46</c:v>
                </c:pt>
                <c:pt idx="1">
                  <c:v>7571.6805000000004</c:v>
                </c:pt>
                <c:pt idx="2">
                  <c:v>6754.12</c:v>
                </c:pt>
                <c:pt idx="3">
                  <c:v>5350.85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AA-4093-B7EE-D468D67BA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458440"/>
        <c:axId val="397420040"/>
      </c:barChart>
      <c:dateAx>
        <c:axId val="397458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20040"/>
        <c:crosses val="autoZero"/>
        <c:auto val="1"/>
        <c:lblOffset val="100"/>
        <c:baseTimeUnit val="months"/>
      </c:dateAx>
      <c:valAx>
        <c:axId val="3974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6]* #,##0.00_-;\-[$R-436]* #,##0.00_-;_-[$R-436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45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</xdr:row>
      <xdr:rowOff>123825</xdr:rowOff>
    </xdr:from>
    <xdr:to>
      <xdr:col>9</xdr:col>
      <xdr:colOff>257175</xdr:colOff>
      <xdr:row>17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495AF-8171-18EF-764C-D729AF587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</xdr:row>
      <xdr:rowOff>133350</xdr:rowOff>
    </xdr:from>
    <xdr:to>
      <xdr:col>9</xdr:col>
      <xdr:colOff>200025</xdr:colOff>
      <xdr:row>18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E25FDC-5445-0335-3FF6-A5888A1FF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533400</xdr:colOff>
      <xdr:row>20</xdr:row>
      <xdr:rowOff>104775</xdr:rowOff>
    </xdr:from>
    <xdr:to>
      <xdr:col>10</xdr:col>
      <xdr:colOff>228600</xdr:colOff>
      <xdr:row>35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3A4926-5607-598D-CEE1-57D1B00AFA96}"/>
            </a:ext>
            <a:ext uri="{147F2762-F138-4A5C-976F-8EAC2B608ADB}">
              <a16:predDERef xmlns:a16="http://schemas.microsoft.com/office/drawing/2014/main" pred="{7DE25FDC-5445-0335-3FF6-A5888A1FF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85725</xdr:rowOff>
    </xdr:from>
    <xdr:to>
      <xdr:col>8</xdr:col>
      <xdr:colOff>228600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75AD1C-7662-059D-4339-56B540FBD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38100</xdr:rowOff>
    </xdr:from>
    <xdr:to>
      <xdr:col>9</xdr:col>
      <xdr:colOff>371475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C1FC0-11EA-1542-29CE-C4B47E0EC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2E284-A64D-4102-823A-4878120B33F9}">
  <dimension ref="A1:M617"/>
  <sheetViews>
    <sheetView tabSelected="1" workbookViewId="0">
      <selection activeCell="A2" sqref="A2"/>
    </sheetView>
  </sheetViews>
  <sheetFormatPr defaultRowHeight="14.45"/>
  <cols>
    <col min="1" max="1" width="12.28515625" customWidth="1"/>
    <col min="2" max="2" width="16.28515625" bestFit="1" customWidth="1"/>
    <col min="3" max="3" width="15.140625" bestFit="1" customWidth="1"/>
    <col min="6" max="6" width="14.28515625" bestFit="1" customWidth="1"/>
    <col min="7" max="7" width="23.7109375" customWidth="1"/>
    <col min="8" max="8" width="12.85546875" bestFit="1" customWidth="1"/>
    <col min="9" max="9" width="10.85546875" bestFit="1" customWidth="1"/>
    <col min="10" max="10" width="22.42578125" customWidth="1"/>
  </cols>
  <sheetData>
    <row r="1" spans="1:8" ht="18">
      <c r="A1" s="5" t="s">
        <v>0</v>
      </c>
    </row>
    <row r="3" spans="1:8">
      <c r="A3" s="16">
        <v>43101</v>
      </c>
    </row>
    <row r="4" spans="1:8" hidden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hidden="1">
      <c r="A5" s="3" t="s">
        <v>9</v>
      </c>
      <c r="B5" s="3"/>
      <c r="C5" s="3">
        <v>415025</v>
      </c>
      <c r="D5" s="3">
        <v>415025</v>
      </c>
      <c r="E5" s="3">
        <v>0</v>
      </c>
      <c r="F5" s="3"/>
      <c r="G5" s="3"/>
      <c r="H5" s="3"/>
    </row>
    <row r="6" spans="1:8" hidden="1">
      <c r="A6" s="3" t="s">
        <v>10</v>
      </c>
      <c r="B6" s="3">
        <v>988019</v>
      </c>
      <c r="C6" s="3">
        <v>1000073</v>
      </c>
      <c r="D6" s="3">
        <v>12054</v>
      </c>
      <c r="E6" s="3">
        <v>15205.034999999998</v>
      </c>
      <c r="F6" s="3"/>
      <c r="G6" s="3">
        <v>130.60979999999998</v>
      </c>
      <c r="H6" s="3">
        <v>527.05619999999999</v>
      </c>
    </row>
    <row r="7" spans="1:8" hidden="1">
      <c r="A7" s="3" t="s">
        <v>11</v>
      </c>
      <c r="B7" s="3"/>
      <c r="C7" s="3"/>
      <c r="D7" s="3"/>
      <c r="E7" s="3">
        <v>0</v>
      </c>
      <c r="F7" s="3"/>
      <c r="G7" s="3"/>
      <c r="H7" s="3"/>
    </row>
    <row r="8" spans="1:8" hidden="1">
      <c r="A8" s="3" t="s">
        <v>12</v>
      </c>
      <c r="B8" s="3"/>
      <c r="C8" s="3"/>
      <c r="D8" s="3"/>
      <c r="E8" s="3">
        <v>15862.700999999997</v>
      </c>
      <c r="F8" s="3"/>
      <c r="G8" s="3"/>
      <c r="H8" s="3"/>
    </row>
    <row r="9" spans="1:8" hidden="1">
      <c r="A9" s="3" t="s">
        <v>13</v>
      </c>
      <c r="B9" s="3"/>
      <c r="C9" s="3"/>
      <c r="D9" s="3"/>
      <c r="E9" s="3">
        <v>-15862.700999999997</v>
      </c>
      <c r="F9" s="3"/>
      <c r="G9" s="3"/>
      <c r="H9" s="3"/>
    </row>
    <row r="10" spans="1:8" hidden="1"/>
    <row r="11" spans="1:8" hidden="1">
      <c r="A11" s="1">
        <v>43132</v>
      </c>
    </row>
    <row r="12" spans="1:8" hidden="1">
      <c r="A12" s="2" t="s">
        <v>1</v>
      </c>
      <c r="B12" s="2" t="s">
        <v>2</v>
      </c>
      <c r="C12" s="2" t="s">
        <v>3</v>
      </c>
      <c r="D12" s="2" t="s">
        <v>4</v>
      </c>
      <c r="E12" s="2" t="s">
        <v>14</v>
      </c>
      <c r="F12" s="2" t="s">
        <v>5</v>
      </c>
      <c r="G12" s="2" t="s">
        <v>6</v>
      </c>
    </row>
    <row r="13" spans="1:8" hidden="1">
      <c r="A13" s="3" t="s">
        <v>9</v>
      </c>
      <c r="B13" s="3">
        <v>0</v>
      </c>
      <c r="C13" s="3">
        <v>163</v>
      </c>
      <c r="D13" s="3">
        <v>163</v>
      </c>
      <c r="E13" s="3">
        <v>683.99999999999989</v>
      </c>
      <c r="F13" s="3">
        <v>3364.5000000000018</v>
      </c>
      <c r="G13" s="3"/>
    </row>
    <row r="14" spans="1:8" hidden="1">
      <c r="A14" s="3" t="s">
        <v>10</v>
      </c>
      <c r="B14" s="3">
        <v>93801</v>
      </c>
      <c r="C14" s="3">
        <v>94139</v>
      </c>
      <c r="D14" s="3">
        <v>338</v>
      </c>
      <c r="E14" s="3"/>
      <c r="F14" s="3">
        <v>3364.482</v>
      </c>
      <c r="G14" s="3">
        <v>683.99999999999989</v>
      </c>
    </row>
    <row r="15" spans="1:8" hidden="1">
      <c r="A15" s="3" t="s">
        <v>11</v>
      </c>
      <c r="B15" s="3"/>
      <c r="C15" s="3"/>
      <c r="D15" s="3"/>
      <c r="E15" s="3"/>
      <c r="F15" s="3">
        <v>4048.5000000000018</v>
      </c>
      <c r="G15" s="3"/>
    </row>
    <row r="16" spans="1:8" hidden="1">
      <c r="A16" s="3" t="s">
        <v>12</v>
      </c>
      <c r="B16" s="3"/>
      <c r="C16" s="3"/>
      <c r="D16" s="3"/>
      <c r="E16" s="3"/>
      <c r="F16" s="3">
        <v>4048.482</v>
      </c>
      <c r="G16" s="3"/>
    </row>
    <row r="17" spans="1:7" hidden="1">
      <c r="A17" s="3" t="s">
        <v>13</v>
      </c>
      <c r="B17" s="3"/>
      <c r="C17" s="3"/>
      <c r="D17" s="3"/>
      <c r="E17" s="3"/>
      <c r="F17" s="3">
        <v>1.8000000001848093E-2</v>
      </c>
      <c r="G17" s="3"/>
    </row>
    <row r="18" spans="1:7" hidden="1"/>
    <row r="19" spans="1:7" hidden="1">
      <c r="A19" s="1">
        <v>43160</v>
      </c>
    </row>
    <row r="20" spans="1:7" hidden="1">
      <c r="A20" s="2" t="s">
        <v>1</v>
      </c>
      <c r="B20" s="2" t="s">
        <v>2</v>
      </c>
      <c r="C20" s="2" t="s">
        <v>3</v>
      </c>
      <c r="D20" s="2" t="s">
        <v>4</v>
      </c>
      <c r="E20" s="2" t="s">
        <v>14</v>
      </c>
      <c r="F20" s="2" t="s">
        <v>5</v>
      </c>
      <c r="G20" s="2" t="s">
        <v>6</v>
      </c>
    </row>
    <row r="21" spans="1:7" hidden="1">
      <c r="A21" s="3" t="s">
        <v>9</v>
      </c>
      <c r="B21" s="3">
        <v>163</v>
      </c>
      <c r="C21" s="3">
        <v>327</v>
      </c>
      <c r="D21" s="3">
        <v>164</v>
      </c>
      <c r="E21" s="3">
        <v>683.99999999999989</v>
      </c>
      <c r="F21" s="3">
        <v>3364.5000000000018</v>
      </c>
      <c r="G21" s="3"/>
    </row>
    <row r="22" spans="1:7" hidden="1">
      <c r="A22" s="3" t="s">
        <v>10</v>
      </c>
      <c r="B22" s="3">
        <v>94139</v>
      </c>
      <c r="C22" s="3">
        <v>94952</v>
      </c>
      <c r="D22" s="3">
        <v>813</v>
      </c>
      <c r="E22" s="3"/>
      <c r="F22" s="3">
        <v>8851.4119999999984</v>
      </c>
      <c r="G22" s="3">
        <v>690</v>
      </c>
    </row>
    <row r="23" spans="1:7" hidden="1">
      <c r="A23" s="2" t="s">
        <v>11</v>
      </c>
      <c r="B23" s="2"/>
      <c r="C23" s="2"/>
      <c r="D23" s="2"/>
      <c r="E23" s="2"/>
      <c r="F23" s="2">
        <v>4048.5000000000018</v>
      </c>
      <c r="G23" s="2"/>
    </row>
    <row r="24" spans="1:7" hidden="1">
      <c r="A24" s="2" t="s">
        <v>12</v>
      </c>
      <c r="B24" s="2"/>
      <c r="C24" s="2"/>
      <c r="D24" s="2"/>
      <c r="E24" s="2"/>
      <c r="F24" s="2">
        <v>9541.4119999999984</v>
      </c>
      <c r="G24" s="2"/>
    </row>
    <row r="25" spans="1:7" hidden="1">
      <c r="A25" s="2" t="s">
        <v>13</v>
      </c>
      <c r="B25" s="2"/>
      <c r="C25" s="2"/>
      <c r="D25" s="2"/>
      <c r="E25" s="2"/>
      <c r="F25" s="2">
        <v>-5492.9119999999966</v>
      </c>
      <c r="G25" s="2"/>
    </row>
    <row r="26" spans="1:7" hidden="1"/>
    <row r="27" spans="1:7" hidden="1">
      <c r="A27" s="1">
        <v>43191</v>
      </c>
    </row>
    <row r="28" spans="1:7" hidden="1">
      <c r="A28" s="2" t="s">
        <v>1</v>
      </c>
      <c r="B28" s="2" t="s">
        <v>2</v>
      </c>
      <c r="C28" s="2" t="s">
        <v>3</v>
      </c>
      <c r="D28" s="2" t="s">
        <v>4</v>
      </c>
      <c r="E28" s="2" t="s">
        <v>14</v>
      </c>
      <c r="F28" s="2" t="s">
        <v>5</v>
      </c>
      <c r="G28" s="2" t="s">
        <v>6</v>
      </c>
    </row>
    <row r="29" spans="1:7" hidden="1">
      <c r="A29" s="3" t="s">
        <v>9</v>
      </c>
      <c r="B29" s="3">
        <v>327</v>
      </c>
      <c r="C29" s="3">
        <v>764</v>
      </c>
      <c r="D29" s="3">
        <v>437</v>
      </c>
      <c r="E29" s="3">
        <v>683.99999999999989</v>
      </c>
      <c r="F29" s="3">
        <v>4965</v>
      </c>
      <c r="G29" s="3"/>
    </row>
    <row r="30" spans="1:7" hidden="1">
      <c r="A30" s="3" t="s">
        <v>10</v>
      </c>
      <c r="B30" s="3">
        <v>94952</v>
      </c>
      <c r="C30" s="3">
        <v>95398</v>
      </c>
      <c r="D30" s="3">
        <v>446</v>
      </c>
      <c r="E30" s="3"/>
      <c r="F30" s="3">
        <v>4965.0789999999997</v>
      </c>
      <c r="G30" s="3">
        <v>690</v>
      </c>
    </row>
    <row r="31" spans="1:7" hidden="1">
      <c r="A31" s="3" t="s">
        <v>11</v>
      </c>
      <c r="B31" s="3"/>
      <c r="C31" s="3"/>
      <c r="D31" s="3"/>
      <c r="E31" s="3"/>
      <c r="F31" s="3">
        <v>5649</v>
      </c>
      <c r="G31" s="3"/>
    </row>
    <row r="32" spans="1:7" hidden="1">
      <c r="A32" s="3" t="s">
        <v>12</v>
      </c>
      <c r="B32" s="3"/>
      <c r="C32" s="3"/>
      <c r="D32" s="3"/>
      <c r="E32" s="3"/>
      <c r="F32" s="3">
        <v>5655.0789999999997</v>
      </c>
      <c r="G32" s="3"/>
    </row>
    <row r="33" spans="1:7" hidden="1">
      <c r="A33" s="3" t="s">
        <v>13</v>
      </c>
      <c r="B33" s="3"/>
      <c r="C33" s="3"/>
      <c r="D33" s="3"/>
      <c r="E33" s="3"/>
      <c r="F33" s="3">
        <v>-6.0789999999997235</v>
      </c>
      <c r="G33" s="3"/>
    </row>
    <row r="34" spans="1:7" hidden="1"/>
    <row r="35" spans="1:7" hidden="1">
      <c r="A35" s="1">
        <v>43221</v>
      </c>
    </row>
    <row r="36" spans="1:7" hidden="1">
      <c r="A36" s="2" t="s">
        <v>1</v>
      </c>
      <c r="B36" s="2" t="s">
        <v>2</v>
      </c>
      <c r="C36" s="2" t="s">
        <v>3</v>
      </c>
      <c r="D36" s="2" t="s">
        <v>4</v>
      </c>
      <c r="E36" s="2" t="s">
        <v>14</v>
      </c>
      <c r="F36" s="2" t="s">
        <v>5</v>
      </c>
      <c r="G36" s="2" t="s">
        <v>6</v>
      </c>
    </row>
    <row r="37" spans="1:7" hidden="1">
      <c r="A37" s="3" t="s">
        <v>9</v>
      </c>
      <c r="B37" s="3">
        <v>764</v>
      </c>
      <c r="C37" s="3">
        <v>1217</v>
      </c>
      <c r="D37" s="3">
        <v>453</v>
      </c>
      <c r="E37" s="3">
        <v>690</v>
      </c>
      <c r="F37" s="3">
        <v>5116.8000000000011</v>
      </c>
      <c r="G37" s="3"/>
    </row>
    <row r="38" spans="1:7" hidden="1">
      <c r="A38" s="3" t="s">
        <v>10</v>
      </c>
      <c r="B38" s="3">
        <v>95398</v>
      </c>
      <c r="C38" s="3">
        <v>95859</v>
      </c>
      <c r="D38" s="3">
        <v>461</v>
      </c>
      <c r="E38" s="3"/>
      <c r="F38" s="3">
        <v>5116.8214999999991</v>
      </c>
      <c r="G38" s="3">
        <v>690</v>
      </c>
    </row>
    <row r="39" spans="1:7" hidden="1">
      <c r="A39" s="3" t="s">
        <v>11</v>
      </c>
      <c r="B39" s="3"/>
      <c r="C39" s="3"/>
      <c r="D39" s="3"/>
      <c r="E39" s="3"/>
      <c r="F39" s="3">
        <v>5806.8000000000011</v>
      </c>
      <c r="G39" s="3"/>
    </row>
    <row r="40" spans="1:7" hidden="1">
      <c r="A40" s="3" t="s">
        <v>12</v>
      </c>
      <c r="B40" s="3"/>
      <c r="C40" s="3"/>
      <c r="D40" s="3"/>
      <c r="E40" s="3"/>
      <c r="F40" s="3">
        <v>5806.8214999999991</v>
      </c>
      <c r="G40" s="3"/>
    </row>
    <row r="41" spans="1:7" hidden="1">
      <c r="A41" s="3" t="s">
        <v>13</v>
      </c>
      <c r="B41" s="3"/>
      <c r="C41" s="3"/>
      <c r="D41" s="3"/>
      <c r="E41" s="3"/>
      <c r="F41" s="3">
        <v>-2.1499999998013664E-2</v>
      </c>
      <c r="G41" s="3"/>
    </row>
    <row r="42" spans="1:7" hidden="1"/>
    <row r="43" spans="1:7" hidden="1">
      <c r="A43" s="1">
        <v>43252</v>
      </c>
    </row>
    <row r="44" spans="1:7" hidden="1">
      <c r="A44" s="2" t="s">
        <v>1</v>
      </c>
      <c r="B44" s="2" t="s">
        <v>2</v>
      </c>
      <c r="C44" s="2" t="s">
        <v>3</v>
      </c>
      <c r="D44" s="2" t="s">
        <v>4</v>
      </c>
      <c r="E44" s="2" t="s">
        <v>14</v>
      </c>
      <c r="F44" s="2" t="s">
        <v>5</v>
      </c>
      <c r="G44" s="2" t="s">
        <v>6</v>
      </c>
    </row>
    <row r="45" spans="1:7" hidden="1">
      <c r="A45" s="3" t="s">
        <v>9</v>
      </c>
      <c r="B45" s="3">
        <v>1217</v>
      </c>
      <c r="C45" s="3">
        <v>1594</v>
      </c>
      <c r="D45" s="3">
        <v>377</v>
      </c>
      <c r="E45" s="3">
        <v>690</v>
      </c>
      <c r="F45" s="3">
        <v>5806.8000000000029</v>
      </c>
      <c r="G45" s="3"/>
    </row>
    <row r="46" spans="1:7" hidden="1">
      <c r="A46" s="3" t="s">
        <v>10</v>
      </c>
      <c r="B46" s="3">
        <v>95859</v>
      </c>
      <c r="C46" s="3">
        <v>96383</v>
      </c>
      <c r="D46" s="3">
        <v>524</v>
      </c>
      <c r="E46" s="3"/>
      <c r="F46" s="3">
        <v>6110.0074999999988</v>
      </c>
      <c r="G46" s="3">
        <v>781.08</v>
      </c>
    </row>
    <row r="47" spans="1:7" hidden="1">
      <c r="A47" s="3" t="s">
        <v>11</v>
      </c>
      <c r="B47" s="3"/>
      <c r="C47" s="3"/>
      <c r="D47" s="3"/>
      <c r="E47" s="3"/>
      <c r="F47" s="3">
        <v>6496.8000000000029</v>
      </c>
      <c r="G47" s="3"/>
    </row>
    <row r="48" spans="1:7" hidden="1">
      <c r="A48" s="3" t="s">
        <v>12</v>
      </c>
      <c r="B48" s="3"/>
      <c r="C48" s="3"/>
      <c r="D48" s="3"/>
      <c r="E48" s="3"/>
      <c r="F48" s="3">
        <v>6891.0874999999987</v>
      </c>
      <c r="G48" s="3"/>
    </row>
    <row r="49" spans="1:7" hidden="1">
      <c r="A49" s="3" t="s">
        <v>13</v>
      </c>
      <c r="B49" s="3"/>
      <c r="C49" s="3"/>
      <c r="D49" s="3"/>
      <c r="E49" s="3"/>
      <c r="F49" s="3">
        <v>-394.28749999999582</v>
      </c>
      <c r="G49" s="3"/>
    </row>
    <row r="50" spans="1:7" hidden="1"/>
    <row r="51" spans="1:7" hidden="1">
      <c r="A51" s="1">
        <v>43282</v>
      </c>
    </row>
    <row r="52" spans="1:7" hidden="1">
      <c r="A52" s="2" t="s">
        <v>1</v>
      </c>
      <c r="B52" s="2" t="s">
        <v>2</v>
      </c>
      <c r="C52" s="2" t="s">
        <v>3</v>
      </c>
      <c r="D52" s="2" t="s">
        <v>4</v>
      </c>
      <c r="E52" s="2" t="s">
        <v>14</v>
      </c>
      <c r="F52" s="2" t="s">
        <v>5</v>
      </c>
      <c r="G52" s="2" t="s">
        <v>6</v>
      </c>
    </row>
    <row r="53" spans="1:7" hidden="1">
      <c r="A53" s="3" t="s">
        <v>9</v>
      </c>
      <c r="B53" s="3">
        <v>1594</v>
      </c>
      <c r="C53" s="3">
        <v>1992</v>
      </c>
      <c r="D53" s="3">
        <v>398</v>
      </c>
      <c r="E53" s="3">
        <v>5037.2999999999984</v>
      </c>
      <c r="F53" s="3">
        <v>780.89999999999952</v>
      </c>
      <c r="G53" s="3"/>
    </row>
    <row r="54" spans="1:7" hidden="1">
      <c r="A54" s="3" t="s">
        <v>10</v>
      </c>
      <c r="B54" s="3">
        <v>2236</v>
      </c>
      <c r="C54" s="3">
        <v>2902</v>
      </c>
      <c r="D54" s="3">
        <v>666</v>
      </c>
      <c r="E54" s="3"/>
      <c r="F54" s="3">
        <v>12835.299499999997</v>
      </c>
      <c r="G54" s="3">
        <v>781.08</v>
      </c>
    </row>
    <row r="55" spans="1:7" hidden="1">
      <c r="A55" s="3" t="s">
        <v>11</v>
      </c>
      <c r="B55" s="3"/>
      <c r="C55" s="3"/>
      <c r="D55" s="3"/>
      <c r="E55" s="3"/>
      <c r="F55" s="3">
        <v>5818.199999999998</v>
      </c>
      <c r="G55" s="3"/>
    </row>
    <row r="56" spans="1:7" hidden="1">
      <c r="A56" s="3" t="s">
        <v>12</v>
      </c>
      <c r="B56" s="3"/>
      <c r="C56" s="3"/>
      <c r="D56" s="3"/>
      <c r="E56" s="3"/>
      <c r="F56" s="3">
        <v>13616.379499999997</v>
      </c>
      <c r="G56" s="3"/>
    </row>
    <row r="57" spans="1:7" hidden="1">
      <c r="A57" s="3" t="s">
        <v>13</v>
      </c>
      <c r="B57" s="3"/>
      <c r="C57" s="3"/>
      <c r="D57" s="3"/>
      <c r="E57" s="3"/>
      <c r="F57" s="3">
        <v>-7798.1794999999993</v>
      </c>
      <c r="G57" s="3"/>
    </row>
    <row r="58" spans="1:7" hidden="1"/>
    <row r="59" spans="1:7" hidden="1">
      <c r="A59" s="1">
        <v>43313</v>
      </c>
    </row>
    <row r="60" spans="1:7" hidden="1">
      <c r="A60" s="2" t="s">
        <v>1</v>
      </c>
      <c r="B60" s="2" t="s">
        <v>2</v>
      </c>
      <c r="C60" s="2" t="s">
        <v>3</v>
      </c>
      <c r="D60" s="2" t="s">
        <v>4</v>
      </c>
      <c r="E60" s="2" t="s">
        <v>14</v>
      </c>
      <c r="F60" s="2" t="s">
        <v>5</v>
      </c>
      <c r="G60" s="2" t="s">
        <v>6</v>
      </c>
    </row>
    <row r="61" spans="1:7" hidden="1">
      <c r="A61" s="3" t="s">
        <v>9</v>
      </c>
      <c r="B61" s="3">
        <v>1992</v>
      </c>
      <c r="C61" s="3">
        <v>2471</v>
      </c>
      <c r="D61" s="3">
        <v>479</v>
      </c>
      <c r="E61" s="3">
        <v>780.89999999999952</v>
      </c>
      <c r="F61" s="3">
        <v>4905.6000000000022</v>
      </c>
      <c r="G61" s="3"/>
    </row>
    <row r="62" spans="1:7" hidden="1">
      <c r="A62" s="3" t="s">
        <v>10</v>
      </c>
      <c r="B62" s="3">
        <v>1004</v>
      </c>
      <c r="C62" s="3">
        <v>2420</v>
      </c>
      <c r="D62" s="3">
        <v>1416</v>
      </c>
      <c r="E62" s="3"/>
      <c r="F62" s="3">
        <v>16294.752499999997</v>
      </c>
      <c r="G62" s="3">
        <v>781.08</v>
      </c>
    </row>
    <row r="63" spans="1:7" hidden="1">
      <c r="A63" s="3" t="s">
        <v>11</v>
      </c>
      <c r="B63" s="3"/>
      <c r="C63" s="3"/>
      <c r="D63" s="3"/>
      <c r="E63" s="3"/>
      <c r="F63" s="3">
        <v>5686.5000000000018</v>
      </c>
      <c r="G63" s="3"/>
    </row>
    <row r="64" spans="1:7" hidden="1">
      <c r="A64" s="3" t="s">
        <v>12</v>
      </c>
      <c r="B64" s="3"/>
      <c r="C64" s="3"/>
      <c r="D64" s="3"/>
      <c r="E64" s="3"/>
      <c r="F64" s="3">
        <v>17075.832499999997</v>
      </c>
      <c r="G64" s="3"/>
    </row>
    <row r="65" spans="1:8" hidden="1">
      <c r="A65" s="3" t="s">
        <v>13</v>
      </c>
      <c r="B65" s="3"/>
      <c r="C65" s="3"/>
      <c r="D65" s="3"/>
      <c r="E65" s="3"/>
      <c r="F65" s="3">
        <v>-11389.332499999995</v>
      </c>
      <c r="G65" s="3"/>
    </row>
    <row r="66" spans="1:8" hidden="1"/>
    <row r="67" spans="1:8" hidden="1">
      <c r="A67" s="1">
        <v>43344</v>
      </c>
    </row>
    <row r="68" spans="1:8" hidden="1">
      <c r="A68" s="2" t="s">
        <v>1</v>
      </c>
      <c r="B68" s="2" t="s">
        <v>2</v>
      </c>
      <c r="C68" s="2" t="s">
        <v>3</v>
      </c>
      <c r="D68" s="2" t="s">
        <v>4</v>
      </c>
      <c r="E68" s="2" t="s">
        <v>14</v>
      </c>
      <c r="F68" s="2" t="s">
        <v>5</v>
      </c>
      <c r="G68" s="2" t="s">
        <v>6</v>
      </c>
    </row>
    <row r="69" spans="1:8" hidden="1">
      <c r="A69" s="3" t="s">
        <v>9</v>
      </c>
      <c r="B69" s="3">
        <v>2420</v>
      </c>
      <c r="C69" s="3">
        <v>2761</v>
      </c>
      <c r="D69" s="3">
        <v>341</v>
      </c>
      <c r="E69" s="3">
        <v>806.9299999999995</v>
      </c>
      <c r="F69" s="3">
        <v>10321.870000000004</v>
      </c>
      <c r="G69" s="3"/>
    </row>
    <row r="70" spans="1:8" hidden="1">
      <c r="A70" s="3" t="s">
        <v>10</v>
      </c>
      <c r="B70" s="3">
        <v>1004</v>
      </c>
      <c r="C70" s="3">
        <v>2420</v>
      </c>
      <c r="D70" s="3">
        <v>1416</v>
      </c>
      <c r="E70" s="3"/>
      <c r="F70" s="3">
        <v>4951.0029999999997</v>
      </c>
      <c r="G70" s="3">
        <v>781.08</v>
      </c>
    </row>
    <row r="71" spans="1:8" hidden="1">
      <c r="A71" s="2" t="s">
        <v>11</v>
      </c>
      <c r="B71" s="2"/>
      <c r="C71" s="2"/>
      <c r="D71" s="2"/>
      <c r="E71" s="2"/>
      <c r="F71" s="2">
        <v>11128.800000000005</v>
      </c>
      <c r="G71" s="2"/>
    </row>
    <row r="72" spans="1:8" hidden="1">
      <c r="A72" s="2" t="s">
        <v>12</v>
      </c>
      <c r="B72" s="2"/>
      <c r="C72" s="2"/>
      <c r="D72" s="2"/>
      <c r="E72" s="2"/>
      <c r="F72" s="2">
        <v>5732.0829999999996</v>
      </c>
      <c r="G72" s="2"/>
    </row>
    <row r="73" spans="1:8" hidden="1">
      <c r="A73" s="2" t="s">
        <v>13</v>
      </c>
      <c r="B73" s="2"/>
      <c r="C73" s="2"/>
      <c r="D73" s="2"/>
      <c r="E73" s="2"/>
      <c r="F73" s="2">
        <v>5396.7170000000051</v>
      </c>
      <c r="G73" s="2"/>
    </row>
    <row r="74" spans="1:8" hidden="1"/>
    <row r="75" spans="1:8" hidden="1">
      <c r="A75" s="1">
        <v>43374</v>
      </c>
    </row>
    <row r="76" spans="1:8" hidden="1">
      <c r="A76" s="2" t="s">
        <v>1</v>
      </c>
      <c r="B76" s="2" t="s">
        <v>2</v>
      </c>
      <c r="C76" s="2" t="s">
        <v>3</v>
      </c>
      <c r="D76" s="2" t="s">
        <v>4</v>
      </c>
      <c r="E76" s="2" t="s">
        <v>14</v>
      </c>
      <c r="F76" s="2" t="s">
        <v>15</v>
      </c>
      <c r="G76" s="2" t="s">
        <v>5</v>
      </c>
      <c r="H76" s="2" t="s">
        <v>6</v>
      </c>
    </row>
    <row r="77" spans="1:8" hidden="1">
      <c r="A77" s="3" t="s">
        <v>9</v>
      </c>
      <c r="B77" s="3">
        <v>3065</v>
      </c>
      <c r="C77" s="3">
        <v>3559</v>
      </c>
      <c r="D77" s="3">
        <v>494</v>
      </c>
      <c r="E77" s="3">
        <v>806.9299999999995</v>
      </c>
      <c r="F77" s="3">
        <v>1355.3200000000006</v>
      </c>
      <c r="G77" s="3">
        <v>3560.2999999999997</v>
      </c>
      <c r="H77" s="3"/>
    </row>
    <row r="78" spans="1:8" hidden="1">
      <c r="A78" s="3" t="s">
        <v>10</v>
      </c>
      <c r="B78" s="3">
        <v>2761</v>
      </c>
      <c r="C78" s="3">
        <v>3422</v>
      </c>
      <c r="D78" s="3">
        <v>661</v>
      </c>
      <c r="E78" s="3"/>
      <c r="F78" s="3"/>
      <c r="G78" s="3">
        <v>9564.7800000000007</v>
      </c>
      <c r="H78" s="3">
        <v>781.08</v>
      </c>
    </row>
    <row r="79" spans="1:8" hidden="1">
      <c r="A79" s="3" t="s">
        <v>11</v>
      </c>
      <c r="B79" s="3"/>
      <c r="C79" s="3"/>
      <c r="D79" s="3"/>
      <c r="E79" s="3"/>
      <c r="F79" s="3"/>
      <c r="G79" s="3">
        <v>5722.5499999999993</v>
      </c>
      <c r="H79" s="3"/>
    </row>
    <row r="80" spans="1:8" hidden="1">
      <c r="A80" s="3" t="s">
        <v>12</v>
      </c>
      <c r="B80" s="3"/>
      <c r="C80" s="3"/>
      <c r="D80" s="3"/>
      <c r="E80" s="3"/>
      <c r="F80" s="3"/>
      <c r="G80" s="3">
        <v>10345.86</v>
      </c>
      <c r="H80" s="3"/>
    </row>
    <row r="81" spans="1:8" hidden="1">
      <c r="A81" s="3" t="s">
        <v>13</v>
      </c>
      <c r="B81" s="3"/>
      <c r="C81" s="3"/>
      <c r="D81" s="3"/>
      <c r="E81" s="3"/>
      <c r="F81" s="3"/>
      <c r="G81" s="3">
        <v>-4623.3100000000013</v>
      </c>
      <c r="H81" s="3"/>
    </row>
    <row r="82" spans="1:8" hidden="1"/>
    <row r="83" spans="1:8" hidden="1">
      <c r="A83" s="1">
        <v>43405</v>
      </c>
    </row>
    <row r="84" spans="1:8" hidden="1">
      <c r="A84" s="2" t="s">
        <v>1</v>
      </c>
      <c r="B84" s="2" t="s">
        <v>2</v>
      </c>
      <c r="C84" s="2" t="s">
        <v>3</v>
      </c>
      <c r="D84" s="2" t="s">
        <v>4</v>
      </c>
      <c r="E84" s="2" t="s">
        <v>15</v>
      </c>
      <c r="F84" s="2" t="s">
        <v>5</v>
      </c>
      <c r="G84" s="2" t="s">
        <v>6</v>
      </c>
    </row>
    <row r="85" spans="1:8" hidden="1">
      <c r="A85" s="3" t="s">
        <v>9</v>
      </c>
      <c r="B85" s="3">
        <v>3559</v>
      </c>
      <c r="C85" s="3">
        <v>3947</v>
      </c>
      <c r="D85" s="3">
        <v>388</v>
      </c>
      <c r="E85" s="3">
        <v>1296.0700000000006</v>
      </c>
      <c r="F85" s="3">
        <v>5119.28</v>
      </c>
      <c r="G85" s="3"/>
    </row>
    <row r="86" spans="1:8" hidden="1">
      <c r="A86" s="3" t="s">
        <v>10</v>
      </c>
      <c r="B86" s="3">
        <v>3422</v>
      </c>
      <c r="C86" s="3">
        <v>3923</v>
      </c>
      <c r="D86" s="3">
        <v>501</v>
      </c>
      <c r="E86" s="3"/>
      <c r="F86" s="3">
        <v>6057.2684999999992</v>
      </c>
      <c r="G86" s="3">
        <v>781.08</v>
      </c>
    </row>
    <row r="87" spans="1:8" hidden="1">
      <c r="A87" s="3" t="s">
        <v>11</v>
      </c>
      <c r="B87" s="3"/>
      <c r="C87" s="3"/>
      <c r="D87" s="3"/>
      <c r="E87" s="3"/>
      <c r="F87" s="3">
        <v>6415.35</v>
      </c>
      <c r="G87" s="3"/>
    </row>
    <row r="88" spans="1:8" hidden="1">
      <c r="A88" s="3" t="s">
        <v>12</v>
      </c>
      <c r="B88" s="3"/>
      <c r="C88" s="3"/>
      <c r="D88" s="3"/>
      <c r="E88" s="3"/>
      <c r="F88" s="3">
        <v>6838.3484999999991</v>
      </c>
      <c r="G88" s="3"/>
    </row>
    <row r="89" spans="1:8" hidden="1">
      <c r="A89" s="3" t="s">
        <v>13</v>
      </c>
      <c r="B89" s="3"/>
      <c r="C89" s="3"/>
      <c r="D89" s="3"/>
      <c r="E89" s="3"/>
      <c r="F89" s="3">
        <v>-422.99849999999878</v>
      </c>
      <c r="G89" s="3"/>
    </row>
    <row r="90" spans="1:8" hidden="1"/>
    <row r="91" spans="1:8" hidden="1">
      <c r="A91" s="1">
        <v>43435</v>
      </c>
    </row>
    <row r="92" spans="1:8" hidden="1">
      <c r="A92" s="2" t="s">
        <v>1</v>
      </c>
      <c r="B92" s="2" t="s">
        <v>2</v>
      </c>
      <c r="C92" s="2" t="s">
        <v>3</v>
      </c>
      <c r="D92" s="2" t="s">
        <v>4</v>
      </c>
      <c r="E92" s="2" t="s">
        <v>15</v>
      </c>
      <c r="F92" s="2" t="s">
        <v>14</v>
      </c>
      <c r="G92" s="2" t="s">
        <v>5</v>
      </c>
      <c r="H92" s="2" t="s">
        <v>6</v>
      </c>
    </row>
    <row r="93" spans="1:8" hidden="1">
      <c r="A93" s="3" t="s">
        <v>9</v>
      </c>
      <c r="B93" s="3">
        <v>3947</v>
      </c>
      <c r="C93" s="3">
        <v>4553</v>
      </c>
      <c r="D93" s="3">
        <v>606</v>
      </c>
      <c r="E93" s="3">
        <v>1004.1000000000006</v>
      </c>
      <c r="F93" s="3">
        <v>781.19999999999982</v>
      </c>
      <c r="G93" s="3">
        <v>4788.45</v>
      </c>
      <c r="H93" s="3"/>
    </row>
    <row r="94" spans="1:8" hidden="1">
      <c r="A94" s="3" t="s">
        <v>10</v>
      </c>
      <c r="B94" s="3">
        <v>3923</v>
      </c>
      <c r="C94" s="3">
        <v>4197</v>
      </c>
      <c r="D94" s="3">
        <v>274</v>
      </c>
      <c r="E94" s="3"/>
      <c r="F94" s="3"/>
      <c r="G94" s="3">
        <v>3249.3709999999996</v>
      </c>
      <c r="H94" s="3">
        <v>781.08</v>
      </c>
    </row>
    <row r="95" spans="1:8" hidden="1">
      <c r="A95" s="3" t="s">
        <v>11</v>
      </c>
      <c r="B95" s="3"/>
      <c r="C95" s="3"/>
      <c r="D95" s="3"/>
      <c r="E95" s="3"/>
      <c r="F95" s="3"/>
      <c r="G95" s="3">
        <v>6573.75</v>
      </c>
      <c r="H95" s="3"/>
    </row>
    <row r="96" spans="1:8" hidden="1">
      <c r="A96" s="3" t="s">
        <v>12</v>
      </c>
      <c r="B96" s="3"/>
      <c r="C96" s="3"/>
      <c r="D96" s="3"/>
      <c r="E96" s="3"/>
      <c r="F96" s="3"/>
      <c r="G96" s="3">
        <v>4030.4509999999996</v>
      </c>
      <c r="H96" s="3"/>
    </row>
    <row r="97" spans="1:13" hidden="1">
      <c r="A97" s="3" t="s">
        <v>13</v>
      </c>
      <c r="B97" s="3"/>
      <c r="C97" s="3"/>
      <c r="D97" s="3"/>
      <c r="E97" s="3"/>
      <c r="F97" s="3"/>
      <c r="G97" s="3">
        <v>2543.2990000000004</v>
      </c>
      <c r="H97" s="3"/>
    </row>
    <row r="99" spans="1:13">
      <c r="A99" s="16">
        <v>43466</v>
      </c>
    </row>
    <row r="100" spans="1:13" hidden="1">
      <c r="A100" s="2" t="s">
        <v>1</v>
      </c>
      <c r="B100" s="2" t="s">
        <v>2</v>
      </c>
      <c r="C100" s="2" t="s">
        <v>3</v>
      </c>
      <c r="D100" s="2" t="s">
        <v>4</v>
      </c>
      <c r="E100" s="2" t="s">
        <v>15</v>
      </c>
      <c r="F100" s="2" t="s">
        <v>14</v>
      </c>
      <c r="G100" s="2" t="s">
        <v>5</v>
      </c>
      <c r="H100" s="2" t="s">
        <v>6</v>
      </c>
      <c r="I100" s="2" t="s">
        <v>16</v>
      </c>
      <c r="J100" s="2" t="s">
        <v>17</v>
      </c>
      <c r="K100" s="2" t="s">
        <v>18</v>
      </c>
      <c r="L100" s="2" t="s">
        <v>19</v>
      </c>
      <c r="M100" s="2" t="s">
        <v>20</v>
      </c>
    </row>
    <row r="101" spans="1:13" hidden="1">
      <c r="A101" s="3" t="s">
        <v>9</v>
      </c>
      <c r="B101" s="3">
        <v>4553</v>
      </c>
      <c r="C101" s="3">
        <v>4730</v>
      </c>
      <c r="D101" s="3">
        <v>177</v>
      </c>
      <c r="E101" s="3">
        <v>162.00000000000009</v>
      </c>
      <c r="F101" s="3">
        <v>781.19999999999982</v>
      </c>
      <c r="G101" s="6">
        <v>1590.1399999999994</v>
      </c>
      <c r="H101" s="6"/>
      <c r="I101" s="3" t="s">
        <v>21</v>
      </c>
      <c r="J101" s="3" t="s">
        <v>22</v>
      </c>
      <c r="K101" s="3">
        <v>14</v>
      </c>
      <c r="L101" s="3">
        <f>D101/K101</f>
        <v>12.642857142857142</v>
      </c>
      <c r="M101" s="6">
        <f>G103/E101</f>
        <v>15.637901234567888</v>
      </c>
    </row>
    <row r="102" spans="1:13" hidden="1">
      <c r="A102" s="3" t="s">
        <v>10</v>
      </c>
      <c r="B102" s="3">
        <v>4197</v>
      </c>
      <c r="C102" s="3">
        <v>4781</v>
      </c>
      <c r="D102" s="3">
        <v>584</v>
      </c>
      <c r="E102" s="3"/>
      <c r="F102" s="3"/>
      <c r="G102" s="6">
        <v>6972.012999999999</v>
      </c>
      <c r="H102" s="6">
        <v>781.08</v>
      </c>
      <c r="I102" s="3" t="s">
        <v>21</v>
      </c>
      <c r="J102" s="3" t="s">
        <v>23</v>
      </c>
      <c r="K102" s="3">
        <v>42</v>
      </c>
      <c r="L102" s="3">
        <v>13</v>
      </c>
      <c r="M102" s="6">
        <f>G104/D102</f>
        <v>13.27584417808219</v>
      </c>
    </row>
    <row r="103" spans="1:13" hidden="1">
      <c r="A103" s="3" t="s">
        <v>11</v>
      </c>
      <c r="B103" s="3"/>
      <c r="C103" s="3"/>
      <c r="D103" s="3"/>
      <c r="E103" s="3"/>
      <c r="F103" s="3"/>
      <c r="G103" s="6">
        <v>2533.3399999999992</v>
      </c>
      <c r="H103" s="6"/>
      <c r="I103" s="3"/>
      <c r="J103" s="3"/>
      <c r="K103" s="3"/>
      <c r="L103" s="3"/>
      <c r="M103" s="3"/>
    </row>
    <row r="104" spans="1:13" hidden="1">
      <c r="A104" s="3" t="s">
        <v>12</v>
      </c>
      <c r="B104" s="3"/>
      <c r="C104" s="3"/>
      <c r="D104" s="3"/>
      <c r="E104" s="3"/>
      <c r="F104" s="3"/>
      <c r="G104" s="6">
        <v>7753.0929999999989</v>
      </c>
      <c r="H104" s="6"/>
      <c r="I104" s="3"/>
      <c r="J104" s="3"/>
      <c r="K104" s="3"/>
      <c r="L104" s="3"/>
      <c r="M104" s="3"/>
    </row>
    <row r="105" spans="1:13" hidden="1">
      <c r="A105" s="3" t="s">
        <v>13</v>
      </c>
      <c r="B105" s="3"/>
      <c r="C105" s="3"/>
      <c r="D105" s="3"/>
      <c r="E105" s="3"/>
      <c r="F105" s="3"/>
      <c r="G105" s="6">
        <v>-5219.7529999999997</v>
      </c>
      <c r="H105" s="6"/>
      <c r="I105" s="3"/>
      <c r="J105" s="3"/>
      <c r="K105" s="3"/>
      <c r="L105" s="3"/>
      <c r="M105" s="3"/>
    </row>
    <row r="106" spans="1:13" hidden="1"/>
    <row r="107" spans="1:13" hidden="1">
      <c r="A107" s="1">
        <v>43497</v>
      </c>
    </row>
    <row r="108" spans="1:13" hidden="1">
      <c r="A108" s="2" t="s">
        <v>1</v>
      </c>
      <c r="B108" s="2" t="s">
        <v>2</v>
      </c>
      <c r="C108" s="2" t="s">
        <v>3</v>
      </c>
      <c r="D108" s="2" t="s">
        <v>4</v>
      </c>
      <c r="E108" s="2" t="s">
        <v>15</v>
      </c>
      <c r="F108" s="2" t="s">
        <v>14</v>
      </c>
      <c r="G108" s="2" t="s">
        <v>5</v>
      </c>
      <c r="H108" s="2" t="s">
        <v>6</v>
      </c>
      <c r="I108" s="2" t="s">
        <v>16</v>
      </c>
      <c r="J108" s="2" t="s">
        <v>17</v>
      </c>
      <c r="K108" s="2" t="s">
        <v>18</v>
      </c>
      <c r="L108" s="2" t="s">
        <v>19</v>
      </c>
      <c r="M108" s="2" t="s">
        <v>20</v>
      </c>
    </row>
    <row r="109" spans="1:13" hidden="1">
      <c r="A109" s="3" t="s">
        <v>9</v>
      </c>
      <c r="B109" s="3">
        <v>4730</v>
      </c>
      <c r="C109" s="3">
        <v>5143</v>
      </c>
      <c r="D109" s="3">
        <v>413</v>
      </c>
      <c r="E109" s="3">
        <v>500.7</v>
      </c>
      <c r="F109" s="3">
        <v>781.19999999999982</v>
      </c>
      <c r="G109" s="6">
        <v>5058.3499999999995</v>
      </c>
      <c r="H109" s="6"/>
      <c r="I109" s="3" t="s">
        <v>21</v>
      </c>
      <c r="J109" s="3" t="s">
        <v>24</v>
      </c>
      <c r="K109" s="3">
        <v>34</v>
      </c>
      <c r="L109" s="3">
        <f>D109/K109</f>
        <v>12.147058823529411</v>
      </c>
      <c r="M109" s="6">
        <f>G111/D109</f>
        <v>15.351694915254235</v>
      </c>
    </row>
    <row r="110" spans="1:13" hidden="1">
      <c r="A110" s="3" t="s">
        <v>10</v>
      </c>
      <c r="B110" s="3">
        <v>4781</v>
      </c>
      <c r="C110" s="3">
        <v>5085</v>
      </c>
      <c r="D110" s="3">
        <v>304</v>
      </c>
      <c r="E110" s="3"/>
      <c r="F110" s="3"/>
      <c r="G110" s="6">
        <v>3323.7299999999996</v>
      </c>
      <c r="H110" s="6">
        <v>781.08</v>
      </c>
      <c r="I110" s="3" t="s">
        <v>21</v>
      </c>
      <c r="J110" s="3" t="s">
        <v>25</v>
      </c>
      <c r="K110" s="3">
        <v>26</v>
      </c>
      <c r="L110" s="3">
        <v>11</v>
      </c>
      <c r="M110" s="6">
        <f>G112/D110</f>
        <v>13.502664473684209</v>
      </c>
    </row>
    <row r="111" spans="1:13" hidden="1">
      <c r="A111" s="3" t="s">
        <v>11</v>
      </c>
      <c r="B111" s="3"/>
      <c r="C111" s="3"/>
      <c r="D111" s="3"/>
      <c r="E111" s="3"/>
      <c r="F111" s="3"/>
      <c r="G111" s="6">
        <v>6340.2499999999991</v>
      </c>
      <c r="H111" s="6"/>
      <c r="I111" s="3"/>
      <c r="J111" s="3"/>
      <c r="K111" s="3"/>
      <c r="L111" s="3"/>
      <c r="M111" s="3"/>
    </row>
    <row r="112" spans="1:13" hidden="1">
      <c r="A112" s="3" t="s">
        <v>12</v>
      </c>
      <c r="B112" s="3"/>
      <c r="C112" s="3"/>
      <c r="D112" s="3"/>
      <c r="E112" s="3"/>
      <c r="F112" s="3"/>
      <c r="G112" s="6">
        <v>4104.8099999999995</v>
      </c>
      <c r="H112" s="6"/>
      <c r="I112" s="3"/>
      <c r="J112" s="3"/>
      <c r="K112" s="3"/>
      <c r="L112" s="3"/>
      <c r="M112" s="3"/>
    </row>
    <row r="113" spans="1:13" hidden="1">
      <c r="A113" s="3" t="s">
        <v>13</v>
      </c>
      <c r="B113" s="3"/>
      <c r="C113" s="3"/>
      <c r="D113" s="3"/>
      <c r="E113" s="3"/>
      <c r="F113" s="3"/>
      <c r="G113" s="6">
        <v>2235.4399999999996</v>
      </c>
      <c r="H113" s="6"/>
      <c r="I113" s="3"/>
      <c r="J113" s="3"/>
      <c r="K113" s="3"/>
      <c r="L113" s="3"/>
      <c r="M113" s="3"/>
    </row>
    <row r="114" spans="1:13" hidden="1"/>
    <row r="115" spans="1:13" hidden="1">
      <c r="A115" s="1">
        <v>43525</v>
      </c>
    </row>
    <row r="116" spans="1:13" hidden="1">
      <c r="A116" s="2" t="s">
        <v>1</v>
      </c>
      <c r="B116" s="2" t="s">
        <v>2</v>
      </c>
      <c r="C116" s="2" t="s">
        <v>3</v>
      </c>
      <c r="D116" s="2" t="s">
        <v>4</v>
      </c>
      <c r="E116" s="2" t="s">
        <v>15</v>
      </c>
      <c r="F116" s="2" t="s">
        <v>14</v>
      </c>
      <c r="G116" s="2" t="s">
        <v>5</v>
      </c>
      <c r="H116" s="2" t="s">
        <v>6</v>
      </c>
      <c r="I116" s="2" t="s">
        <v>16</v>
      </c>
      <c r="J116" s="2" t="s">
        <v>17</v>
      </c>
      <c r="K116" s="2" t="s">
        <v>18</v>
      </c>
      <c r="L116" s="2" t="s">
        <v>19</v>
      </c>
      <c r="M116" s="2" t="s">
        <v>20</v>
      </c>
    </row>
    <row r="117" spans="1:13" hidden="1">
      <c r="A117" s="3" t="s">
        <v>9</v>
      </c>
      <c r="B117" s="3">
        <v>5143</v>
      </c>
      <c r="C117" s="3">
        <v>5486</v>
      </c>
      <c r="D117" s="3">
        <v>343</v>
      </c>
      <c r="E117" s="3">
        <v>500.7</v>
      </c>
      <c r="F117" s="3">
        <v>781.19999999999982</v>
      </c>
      <c r="G117" s="6">
        <v>4208.9800000000005</v>
      </c>
      <c r="H117" s="6"/>
      <c r="I117" s="3" t="s">
        <v>21</v>
      </c>
      <c r="J117" s="3" t="s">
        <v>26</v>
      </c>
      <c r="K117" s="3">
        <v>31</v>
      </c>
      <c r="L117" s="3">
        <f>D117/K117</f>
        <v>11.064516129032258</v>
      </c>
      <c r="M117" s="6">
        <f>G119/D117</f>
        <v>16.008396501457725</v>
      </c>
    </row>
    <row r="118" spans="1:13" hidden="1">
      <c r="A118" s="3" t="s">
        <v>10</v>
      </c>
      <c r="B118" s="3">
        <v>5085</v>
      </c>
      <c r="C118" s="3">
        <v>5454</v>
      </c>
      <c r="D118" s="3">
        <v>369</v>
      </c>
      <c r="E118" s="3"/>
      <c r="F118" s="3"/>
      <c r="G118" s="6">
        <v>4149.5450000000001</v>
      </c>
      <c r="H118" s="6">
        <v>781.08</v>
      </c>
      <c r="I118" s="3" t="s">
        <v>21</v>
      </c>
      <c r="J118" s="3" t="s">
        <v>27</v>
      </c>
      <c r="K118" s="3">
        <v>30</v>
      </c>
      <c r="L118" s="3">
        <v>12</v>
      </c>
      <c r="M118" s="6">
        <f>G120/D118</f>
        <v>13.362127371273713</v>
      </c>
    </row>
    <row r="119" spans="1:13" hidden="1">
      <c r="A119" s="3" t="s">
        <v>11</v>
      </c>
      <c r="B119" s="3"/>
      <c r="C119" s="3"/>
      <c r="D119" s="3"/>
      <c r="E119" s="3"/>
      <c r="F119" s="3"/>
      <c r="G119" s="6">
        <v>5490.88</v>
      </c>
      <c r="H119" s="6"/>
      <c r="I119" s="3"/>
      <c r="J119" s="3"/>
      <c r="K119" s="3"/>
      <c r="L119" s="3"/>
      <c r="M119" s="3"/>
    </row>
    <row r="120" spans="1:13" hidden="1">
      <c r="A120" s="3" t="s">
        <v>12</v>
      </c>
      <c r="B120" s="3"/>
      <c r="C120" s="3"/>
      <c r="D120" s="3"/>
      <c r="E120" s="3"/>
      <c r="F120" s="3"/>
      <c r="G120" s="6">
        <v>4930.625</v>
      </c>
      <c r="H120" s="6"/>
      <c r="I120" s="3"/>
      <c r="J120" s="3"/>
      <c r="K120" s="3"/>
      <c r="L120" s="3"/>
      <c r="M120" s="3"/>
    </row>
    <row r="121" spans="1:13" hidden="1">
      <c r="A121" s="3" t="s">
        <v>13</v>
      </c>
      <c r="B121" s="3"/>
      <c r="C121" s="3"/>
      <c r="D121" s="3"/>
      <c r="E121" s="3"/>
      <c r="F121" s="3"/>
      <c r="G121" s="6">
        <v>560.25500000000011</v>
      </c>
      <c r="H121" s="6"/>
      <c r="I121" s="3"/>
      <c r="J121" s="3"/>
      <c r="K121" s="3"/>
      <c r="L121" s="3"/>
      <c r="M121" s="3"/>
    </row>
    <row r="122" spans="1:13" hidden="1"/>
    <row r="123" spans="1:13" hidden="1">
      <c r="A123" s="1">
        <v>43556</v>
      </c>
    </row>
    <row r="124" spans="1:13" hidden="1">
      <c r="A124" s="2" t="s">
        <v>1</v>
      </c>
      <c r="B124" s="2" t="s">
        <v>2</v>
      </c>
      <c r="C124" s="2" t="s">
        <v>3</v>
      </c>
      <c r="D124" s="2" t="s">
        <v>4</v>
      </c>
      <c r="E124" s="2" t="s">
        <v>15</v>
      </c>
      <c r="F124" s="2" t="s">
        <v>14</v>
      </c>
      <c r="G124" s="2" t="s">
        <v>5</v>
      </c>
      <c r="H124" s="2" t="s">
        <v>6</v>
      </c>
      <c r="I124" s="2" t="s">
        <v>16</v>
      </c>
      <c r="J124" s="2" t="s">
        <v>17</v>
      </c>
      <c r="K124" s="2" t="s">
        <v>18</v>
      </c>
      <c r="L124" s="2" t="s">
        <v>19</v>
      </c>
      <c r="M124" s="2" t="s">
        <v>20</v>
      </c>
    </row>
    <row r="125" spans="1:13" hidden="1">
      <c r="A125" s="3" t="s">
        <v>9</v>
      </c>
      <c r="B125" s="3">
        <v>5486</v>
      </c>
      <c r="C125" s="3">
        <v>5869</v>
      </c>
      <c r="D125" s="3">
        <v>383</v>
      </c>
      <c r="E125" s="3">
        <v>630</v>
      </c>
      <c r="F125" s="3">
        <v>0</v>
      </c>
      <c r="G125" s="6">
        <v>4379.5943040000011</v>
      </c>
      <c r="H125" s="6"/>
      <c r="I125" s="3" t="s">
        <v>21</v>
      </c>
      <c r="J125" s="3" t="s">
        <v>28</v>
      </c>
      <c r="K125" s="3">
        <v>32</v>
      </c>
      <c r="L125" s="3">
        <f>D125/K125</f>
        <v>11.96875</v>
      </c>
      <c r="M125" s="6">
        <f>G127/D125</f>
        <v>13.079880689295042</v>
      </c>
    </row>
    <row r="126" spans="1:13" hidden="1">
      <c r="A126" s="3" t="s">
        <v>10</v>
      </c>
      <c r="B126" s="3">
        <v>5454</v>
      </c>
      <c r="C126" s="3">
        <v>5749</v>
      </c>
      <c r="D126" s="3">
        <v>295</v>
      </c>
      <c r="E126" s="3"/>
      <c r="F126" s="3"/>
      <c r="G126" s="6">
        <v>3094.627</v>
      </c>
      <c r="H126" s="6">
        <v>781.08</v>
      </c>
      <c r="I126" s="3" t="s">
        <v>21</v>
      </c>
      <c r="J126" s="3" t="s">
        <v>29</v>
      </c>
      <c r="K126" s="3">
        <v>27</v>
      </c>
      <c r="L126" s="3">
        <v>10</v>
      </c>
      <c r="M126" s="6">
        <f>G128/D126</f>
        <v>13.137989830508474</v>
      </c>
    </row>
    <row r="127" spans="1:13" hidden="1">
      <c r="A127" s="2" t="s">
        <v>11</v>
      </c>
      <c r="B127" s="2"/>
      <c r="C127" s="3"/>
      <c r="D127" s="3"/>
      <c r="E127" s="3"/>
      <c r="F127" s="3"/>
      <c r="G127" s="6">
        <v>5009.5943040000011</v>
      </c>
      <c r="H127" s="6"/>
      <c r="I127" s="3"/>
      <c r="J127" s="3"/>
      <c r="K127" s="3"/>
      <c r="L127" s="3"/>
      <c r="M127" s="3"/>
    </row>
    <row r="128" spans="1:13" hidden="1">
      <c r="A128" s="2" t="s">
        <v>12</v>
      </c>
      <c r="B128" s="4"/>
      <c r="C128" s="4"/>
      <c r="D128" s="2"/>
      <c r="E128" s="2"/>
      <c r="F128" s="2"/>
      <c r="G128" s="7">
        <v>3875.7069999999999</v>
      </c>
      <c r="H128" s="7"/>
      <c r="I128" s="3"/>
      <c r="J128" s="3"/>
      <c r="K128" s="3"/>
      <c r="L128" s="3"/>
      <c r="M128" s="3"/>
    </row>
    <row r="129" spans="1:13" hidden="1">
      <c r="A129" s="2" t="s">
        <v>13</v>
      </c>
      <c r="B129" s="2"/>
      <c r="C129" s="2"/>
      <c r="D129" s="2"/>
      <c r="E129" s="2"/>
      <c r="F129" s="2"/>
      <c r="G129" s="7">
        <v>1133.8873040000012</v>
      </c>
      <c r="H129" s="7"/>
      <c r="I129" s="3"/>
      <c r="J129" s="3"/>
      <c r="K129" s="3"/>
      <c r="L129" s="3"/>
      <c r="M129" s="3"/>
    </row>
    <row r="130" spans="1:13" hidden="1"/>
    <row r="131" spans="1:13" hidden="1">
      <c r="A131" s="1">
        <v>43586</v>
      </c>
    </row>
    <row r="132" spans="1:13" hidden="1">
      <c r="A132" s="2" t="s">
        <v>1</v>
      </c>
      <c r="B132" s="2" t="s">
        <v>2</v>
      </c>
      <c r="C132" s="2" t="s">
        <v>3</v>
      </c>
      <c r="D132" s="2" t="s">
        <v>4</v>
      </c>
      <c r="E132" s="2" t="s">
        <v>15</v>
      </c>
      <c r="F132" s="2" t="s">
        <v>14</v>
      </c>
      <c r="G132" s="2" t="s">
        <v>5</v>
      </c>
      <c r="H132" s="2" t="s">
        <v>6</v>
      </c>
      <c r="I132" s="2" t="s">
        <v>16</v>
      </c>
      <c r="J132" s="2" t="s">
        <v>17</v>
      </c>
      <c r="K132" s="2" t="s">
        <v>18</v>
      </c>
      <c r="L132" s="2" t="s">
        <v>19</v>
      </c>
      <c r="M132" s="2" t="s">
        <v>20</v>
      </c>
    </row>
    <row r="133" spans="1:13" hidden="1">
      <c r="A133" s="3" t="s">
        <v>9</v>
      </c>
      <c r="B133" s="3">
        <v>5869</v>
      </c>
      <c r="C133" s="3">
        <v>6211</v>
      </c>
      <c r="D133" s="3">
        <f>C133-B133</f>
        <v>342</v>
      </c>
      <c r="E133" s="3"/>
      <c r="F133" s="3"/>
      <c r="G133" s="6">
        <v>4287.84</v>
      </c>
      <c r="H133" s="6"/>
      <c r="I133" s="3" t="s">
        <v>21</v>
      </c>
      <c r="J133" s="3" t="s">
        <v>30</v>
      </c>
      <c r="K133" s="3">
        <v>28</v>
      </c>
      <c r="L133" s="3">
        <f>D133/K133</f>
        <v>12.214285714285714</v>
      </c>
      <c r="M133" s="6">
        <f>G135/D133</f>
        <v>12.537543859649123</v>
      </c>
    </row>
    <row r="134" spans="1:13" hidden="1">
      <c r="A134" s="3" t="s">
        <v>10</v>
      </c>
      <c r="B134" s="3">
        <v>5749</v>
      </c>
      <c r="C134" s="3">
        <v>6062</v>
      </c>
      <c r="D134" s="3">
        <v>313</v>
      </c>
      <c r="E134" s="3"/>
      <c r="F134" s="3"/>
      <c r="G134" s="6">
        <f>2960.98*1.15</f>
        <v>3405.127</v>
      </c>
      <c r="H134" s="6">
        <f>679.2*1.15</f>
        <v>781.08</v>
      </c>
      <c r="I134" s="3" t="s">
        <v>21</v>
      </c>
      <c r="J134" s="3" t="s">
        <v>31</v>
      </c>
      <c r="K134" s="3">
        <v>27</v>
      </c>
      <c r="L134" s="3">
        <v>11</v>
      </c>
      <c r="M134" s="6">
        <f>G136/D134</f>
        <v>13.374463258785944</v>
      </c>
    </row>
    <row r="135" spans="1:13" hidden="1">
      <c r="A135" s="2" t="s">
        <v>11</v>
      </c>
      <c r="B135" s="2"/>
      <c r="C135" s="3"/>
      <c r="D135" s="3"/>
      <c r="E135" s="3"/>
      <c r="F135" s="3"/>
      <c r="G135" s="6">
        <f>G133</f>
        <v>4287.84</v>
      </c>
      <c r="H135" s="6"/>
      <c r="I135" s="3"/>
      <c r="J135" s="3"/>
      <c r="K135" s="3"/>
      <c r="L135" s="3"/>
      <c r="M135" s="3"/>
    </row>
    <row r="136" spans="1:13" hidden="1">
      <c r="A136" s="2" t="s">
        <v>12</v>
      </c>
      <c r="B136" s="4"/>
      <c r="C136" s="4"/>
      <c r="D136" s="2"/>
      <c r="E136" s="2"/>
      <c r="F136" s="2"/>
      <c r="G136" s="7">
        <f>G134+H134</f>
        <v>4186.2070000000003</v>
      </c>
      <c r="H136" s="7"/>
      <c r="I136" s="3"/>
      <c r="J136" s="3"/>
      <c r="K136" s="3"/>
      <c r="L136" s="3"/>
      <c r="M136" s="3"/>
    </row>
    <row r="137" spans="1:13" hidden="1">
      <c r="A137" s="2" t="s">
        <v>13</v>
      </c>
      <c r="B137" s="2"/>
      <c r="C137" s="2"/>
      <c r="D137" s="2"/>
      <c r="E137" s="2"/>
      <c r="F137" s="2"/>
      <c r="G137" s="7">
        <f>G135-G136</f>
        <v>101.63299999999981</v>
      </c>
      <c r="H137" s="7"/>
      <c r="I137" s="3"/>
      <c r="J137" s="3"/>
      <c r="K137" s="3"/>
      <c r="L137" s="3"/>
      <c r="M137" s="3"/>
    </row>
    <row r="138" spans="1:13" hidden="1"/>
    <row r="139" spans="1:13" hidden="1">
      <c r="A139" s="1">
        <v>43617</v>
      </c>
    </row>
    <row r="140" spans="1:13" hidden="1">
      <c r="A140" s="2" t="s">
        <v>1</v>
      </c>
      <c r="B140" s="2" t="s">
        <v>2</v>
      </c>
      <c r="C140" s="2" t="s">
        <v>3</v>
      </c>
      <c r="D140" s="2" t="s">
        <v>4</v>
      </c>
      <c r="E140" s="2" t="s">
        <v>15</v>
      </c>
      <c r="F140" s="2" t="s">
        <v>14</v>
      </c>
      <c r="G140" s="2" t="s">
        <v>5</v>
      </c>
      <c r="H140" s="2" t="s">
        <v>6</v>
      </c>
      <c r="I140" s="2" t="s">
        <v>16</v>
      </c>
      <c r="J140" s="2" t="s">
        <v>17</v>
      </c>
      <c r="K140" s="2" t="s">
        <v>18</v>
      </c>
      <c r="L140" s="2" t="s">
        <v>19</v>
      </c>
      <c r="M140" s="2" t="s">
        <v>20</v>
      </c>
    </row>
    <row r="141" spans="1:13" hidden="1">
      <c r="A141" s="3" t="s">
        <v>9</v>
      </c>
      <c r="B141" s="3">
        <v>6211</v>
      </c>
      <c r="C141" s="3">
        <v>6554</v>
      </c>
      <c r="D141" s="3">
        <f>C141-B141</f>
        <v>343</v>
      </c>
      <c r="E141" s="3"/>
      <c r="F141" s="3"/>
      <c r="G141" s="6">
        <v>4368.1099999999997</v>
      </c>
      <c r="H141" s="6"/>
      <c r="I141" s="3" t="s">
        <v>21</v>
      </c>
      <c r="J141" s="3" t="s">
        <v>32</v>
      </c>
      <c r="K141" s="3">
        <v>28</v>
      </c>
      <c r="L141" s="3">
        <f>D141/K141</f>
        <v>12.25</v>
      </c>
      <c r="M141" s="6">
        <f>G143/D141</f>
        <v>12.735014577259474</v>
      </c>
    </row>
    <row r="142" spans="1:13" hidden="1">
      <c r="A142" s="3" t="s">
        <v>10</v>
      </c>
      <c r="B142" s="3">
        <v>6062</v>
      </c>
      <c r="C142" s="3">
        <v>6534</v>
      </c>
      <c r="D142" s="3">
        <v>472</v>
      </c>
      <c r="E142" s="3"/>
      <c r="F142" s="3"/>
      <c r="G142" s="6">
        <f>4639.51*1.15</f>
        <v>5335.4364999999998</v>
      </c>
      <c r="H142" s="6">
        <f>746.4*1.15</f>
        <v>858.3599999999999</v>
      </c>
      <c r="I142" s="3" t="s">
        <v>21</v>
      </c>
      <c r="J142" s="3" t="s">
        <v>33</v>
      </c>
      <c r="K142" s="3">
        <v>38</v>
      </c>
      <c r="L142" s="3">
        <v>12</v>
      </c>
      <c r="M142" s="6">
        <f>G144/D142</f>
        <v>13.122450211864406</v>
      </c>
    </row>
    <row r="143" spans="1:13" hidden="1">
      <c r="A143" s="2" t="s">
        <v>11</v>
      </c>
      <c r="B143" s="2"/>
      <c r="C143" s="3"/>
      <c r="D143" s="3"/>
      <c r="E143" s="3"/>
      <c r="F143" s="3"/>
      <c r="G143" s="6">
        <f>G141</f>
        <v>4368.1099999999997</v>
      </c>
      <c r="H143" s="6"/>
      <c r="I143" s="3"/>
      <c r="J143" s="3"/>
      <c r="K143" s="3"/>
      <c r="L143" s="3"/>
      <c r="M143" s="3"/>
    </row>
    <row r="144" spans="1:13" hidden="1">
      <c r="A144" s="2" t="s">
        <v>12</v>
      </c>
      <c r="B144" s="4"/>
      <c r="C144" s="4"/>
      <c r="D144" s="2"/>
      <c r="E144" s="2"/>
      <c r="F144" s="2"/>
      <c r="G144" s="7">
        <f>G142+H142</f>
        <v>6193.7964999999995</v>
      </c>
      <c r="H144" s="7"/>
      <c r="I144" s="3"/>
      <c r="J144" s="3"/>
      <c r="K144" s="3"/>
      <c r="L144" s="3"/>
      <c r="M144" s="3"/>
    </row>
    <row r="145" spans="1:13" hidden="1">
      <c r="A145" s="2" t="s">
        <v>13</v>
      </c>
      <c r="B145" s="2"/>
      <c r="C145" s="2"/>
      <c r="D145" s="2"/>
      <c r="E145" s="2"/>
      <c r="F145" s="2"/>
      <c r="G145" s="7">
        <f>G143-G144</f>
        <v>-1825.6864999999998</v>
      </c>
      <c r="H145" s="7"/>
      <c r="I145" s="3"/>
      <c r="J145" s="3"/>
      <c r="K145" s="3"/>
      <c r="L145" s="3"/>
      <c r="M145" s="3"/>
    </row>
    <row r="146" spans="1:13" hidden="1"/>
    <row r="147" spans="1:13" hidden="1">
      <c r="A147" s="1">
        <v>43647</v>
      </c>
    </row>
    <row r="148" spans="1:13" hidden="1">
      <c r="A148" s="2" t="s">
        <v>1</v>
      </c>
      <c r="B148" s="2" t="s">
        <v>2</v>
      </c>
      <c r="C148" s="2" t="s">
        <v>3</v>
      </c>
      <c r="D148" s="2" t="s">
        <v>4</v>
      </c>
      <c r="E148" s="2" t="s">
        <v>15</v>
      </c>
      <c r="F148" s="2" t="s">
        <v>14</v>
      </c>
      <c r="G148" s="2" t="s">
        <v>5</v>
      </c>
      <c r="H148" s="2" t="s">
        <v>6</v>
      </c>
      <c r="I148" s="2" t="s">
        <v>16</v>
      </c>
      <c r="J148" s="2" t="s">
        <v>17</v>
      </c>
      <c r="K148" s="2" t="s">
        <v>18</v>
      </c>
      <c r="L148" s="2" t="s">
        <v>19</v>
      </c>
      <c r="M148" s="2" t="s">
        <v>20</v>
      </c>
    </row>
    <row r="149" spans="1:13" hidden="1">
      <c r="A149" s="3" t="s">
        <v>9</v>
      </c>
      <c r="B149" s="3">
        <v>6554</v>
      </c>
      <c r="C149" s="3">
        <v>6995</v>
      </c>
      <c r="D149" s="3">
        <f>C149-B149</f>
        <v>441</v>
      </c>
      <c r="E149" s="3"/>
      <c r="F149" s="3"/>
      <c r="G149" s="6">
        <v>7829.14</v>
      </c>
      <c r="H149" s="6"/>
      <c r="I149" s="3" t="s">
        <v>21</v>
      </c>
      <c r="J149" s="3" t="s">
        <v>34</v>
      </c>
      <c r="K149" s="3">
        <v>34</v>
      </c>
      <c r="L149" s="3">
        <f>D149/K149</f>
        <v>12.970588235294118</v>
      </c>
      <c r="M149" s="6">
        <f>G151/D149</f>
        <v>17.753151927437642</v>
      </c>
    </row>
    <row r="150" spans="1:13" hidden="1">
      <c r="A150" s="3" t="s">
        <v>10</v>
      </c>
      <c r="B150" s="3">
        <v>6534</v>
      </c>
      <c r="C150" s="3">
        <v>6839</v>
      </c>
      <c r="D150" s="3">
        <v>305</v>
      </c>
      <c r="E150" s="3"/>
      <c r="F150" s="3"/>
      <c r="G150" s="6">
        <f>(593.89+2610.96)*1.15</f>
        <v>3685.5774999999994</v>
      </c>
      <c r="H150" s="6">
        <f>746.4*1.15</f>
        <v>858.3599999999999</v>
      </c>
      <c r="I150" s="3" t="s">
        <v>21</v>
      </c>
      <c r="J150" s="3" t="s">
        <v>35</v>
      </c>
      <c r="K150" s="3">
        <v>25</v>
      </c>
      <c r="L150" s="3">
        <v>12</v>
      </c>
      <c r="M150" s="6">
        <f>G152/D150</f>
        <v>14.898155737704915</v>
      </c>
    </row>
    <row r="151" spans="1:13" hidden="1">
      <c r="A151" s="2" t="s">
        <v>11</v>
      </c>
      <c r="B151" s="2"/>
      <c r="C151" s="3"/>
      <c r="D151" s="3"/>
      <c r="E151" s="3"/>
      <c r="F151" s="3"/>
      <c r="G151" s="6">
        <f>G149</f>
        <v>7829.14</v>
      </c>
      <c r="H151" s="6"/>
      <c r="I151" s="3"/>
      <c r="J151" s="3"/>
      <c r="K151" s="3"/>
      <c r="L151" s="3"/>
      <c r="M151" s="3"/>
    </row>
    <row r="152" spans="1:13" hidden="1">
      <c r="A152" s="2" t="s">
        <v>12</v>
      </c>
      <c r="B152" s="4"/>
      <c r="C152" s="4"/>
      <c r="D152" s="2"/>
      <c r="E152" s="2"/>
      <c r="F152" s="2"/>
      <c r="G152" s="7">
        <f>G150+H150</f>
        <v>4543.9374999999991</v>
      </c>
      <c r="H152" s="7"/>
      <c r="I152" s="3"/>
      <c r="J152" s="3"/>
      <c r="K152" s="3"/>
      <c r="L152" s="3"/>
      <c r="M152" s="3"/>
    </row>
    <row r="153" spans="1:13" hidden="1">
      <c r="A153" s="2" t="s">
        <v>13</v>
      </c>
      <c r="B153" s="2"/>
      <c r="C153" s="2"/>
      <c r="D153" s="2"/>
      <c r="E153" s="2"/>
      <c r="F153" s="2"/>
      <c r="G153" s="7">
        <f>G151-G152</f>
        <v>3285.2025000000012</v>
      </c>
      <c r="H153" s="7"/>
      <c r="I153" s="3"/>
      <c r="J153" s="3"/>
      <c r="K153" s="3"/>
      <c r="L153" s="3"/>
      <c r="M153" s="3"/>
    </row>
    <row r="154" spans="1:13" hidden="1"/>
    <row r="155" spans="1:13" hidden="1">
      <c r="A155" s="1">
        <v>43678</v>
      </c>
    </row>
    <row r="156" spans="1:13" hidden="1">
      <c r="A156" s="2" t="s">
        <v>1</v>
      </c>
      <c r="B156" s="2" t="s">
        <v>2</v>
      </c>
      <c r="C156" s="2" t="s">
        <v>3</v>
      </c>
      <c r="D156" s="2" t="s">
        <v>4</v>
      </c>
      <c r="E156" s="2" t="s">
        <v>15</v>
      </c>
      <c r="F156" s="2" t="s">
        <v>14</v>
      </c>
      <c r="G156" s="2" t="s">
        <v>5</v>
      </c>
      <c r="H156" s="2" t="s">
        <v>6</v>
      </c>
      <c r="I156" s="2" t="s">
        <v>16</v>
      </c>
      <c r="J156" s="2" t="s">
        <v>17</v>
      </c>
      <c r="K156" s="2" t="s">
        <v>18</v>
      </c>
      <c r="L156" s="2" t="s">
        <v>19</v>
      </c>
      <c r="M156" s="2" t="s">
        <v>20</v>
      </c>
    </row>
    <row r="157" spans="1:13" hidden="1">
      <c r="A157" s="3" t="s">
        <v>9</v>
      </c>
      <c r="B157" s="3">
        <v>6995</v>
      </c>
      <c r="C157" s="3">
        <v>7403</v>
      </c>
      <c r="D157" s="3">
        <f>C157-B157</f>
        <v>408</v>
      </c>
      <c r="E157" s="3"/>
      <c r="F157" s="3"/>
      <c r="G157" s="6">
        <v>7062.18</v>
      </c>
      <c r="H157" s="6"/>
      <c r="I157" s="3" t="s">
        <v>21</v>
      </c>
      <c r="J157" s="3" t="s">
        <v>36</v>
      </c>
      <c r="K157" s="3">
        <v>29</v>
      </c>
      <c r="L157" s="3">
        <f>D157/K157</f>
        <v>14.068965517241379</v>
      </c>
      <c r="M157" s="6">
        <f>G159/D157</f>
        <v>17.309264705882352</v>
      </c>
    </row>
    <row r="158" spans="1:13" hidden="1">
      <c r="A158" s="3" t="s">
        <v>10</v>
      </c>
      <c r="B158" s="3">
        <v>6839</v>
      </c>
      <c r="C158" s="3">
        <v>7294</v>
      </c>
      <c r="D158" s="3">
        <v>455</v>
      </c>
      <c r="E158" s="3"/>
      <c r="F158" s="3"/>
      <c r="G158" s="6">
        <f>5172.15*1.15</f>
        <v>5947.9724999999989</v>
      </c>
      <c r="H158" s="6">
        <f>746.4*1.15</f>
        <v>858.3599999999999</v>
      </c>
      <c r="I158" s="3" t="s">
        <v>21</v>
      </c>
      <c r="J158" s="3" t="s">
        <v>37</v>
      </c>
      <c r="K158" s="3">
        <v>33</v>
      </c>
      <c r="L158" s="3">
        <v>13</v>
      </c>
      <c r="M158" s="6">
        <f>G160/D158</f>
        <v>14.958972527472524</v>
      </c>
    </row>
    <row r="159" spans="1:13" hidden="1">
      <c r="A159" s="2" t="s">
        <v>11</v>
      </c>
      <c r="B159" s="2"/>
      <c r="C159" s="3"/>
      <c r="D159" s="3"/>
      <c r="E159" s="3"/>
      <c r="F159" s="3"/>
      <c r="G159" s="6">
        <f>G157</f>
        <v>7062.18</v>
      </c>
      <c r="H159" s="6"/>
      <c r="I159" s="3"/>
      <c r="J159" s="3"/>
      <c r="K159" s="3"/>
      <c r="L159" s="3"/>
      <c r="M159" s="3"/>
    </row>
    <row r="160" spans="1:13" hidden="1">
      <c r="A160" s="2" t="s">
        <v>12</v>
      </c>
      <c r="B160" s="4"/>
      <c r="C160" s="4"/>
      <c r="D160" s="2"/>
      <c r="E160" s="2"/>
      <c r="F160" s="2"/>
      <c r="G160" s="7">
        <f>G158+H158</f>
        <v>6806.3324999999986</v>
      </c>
      <c r="H160" s="7"/>
      <c r="I160" s="3"/>
      <c r="J160" s="3"/>
      <c r="K160" s="3"/>
      <c r="L160" s="3"/>
      <c r="M160" s="3"/>
    </row>
    <row r="161" spans="1:13" hidden="1">
      <c r="A161" s="2" t="s">
        <v>13</v>
      </c>
      <c r="B161" s="2"/>
      <c r="C161" s="2"/>
      <c r="D161" s="2"/>
      <c r="E161" s="2"/>
      <c r="F161" s="2"/>
      <c r="G161" s="7">
        <f>G159-G160</f>
        <v>255.84750000000167</v>
      </c>
      <c r="H161" s="7"/>
      <c r="I161" s="3"/>
      <c r="J161" s="3"/>
      <c r="K161" s="3"/>
      <c r="L161" s="3"/>
      <c r="M161" s="3"/>
    </row>
    <row r="162" spans="1:13" hidden="1"/>
    <row r="163" spans="1:13" hidden="1">
      <c r="A163" s="1">
        <v>43709</v>
      </c>
    </row>
    <row r="164" spans="1:13" hidden="1">
      <c r="A164" s="2" t="s">
        <v>1</v>
      </c>
      <c r="B164" s="2" t="s">
        <v>2</v>
      </c>
      <c r="C164" s="2" t="s">
        <v>3</v>
      </c>
      <c r="D164" s="2" t="s">
        <v>4</v>
      </c>
      <c r="E164" s="2" t="s">
        <v>15</v>
      </c>
      <c r="F164" s="2" t="s">
        <v>14</v>
      </c>
      <c r="G164" s="2" t="s">
        <v>5</v>
      </c>
      <c r="H164" s="2" t="s">
        <v>6</v>
      </c>
      <c r="I164" s="2" t="s">
        <v>16</v>
      </c>
      <c r="J164" s="2" t="s">
        <v>17</v>
      </c>
      <c r="K164" s="2" t="s">
        <v>18</v>
      </c>
      <c r="L164" s="2" t="s">
        <v>19</v>
      </c>
      <c r="M164" s="2" t="s">
        <v>20</v>
      </c>
    </row>
    <row r="165" spans="1:13" hidden="1">
      <c r="A165" s="3" t="s">
        <v>9</v>
      </c>
      <c r="B165" s="3">
        <f>C157</f>
        <v>7403</v>
      </c>
      <c r="C165" s="3">
        <v>7817</v>
      </c>
      <c r="D165" s="3">
        <f>C165-B165</f>
        <v>414</v>
      </c>
      <c r="E165" s="3">
        <f>65.96*1.15</f>
        <v>75.853999999999985</v>
      </c>
      <c r="F165" s="3"/>
      <c r="G165" s="8">
        <f>6061.10904*1.15</f>
        <v>6970.275396</v>
      </c>
      <c r="H165" s="6">
        <f>746.4*1.15</f>
        <v>858.3599999999999</v>
      </c>
      <c r="I165" s="3" t="s">
        <v>21</v>
      </c>
      <c r="J165" s="3" t="s">
        <v>38</v>
      </c>
      <c r="K165" s="3">
        <v>28</v>
      </c>
      <c r="L165" s="3">
        <f>D165/K165</f>
        <v>14.785714285714286</v>
      </c>
      <c r="M165" s="6">
        <f>G167/D165</f>
        <v>19.092969555555555</v>
      </c>
    </row>
    <row r="166" spans="1:13" hidden="1">
      <c r="A166" s="3" t="s">
        <v>10</v>
      </c>
      <c r="B166" s="3">
        <f>C158</f>
        <v>7294</v>
      </c>
      <c r="C166" s="3">
        <v>7742</v>
      </c>
      <c r="D166" s="3">
        <f>C166-B166</f>
        <v>448</v>
      </c>
      <c r="E166" s="3"/>
      <c r="F166" s="3"/>
      <c r="G166" s="6">
        <f>5302.14*1.15</f>
        <v>6097.4610000000002</v>
      </c>
      <c r="H166" s="6">
        <f>746.4*1.15</f>
        <v>858.3599999999999</v>
      </c>
      <c r="I166" s="3" t="s">
        <v>21</v>
      </c>
      <c r="J166" s="3" t="s">
        <v>39</v>
      </c>
      <c r="K166" s="3">
        <v>30</v>
      </c>
      <c r="L166" s="3">
        <v>15</v>
      </c>
      <c r="M166" s="6">
        <f>G168/D166</f>
        <v>15.526386160714285</v>
      </c>
    </row>
    <row r="167" spans="1:13" hidden="1">
      <c r="A167" s="2" t="s">
        <v>11</v>
      </c>
      <c r="B167" s="2"/>
      <c r="C167" s="3"/>
      <c r="D167" s="3"/>
      <c r="E167" s="3"/>
      <c r="F167" s="3"/>
      <c r="G167" s="6">
        <f>G165+F165+E165+H165</f>
        <v>7904.4893959999999</v>
      </c>
      <c r="H167" s="6"/>
      <c r="I167" s="3"/>
      <c r="J167" s="3"/>
      <c r="K167" s="3"/>
      <c r="L167" s="3"/>
      <c r="M167" s="3"/>
    </row>
    <row r="168" spans="1:13" hidden="1">
      <c r="A168" s="2" t="s">
        <v>12</v>
      </c>
      <c r="B168" s="4"/>
      <c r="C168" s="4"/>
      <c r="D168" s="2"/>
      <c r="E168" s="2"/>
      <c r="F168" s="2"/>
      <c r="G168" s="7">
        <f>G166+H166</f>
        <v>6955.8209999999999</v>
      </c>
      <c r="H168" s="7"/>
      <c r="I168" s="3"/>
      <c r="J168" s="3"/>
      <c r="K168" s="3"/>
      <c r="L168" s="3"/>
      <c r="M168" s="3"/>
    </row>
    <row r="169" spans="1:13" hidden="1">
      <c r="A169" s="2" t="s">
        <v>13</v>
      </c>
      <c r="B169" s="2"/>
      <c r="C169" s="2"/>
      <c r="D169" s="2"/>
      <c r="E169" s="2"/>
      <c r="F169" s="2"/>
      <c r="G169" s="7">
        <f>G167-G168</f>
        <v>948.66839600000003</v>
      </c>
      <c r="H169" s="7"/>
      <c r="I169" s="3"/>
      <c r="J169" s="3"/>
      <c r="K169" s="3"/>
      <c r="L169" s="3"/>
      <c r="M169" s="3"/>
    </row>
    <row r="170" spans="1:13" hidden="1"/>
    <row r="171" spans="1:13" hidden="1">
      <c r="A171" s="1">
        <v>43739</v>
      </c>
    </row>
    <row r="172" spans="1:13" hidden="1">
      <c r="A172" s="2" t="s">
        <v>1</v>
      </c>
      <c r="B172" s="2" t="s">
        <v>2</v>
      </c>
      <c r="C172" s="2" t="s">
        <v>3</v>
      </c>
      <c r="D172" s="2" t="s">
        <v>4</v>
      </c>
      <c r="E172" s="2" t="s">
        <v>15</v>
      </c>
      <c r="F172" s="2" t="s">
        <v>14</v>
      </c>
      <c r="G172" s="2" t="s">
        <v>5</v>
      </c>
      <c r="H172" s="2" t="s">
        <v>6</v>
      </c>
      <c r="I172" s="2" t="s">
        <v>16</v>
      </c>
      <c r="J172" s="2" t="s">
        <v>17</v>
      </c>
      <c r="K172" s="2" t="s">
        <v>18</v>
      </c>
      <c r="L172" s="2" t="s">
        <v>19</v>
      </c>
      <c r="M172" s="2" t="s">
        <v>20</v>
      </c>
    </row>
    <row r="173" spans="1:13" hidden="1">
      <c r="A173" s="3" t="s">
        <v>9</v>
      </c>
      <c r="B173" s="3">
        <f>C165</f>
        <v>7817</v>
      </c>
      <c r="C173" s="3">
        <v>8348</v>
      </c>
      <c r="D173" s="3">
        <f>C173-B173</f>
        <v>531</v>
      </c>
      <c r="E173" s="3">
        <f>815.66*1.15</f>
        <v>938.0089999999999</v>
      </c>
      <c r="F173" s="3"/>
      <c r="G173" s="8">
        <f>7570.42296*1.15</f>
        <v>8705.9864039999993</v>
      </c>
      <c r="H173" s="6">
        <f>746.4*1.15</f>
        <v>858.3599999999999</v>
      </c>
      <c r="I173" s="3" t="s">
        <v>21</v>
      </c>
      <c r="J173" s="3" t="s">
        <v>40</v>
      </c>
      <c r="K173" s="3">
        <v>34</v>
      </c>
      <c r="L173" s="3">
        <f>D173/K173</f>
        <v>15.617647058823529</v>
      </c>
      <c r="M173" s="6">
        <f>G175/D173</f>
        <v>19.778447088512241</v>
      </c>
    </row>
    <row r="174" spans="1:13" hidden="1">
      <c r="A174" s="3" t="s">
        <v>10</v>
      </c>
      <c r="B174" s="3">
        <v>7294</v>
      </c>
      <c r="C174" s="3">
        <v>7742</v>
      </c>
      <c r="D174" s="3">
        <f>C174-B174</f>
        <v>448</v>
      </c>
      <c r="E174" s="3"/>
      <c r="F174" s="3"/>
      <c r="G174" s="6">
        <f>5302.14*1.15</f>
        <v>6097.4610000000002</v>
      </c>
      <c r="H174" s="6">
        <f>746.4*1.15</f>
        <v>858.3599999999999</v>
      </c>
      <c r="I174" s="3" t="s">
        <v>21</v>
      </c>
      <c r="J174" s="3" t="s">
        <v>39</v>
      </c>
      <c r="K174" s="3">
        <v>30</v>
      </c>
      <c r="L174" s="3">
        <v>15</v>
      </c>
      <c r="M174" s="6">
        <f>G176/D174</f>
        <v>15.526386160714285</v>
      </c>
    </row>
    <row r="175" spans="1:13" hidden="1">
      <c r="A175" s="2" t="s">
        <v>11</v>
      </c>
      <c r="B175" s="2"/>
      <c r="C175" s="3"/>
      <c r="D175" s="3"/>
      <c r="E175" s="3"/>
      <c r="F175" s="3"/>
      <c r="G175" s="6">
        <f>G173+F173+E173+H173</f>
        <v>10502.355404</v>
      </c>
      <c r="H175" s="6"/>
      <c r="I175" s="3"/>
      <c r="J175" s="3"/>
      <c r="K175" s="3"/>
      <c r="L175" s="3"/>
      <c r="M175" s="3"/>
    </row>
    <row r="176" spans="1:13" hidden="1">
      <c r="A176" s="2" t="s">
        <v>12</v>
      </c>
      <c r="B176" s="4"/>
      <c r="C176" s="4"/>
      <c r="D176" s="2"/>
      <c r="E176" s="2"/>
      <c r="F176" s="2"/>
      <c r="G176" s="7">
        <f>G174+H174</f>
        <v>6955.8209999999999</v>
      </c>
      <c r="H176" s="7"/>
      <c r="I176" s="3"/>
      <c r="J176" s="3"/>
      <c r="K176" s="3"/>
      <c r="L176" s="3"/>
      <c r="M176" s="3"/>
    </row>
    <row r="177" spans="1:13" hidden="1">
      <c r="A177" s="2" t="s">
        <v>13</v>
      </c>
      <c r="B177" s="2"/>
      <c r="C177" s="2"/>
      <c r="D177" s="2"/>
      <c r="E177" s="2"/>
      <c r="F177" s="2"/>
      <c r="G177" s="7">
        <f>G175-G176</f>
        <v>3546.534404</v>
      </c>
      <c r="H177" s="7"/>
      <c r="I177" s="3"/>
      <c r="J177" s="3"/>
      <c r="K177" s="3"/>
      <c r="L177" s="3"/>
      <c r="M177" s="3"/>
    </row>
    <row r="178" spans="1:13" hidden="1"/>
    <row r="179" spans="1:13" hidden="1">
      <c r="A179" s="1">
        <v>43770</v>
      </c>
    </row>
    <row r="180" spans="1:13" hidden="1">
      <c r="A180" s="2" t="s">
        <v>1</v>
      </c>
      <c r="B180" s="2" t="s">
        <v>2</v>
      </c>
      <c r="C180" s="2" t="s">
        <v>3</v>
      </c>
      <c r="D180" s="2" t="s">
        <v>4</v>
      </c>
      <c r="E180" s="2" t="s">
        <v>15</v>
      </c>
      <c r="F180" s="2" t="s">
        <v>14</v>
      </c>
      <c r="G180" s="2" t="s">
        <v>5</v>
      </c>
      <c r="H180" s="2" t="s">
        <v>6</v>
      </c>
      <c r="I180" s="2" t="s">
        <v>16</v>
      </c>
      <c r="J180" s="2" t="s">
        <v>17</v>
      </c>
      <c r="K180" s="2" t="s">
        <v>18</v>
      </c>
      <c r="L180" s="2" t="s">
        <v>19</v>
      </c>
      <c r="M180" s="2" t="s">
        <v>20</v>
      </c>
    </row>
    <row r="181" spans="1:13" hidden="1">
      <c r="A181" s="3" t="s">
        <v>9</v>
      </c>
      <c r="B181" s="3">
        <f>C173</f>
        <v>8348</v>
      </c>
      <c r="C181" s="3">
        <v>8676</v>
      </c>
      <c r="D181" s="3">
        <f>C181-B181</f>
        <v>328</v>
      </c>
      <c r="E181" s="3">
        <f>263.84*1.15</f>
        <v>303.41599999999994</v>
      </c>
      <c r="F181" s="3"/>
      <c r="G181" s="8">
        <f>3702.44976*1.15</f>
        <v>4257.8172239999994</v>
      </c>
      <c r="H181" s="6">
        <f>746.4*1.15</f>
        <v>858.3599999999999</v>
      </c>
      <c r="I181" s="3" t="s">
        <v>21</v>
      </c>
      <c r="J181" s="3" t="s">
        <v>41</v>
      </c>
      <c r="K181" s="3">
        <v>29</v>
      </c>
      <c r="L181" s="3">
        <f>D181/K181</f>
        <v>11.310344827586206</v>
      </c>
      <c r="M181" s="6">
        <f>G183/D181</f>
        <v>16.523150073170729</v>
      </c>
    </row>
    <row r="182" spans="1:13" hidden="1">
      <c r="A182" s="3" t="s">
        <v>10</v>
      </c>
      <c r="B182" s="3">
        <v>8175</v>
      </c>
      <c r="C182" s="3">
        <v>8573</v>
      </c>
      <c r="D182" s="3">
        <f>C182-B182</f>
        <v>398</v>
      </c>
      <c r="E182" s="3"/>
      <c r="F182" s="3"/>
      <c r="G182" s="6">
        <f>4373.5*1.15</f>
        <v>5029.5249999999996</v>
      </c>
      <c r="H182" s="6">
        <f>746.4*1.15</f>
        <v>858.3599999999999</v>
      </c>
      <c r="I182" s="3" t="s">
        <v>21</v>
      </c>
      <c r="J182" s="3" t="s">
        <v>42</v>
      </c>
      <c r="K182" s="3">
        <v>31</v>
      </c>
      <c r="L182" s="3">
        <v>13</v>
      </c>
      <c r="M182" s="6">
        <f>G184/D182</f>
        <v>14.793680904522612</v>
      </c>
    </row>
    <row r="183" spans="1:13" hidden="1">
      <c r="A183" s="2" t="s">
        <v>11</v>
      </c>
      <c r="B183" s="2"/>
      <c r="C183" s="3"/>
      <c r="D183" s="3"/>
      <c r="E183" s="3"/>
      <c r="F183" s="3"/>
      <c r="G183" s="6">
        <f>G181+F181+E181+H181</f>
        <v>5419.5932239999993</v>
      </c>
      <c r="H183" s="6"/>
      <c r="I183" s="3"/>
      <c r="J183" s="3"/>
      <c r="K183" s="3"/>
      <c r="L183" s="3"/>
      <c r="M183" s="3"/>
    </row>
    <row r="184" spans="1:13" hidden="1">
      <c r="A184" s="2" t="s">
        <v>12</v>
      </c>
      <c r="B184" s="4"/>
      <c r="C184" s="4"/>
      <c r="D184" s="2"/>
      <c r="E184" s="2"/>
      <c r="F184" s="2"/>
      <c r="G184" s="7">
        <f>G182+H182</f>
        <v>5887.8849999999993</v>
      </c>
      <c r="H184" s="7"/>
      <c r="I184" s="3"/>
      <c r="J184" s="3"/>
      <c r="K184" s="3"/>
      <c r="L184" s="3"/>
      <c r="M184" s="3"/>
    </row>
    <row r="185" spans="1:13" hidden="1">
      <c r="A185" s="2" t="s">
        <v>13</v>
      </c>
      <c r="B185" s="2"/>
      <c r="C185" s="2"/>
      <c r="D185" s="2"/>
      <c r="E185" s="2"/>
      <c r="F185" s="2"/>
      <c r="G185" s="7">
        <f>G183-G184</f>
        <v>-468.29177600000003</v>
      </c>
      <c r="H185" s="7"/>
      <c r="I185" s="3"/>
      <c r="J185" s="3"/>
      <c r="K185" s="3"/>
      <c r="L185" s="3"/>
      <c r="M185" s="3"/>
    </row>
    <row r="186" spans="1:13" hidden="1"/>
    <row r="187" spans="1:13" hidden="1">
      <c r="A187" s="1">
        <v>43800</v>
      </c>
    </row>
    <row r="188" spans="1:13" hidden="1">
      <c r="A188" s="2" t="s">
        <v>1</v>
      </c>
      <c r="B188" s="2" t="s">
        <v>2</v>
      </c>
      <c r="C188" s="2" t="s">
        <v>3</v>
      </c>
      <c r="D188" s="2" t="s">
        <v>4</v>
      </c>
      <c r="E188" s="2" t="s">
        <v>15</v>
      </c>
      <c r="F188" s="2" t="s">
        <v>14</v>
      </c>
      <c r="G188" s="2" t="s">
        <v>5</v>
      </c>
      <c r="H188" s="2" t="s">
        <v>6</v>
      </c>
      <c r="I188" s="2" t="s">
        <v>16</v>
      </c>
      <c r="J188" s="2" t="s">
        <v>17</v>
      </c>
      <c r="K188" s="2" t="s">
        <v>18</v>
      </c>
      <c r="L188" s="2" t="s">
        <v>19</v>
      </c>
      <c r="M188" s="2" t="s">
        <v>20</v>
      </c>
    </row>
    <row r="189" spans="1:13" hidden="1">
      <c r="A189" s="3" t="s">
        <v>9</v>
      </c>
      <c r="B189" s="3">
        <f>C181</f>
        <v>8676</v>
      </c>
      <c r="C189" s="3">
        <f>8676+405</f>
        <v>9081</v>
      </c>
      <c r="D189" s="3">
        <f>C189-B189</f>
        <v>405</v>
      </c>
      <c r="E189" s="3">
        <f>544.17*1.15</f>
        <v>625.79549999999995</v>
      </c>
      <c r="F189" s="3"/>
      <c r="G189" s="8">
        <f>3702.44976*1.15</f>
        <v>4257.8172239999994</v>
      </c>
      <c r="H189" s="6">
        <f>746.4*1.15</f>
        <v>858.3599999999999</v>
      </c>
      <c r="I189" s="3" t="s">
        <v>21</v>
      </c>
      <c r="J189" s="3" t="s">
        <v>43</v>
      </c>
      <c r="K189" s="3">
        <v>40</v>
      </c>
      <c r="L189" s="3">
        <f>D189/K189</f>
        <v>10.125</v>
      </c>
      <c r="M189" s="6">
        <f>G191/D189</f>
        <v>14.177710429629627</v>
      </c>
    </row>
    <row r="190" spans="1:13" hidden="1">
      <c r="A190" s="3" t="s">
        <v>10</v>
      </c>
      <c r="B190" s="3">
        <f>C182</f>
        <v>8573</v>
      </c>
      <c r="C190" s="3">
        <v>8926</v>
      </c>
      <c r="D190" s="3">
        <f>C190-B190</f>
        <v>353</v>
      </c>
      <c r="E190" s="3"/>
      <c r="F190" s="3"/>
      <c r="G190" s="6">
        <f>3490.17*1.15</f>
        <v>4013.6954999999998</v>
      </c>
      <c r="H190" s="6">
        <f>746.4*1.15</f>
        <v>858.3599999999999</v>
      </c>
      <c r="I190" s="3" t="s">
        <v>21</v>
      </c>
      <c r="J190" s="3" t="s">
        <v>44</v>
      </c>
      <c r="K190" s="3">
        <v>33</v>
      </c>
      <c r="L190" s="3">
        <v>11</v>
      </c>
      <c r="M190" s="6">
        <f>G192/D190</f>
        <v>13.801856940509914</v>
      </c>
    </row>
    <row r="191" spans="1:13" hidden="1">
      <c r="A191" s="2" t="s">
        <v>11</v>
      </c>
      <c r="B191" s="2"/>
      <c r="C191" s="3"/>
      <c r="D191" s="3"/>
      <c r="E191" s="3"/>
      <c r="F191" s="3"/>
      <c r="G191" s="6">
        <f>G189+F189+E189+H189</f>
        <v>5741.9727239999993</v>
      </c>
      <c r="H191" s="6"/>
      <c r="I191" s="3"/>
      <c r="J191" s="3"/>
      <c r="K191" s="3"/>
      <c r="L191" s="3"/>
      <c r="M191" s="3"/>
    </row>
    <row r="192" spans="1:13" hidden="1">
      <c r="A192" s="2" t="s">
        <v>12</v>
      </c>
      <c r="B192" s="4"/>
      <c r="C192" s="4"/>
      <c r="D192" s="2"/>
      <c r="E192" s="2"/>
      <c r="F192" s="2"/>
      <c r="G192" s="7">
        <f>G190+H190</f>
        <v>4872.0554999999995</v>
      </c>
      <c r="H192" s="7"/>
      <c r="I192" s="3"/>
      <c r="J192" s="3"/>
      <c r="K192" s="3"/>
      <c r="L192" s="3"/>
      <c r="M192" s="3"/>
    </row>
    <row r="193" spans="1:13" hidden="1">
      <c r="A193" s="2" t="s">
        <v>13</v>
      </c>
      <c r="B193" s="2"/>
      <c r="C193" s="2"/>
      <c r="D193" s="2"/>
      <c r="E193" s="2"/>
      <c r="F193" s="2"/>
      <c r="G193" s="7">
        <f>G191-G192</f>
        <v>869.91722399999981</v>
      </c>
      <c r="H193" s="7"/>
      <c r="I193" s="3"/>
      <c r="J193" s="3"/>
      <c r="K193" s="3"/>
      <c r="L193" s="3"/>
      <c r="M193" s="3"/>
    </row>
    <row r="195" spans="1:13">
      <c r="A195" s="16">
        <v>43831</v>
      </c>
    </row>
    <row r="196" spans="1:13" hidden="1">
      <c r="A196" s="2" t="s">
        <v>1</v>
      </c>
      <c r="B196" s="2" t="s">
        <v>2</v>
      </c>
      <c r="C196" s="2" t="s">
        <v>3</v>
      </c>
      <c r="D196" s="2" t="s">
        <v>4</v>
      </c>
      <c r="E196" s="2" t="s">
        <v>15</v>
      </c>
      <c r="F196" s="2" t="s">
        <v>14</v>
      </c>
      <c r="G196" s="2" t="s">
        <v>5</v>
      </c>
      <c r="H196" s="2" t="s">
        <v>6</v>
      </c>
      <c r="I196" s="2" t="s">
        <v>16</v>
      </c>
      <c r="J196" s="2" t="s">
        <v>17</v>
      </c>
      <c r="K196" s="2" t="s">
        <v>18</v>
      </c>
      <c r="L196" s="2" t="s">
        <v>19</v>
      </c>
      <c r="M196" s="2" t="s">
        <v>20</v>
      </c>
    </row>
    <row r="197" spans="1:13" hidden="1">
      <c r="A197" s="3" t="s">
        <v>45</v>
      </c>
      <c r="B197" s="3">
        <f>C189</f>
        <v>9081</v>
      </c>
      <c r="C197" s="3">
        <v>9305</v>
      </c>
      <c r="D197" s="3">
        <f>C197-B197</f>
        <v>224</v>
      </c>
      <c r="E197" s="3">
        <v>0</v>
      </c>
      <c r="F197" s="3"/>
      <c r="G197" s="8">
        <f>2517.11*1.15</f>
        <v>2894.6765</v>
      </c>
      <c r="H197" s="6">
        <f>746.4*1.15</f>
        <v>858.3599999999999</v>
      </c>
      <c r="I197" s="3" t="s">
        <v>21</v>
      </c>
      <c r="J197" s="3" t="s">
        <v>46</v>
      </c>
      <c r="K197" s="3">
        <v>40</v>
      </c>
      <c r="L197" s="3">
        <f>D197/K197</f>
        <v>5.6</v>
      </c>
      <c r="M197" s="6">
        <f>G199/D197</f>
        <v>16.754627232142859</v>
      </c>
    </row>
    <row r="198" spans="1:13" hidden="1">
      <c r="A198" s="3" t="s">
        <v>10</v>
      </c>
      <c r="B198" s="3">
        <f>C190</f>
        <v>8926</v>
      </c>
      <c r="C198" s="3">
        <v>9222</v>
      </c>
      <c r="D198" s="3">
        <f>C198-B198</f>
        <v>296</v>
      </c>
      <c r="E198" s="3"/>
      <c r="F198" s="3"/>
      <c r="G198" s="6">
        <f>2756.7*1.15</f>
        <v>3170.2049999999995</v>
      </c>
      <c r="H198" s="6">
        <f>746.4*1.15</f>
        <v>858.3599999999999</v>
      </c>
      <c r="I198" s="3" t="s">
        <v>21</v>
      </c>
      <c r="J198" s="3" t="s">
        <v>47</v>
      </c>
      <c r="K198" s="3">
        <v>31</v>
      </c>
      <c r="L198" s="3">
        <v>11</v>
      </c>
      <c r="M198" s="6">
        <f>G200/D198</f>
        <v>13.61001689189189</v>
      </c>
    </row>
    <row r="199" spans="1:13" hidden="1">
      <c r="A199" s="2" t="s">
        <v>48</v>
      </c>
      <c r="B199" s="2"/>
      <c r="C199" s="3"/>
      <c r="D199" s="3"/>
      <c r="E199" s="3"/>
      <c r="F199" s="3"/>
      <c r="G199" s="6">
        <f>G197+F197+E197+H197</f>
        <v>3753.0365000000002</v>
      </c>
      <c r="H199" s="6"/>
      <c r="I199" s="3"/>
      <c r="J199" s="3"/>
      <c r="K199" s="3"/>
      <c r="L199" s="3"/>
      <c r="M199" s="3"/>
    </row>
    <row r="200" spans="1:13" hidden="1">
      <c r="A200" s="2" t="s">
        <v>12</v>
      </c>
      <c r="B200" s="4"/>
      <c r="C200" s="4"/>
      <c r="D200" s="2"/>
      <c r="E200" s="2"/>
      <c r="F200" s="2"/>
      <c r="G200" s="7">
        <f>G198+H198</f>
        <v>4028.5649999999996</v>
      </c>
      <c r="H200" s="7"/>
      <c r="I200" s="3"/>
      <c r="J200" s="3"/>
      <c r="K200" s="3"/>
      <c r="L200" s="3"/>
      <c r="M200" s="3"/>
    </row>
    <row r="201" spans="1:13" hidden="1">
      <c r="A201" s="2" t="s">
        <v>13</v>
      </c>
      <c r="B201" s="2"/>
      <c r="C201" s="2"/>
      <c r="D201" s="2"/>
      <c r="E201" s="2"/>
      <c r="F201" s="2"/>
      <c r="G201" s="7">
        <f>G199-G200</f>
        <v>-275.52849999999944</v>
      </c>
      <c r="H201" s="7"/>
      <c r="I201" s="3"/>
      <c r="J201" s="3"/>
      <c r="K201" s="3"/>
      <c r="L201" s="3"/>
      <c r="M201" s="3"/>
    </row>
    <row r="202" spans="1:13" hidden="1"/>
    <row r="203" spans="1:13" hidden="1">
      <c r="A203" s="16">
        <v>43862</v>
      </c>
    </row>
    <row r="204" spans="1:13" hidden="1">
      <c r="A204" s="2" t="s">
        <v>1</v>
      </c>
      <c r="B204" s="2" t="s">
        <v>2</v>
      </c>
      <c r="C204" s="2" t="s">
        <v>3</v>
      </c>
      <c r="D204" s="2" t="s">
        <v>4</v>
      </c>
      <c r="E204" s="2" t="s">
        <v>15</v>
      </c>
      <c r="F204" s="2" t="s">
        <v>14</v>
      </c>
      <c r="G204" s="2" t="s">
        <v>5</v>
      </c>
      <c r="H204" s="2" t="s">
        <v>6</v>
      </c>
      <c r="I204" s="2" t="s">
        <v>16</v>
      </c>
      <c r="J204" s="2" t="s">
        <v>17</v>
      </c>
      <c r="K204" s="2" t="s">
        <v>18</v>
      </c>
      <c r="L204" s="2" t="s">
        <v>19</v>
      </c>
      <c r="M204" s="2" t="s">
        <v>20</v>
      </c>
    </row>
    <row r="205" spans="1:13" hidden="1">
      <c r="A205" s="3" t="s">
        <v>45</v>
      </c>
      <c r="B205" s="3">
        <f>C197</f>
        <v>9305</v>
      </c>
      <c r="C205" s="3">
        <v>9620</v>
      </c>
      <c r="D205" s="3">
        <f>C205-B205</f>
        <v>315</v>
      </c>
      <c r="E205" s="3">
        <f>379.27*1.15</f>
        <v>436.16049999999996</v>
      </c>
      <c r="F205" s="3"/>
      <c r="G205" s="8">
        <f>4157.46*1.15</f>
        <v>4781.0789999999997</v>
      </c>
      <c r="H205" s="6">
        <f>746.4*1.15</f>
        <v>858.3599999999999</v>
      </c>
      <c r="I205" s="3" t="s">
        <v>21</v>
      </c>
      <c r="J205" s="3" t="s">
        <v>49</v>
      </c>
      <c r="K205" s="3">
        <v>28</v>
      </c>
      <c r="L205" s="3">
        <f>D205/K205</f>
        <v>11.25</v>
      </c>
      <c r="M205" s="6">
        <f>'Collected Graph'!Q3/D205</f>
        <v>19.28761746031746</v>
      </c>
    </row>
    <row r="206" spans="1:13" hidden="1">
      <c r="A206" s="3" t="s">
        <v>10</v>
      </c>
      <c r="B206" s="3">
        <f>C198</f>
        <v>9222</v>
      </c>
      <c r="C206" s="3">
        <v>9585</v>
      </c>
      <c r="D206" s="3">
        <f>C206-B206</f>
        <v>363</v>
      </c>
      <c r="E206" s="3"/>
      <c r="F206" s="3"/>
      <c r="G206" s="6">
        <f>3655.07*1.15</f>
        <v>4203.3305</v>
      </c>
      <c r="H206" s="6">
        <f>746.4*1.15</f>
        <v>858.3599999999999</v>
      </c>
      <c r="I206" s="3" t="s">
        <v>21</v>
      </c>
      <c r="J206" s="3" t="s">
        <v>50</v>
      </c>
      <c r="K206" s="3">
        <v>33</v>
      </c>
      <c r="L206" s="3">
        <f>D206/K206</f>
        <v>11</v>
      </c>
      <c r="M206" s="6">
        <f>'Collected Graph'!R3/D206</f>
        <v>13.944050964187326</v>
      </c>
    </row>
    <row r="207" spans="1:13" hidden="1">
      <c r="A207" s="2" t="s">
        <v>48</v>
      </c>
      <c r="B207" s="2"/>
      <c r="C207" s="3"/>
      <c r="D207" s="3"/>
      <c r="E207" s="3"/>
      <c r="F207" s="3"/>
      <c r="G207" s="20">
        <f>G205+H205+E205</f>
        <v>6075.5994999999994</v>
      </c>
      <c r="H207" s="6"/>
      <c r="I207" s="3"/>
      <c r="J207" s="3"/>
      <c r="K207" s="3"/>
      <c r="L207" s="3"/>
      <c r="M207" s="3"/>
    </row>
    <row r="208" spans="1:13" hidden="1">
      <c r="A208" s="2" t="s">
        <v>12</v>
      </c>
      <c r="B208" s="4"/>
      <c r="C208" s="4"/>
      <c r="D208" s="2"/>
      <c r="E208" s="2"/>
      <c r="F208" s="2"/>
      <c r="G208" s="3"/>
      <c r="H208" s="7"/>
      <c r="I208" s="3"/>
      <c r="J208" s="3"/>
      <c r="K208" s="3"/>
      <c r="L208" s="3"/>
      <c r="M208" s="3"/>
    </row>
    <row r="209" spans="1:13" hidden="1">
      <c r="A209" s="2" t="s">
        <v>13</v>
      </c>
      <c r="B209" s="2"/>
      <c r="C209" s="2"/>
      <c r="D209" s="2"/>
      <c r="E209" s="2"/>
      <c r="F209" s="2"/>
      <c r="G209" s="7">
        <f>'Collected Graph'!Q3-'Collected Graph'!R3</f>
        <v>1013.9089999999997</v>
      </c>
      <c r="H209" s="7"/>
      <c r="I209" s="3"/>
      <c r="J209" s="3"/>
      <c r="K209" s="3"/>
      <c r="L209" s="3"/>
      <c r="M209" s="3"/>
    </row>
    <row r="210" spans="1:13" hidden="1"/>
    <row r="211" spans="1:13" hidden="1">
      <c r="A211" s="16">
        <v>43891</v>
      </c>
    </row>
    <row r="212" spans="1:13" hidden="1">
      <c r="A212" s="2" t="s">
        <v>1</v>
      </c>
      <c r="B212" s="2" t="s">
        <v>2</v>
      </c>
      <c r="C212" s="2" t="s">
        <v>3</v>
      </c>
      <c r="D212" s="2" t="s">
        <v>4</v>
      </c>
      <c r="E212" s="2" t="s">
        <v>15</v>
      </c>
      <c r="F212" s="2" t="s">
        <v>14</v>
      </c>
      <c r="G212" s="2" t="s">
        <v>5</v>
      </c>
      <c r="H212" s="2" t="s">
        <v>6</v>
      </c>
      <c r="I212" s="2" t="s">
        <v>16</v>
      </c>
      <c r="J212" s="2" t="s">
        <v>17</v>
      </c>
      <c r="K212" s="2" t="s">
        <v>18</v>
      </c>
      <c r="L212" s="2" t="s">
        <v>19</v>
      </c>
      <c r="M212" s="2" t="s">
        <v>20</v>
      </c>
    </row>
    <row r="213" spans="1:13" hidden="1">
      <c r="A213" s="3" t="s">
        <v>45</v>
      </c>
      <c r="B213" s="3">
        <f>C205</f>
        <v>9620</v>
      </c>
      <c r="C213" s="3">
        <v>9944</v>
      </c>
      <c r="D213" s="3">
        <f>C213-B213</f>
        <v>324</v>
      </c>
      <c r="E213" s="3">
        <f>379.27*1.15</f>
        <v>436.16049999999996</v>
      </c>
      <c r="F213" s="3"/>
      <c r="G213" s="8">
        <f>4157.46*1.15</f>
        <v>4781.0789999999997</v>
      </c>
      <c r="H213" s="6">
        <f>746.4*1.15</f>
        <v>858.3599999999999</v>
      </c>
      <c r="I213" s="3" t="s">
        <v>21</v>
      </c>
      <c r="J213" s="3" t="s">
        <v>51</v>
      </c>
      <c r="K213" s="3">
        <v>28</v>
      </c>
      <c r="L213" s="3">
        <f>D213/K213</f>
        <v>11.571428571428571</v>
      </c>
      <c r="M213" s="6">
        <f>G215/D213</f>
        <v>18.751850308641973</v>
      </c>
    </row>
    <row r="214" spans="1:13" hidden="1">
      <c r="A214" s="3" t="s">
        <v>10</v>
      </c>
      <c r="B214" s="3">
        <f>C206</f>
        <v>9585</v>
      </c>
      <c r="C214" s="3">
        <v>9864</v>
      </c>
      <c r="D214" s="3">
        <f>C214-B214</f>
        <v>279</v>
      </c>
      <c r="E214" s="3"/>
      <c r="F214" s="3"/>
      <c r="G214" s="19">
        <f>2905.59*1.15</f>
        <v>3341.4285</v>
      </c>
      <c r="H214" s="6">
        <f>746.4*1.15</f>
        <v>858.3599999999999</v>
      </c>
      <c r="I214" s="3" t="s">
        <v>21</v>
      </c>
      <c r="J214" s="3" t="s">
        <v>52</v>
      </c>
      <c r="K214" s="3">
        <v>24</v>
      </c>
      <c r="L214" s="3">
        <f>D214/K214</f>
        <v>11.625</v>
      </c>
      <c r="M214" s="6">
        <f>G216/D214</f>
        <v>15.053005376344085</v>
      </c>
    </row>
    <row r="215" spans="1:13" hidden="1">
      <c r="A215" s="2" t="s">
        <v>48</v>
      </c>
      <c r="B215" s="2"/>
      <c r="C215" s="3"/>
      <c r="D215" s="3"/>
      <c r="E215" s="3"/>
      <c r="F215" s="3"/>
      <c r="G215" s="20">
        <f>E213+G213+H213</f>
        <v>6075.5994999999994</v>
      </c>
      <c r="H215" s="6"/>
      <c r="I215" s="3"/>
      <c r="J215" s="3"/>
      <c r="K215" s="3"/>
      <c r="L215" s="3"/>
      <c r="M215" s="3"/>
    </row>
    <row r="216" spans="1:13" hidden="1">
      <c r="A216" s="2" t="s">
        <v>12</v>
      </c>
      <c r="B216" s="4"/>
      <c r="C216" s="4"/>
      <c r="D216" s="2"/>
      <c r="E216" s="2"/>
      <c r="F216" s="2"/>
      <c r="G216" s="20">
        <f>G214+H214</f>
        <v>4199.7884999999997</v>
      </c>
      <c r="H216" s="7"/>
      <c r="I216" s="3"/>
      <c r="J216" s="3"/>
      <c r="K216" s="3"/>
      <c r="L216" s="3"/>
      <c r="M216" s="3"/>
    </row>
    <row r="217" spans="1:13" hidden="1">
      <c r="A217" s="2" t="s">
        <v>13</v>
      </c>
      <c r="B217" s="2"/>
      <c r="C217" s="2"/>
      <c r="D217" s="2"/>
      <c r="E217" s="2"/>
      <c r="F217" s="2"/>
      <c r="G217" s="7">
        <f>G215-G216</f>
        <v>1875.8109999999997</v>
      </c>
      <c r="H217" s="7"/>
      <c r="I217" s="3"/>
      <c r="J217" s="3"/>
      <c r="K217" s="3"/>
      <c r="L217" s="3"/>
      <c r="M217" s="3"/>
    </row>
    <row r="218" spans="1:13" hidden="1"/>
    <row r="219" spans="1:13" hidden="1">
      <c r="A219" s="16">
        <v>43922</v>
      </c>
    </row>
    <row r="220" spans="1:13" hidden="1">
      <c r="A220" s="2" t="s">
        <v>1</v>
      </c>
      <c r="B220" s="2" t="s">
        <v>2</v>
      </c>
      <c r="C220" s="2" t="s">
        <v>3</v>
      </c>
      <c r="D220" s="2" t="s">
        <v>4</v>
      </c>
      <c r="E220" s="2" t="s">
        <v>15</v>
      </c>
      <c r="F220" s="2" t="s">
        <v>14</v>
      </c>
      <c r="G220" s="2" t="s">
        <v>5</v>
      </c>
      <c r="H220" s="2" t="s">
        <v>6</v>
      </c>
      <c r="I220" s="2" t="s">
        <v>16</v>
      </c>
      <c r="J220" s="2" t="s">
        <v>17</v>
      </c>
      <c r="K220" s="2" t="s">
        <v>18</v>
      </c>
      <c r="L220" s="2" t="s">
        <v>19</v>
      </c>
      <c r="M220" s="2" t="s">
        <v>20</v>
      </c>
    </row>
    <row r="221" spans="1:13" hidden="1">
      <c r="A221" s="3" t="s">
        <v>45</v>
      </c>
      <c r="B221" s="3">
        <f>C213</f>
        <v>9944</v>
      </c>
      <c r="C221" s="3">
        <v>10296</v>
      </c>
      <c r="D221" s="3">
        <f>C221-B221</f>
        <v>352</v>
      </c>
      <c r="E221" s="3">
        <f>395.76*1.15</f>
        <v>455.12399999999997</v>
      </c>
      <c r="F221" s="3"/>
      <c r="G221" s="8">
        <f>4358.07*1.15</f>
        <v>5011.7804999999989</v>
      </c>
      <c r="H221" s="6">
        <f>746.4*1.15</f>
        <v>858.3599999999999</v>
      </c>
      <c r="I221" s="3" t="s">
        <v>21</v>
      </c>
      <c r="J221" s="3" t="s">
        <v>53</v>
      </c>
      <c r="K221" s="3">
        <v>34</v>
      </c>
      <c r="L221" s="3">
        <f>D221/K221</f>
        <v>10.352941176470589</v>
      </c>
      <c r="M221" s="6">
        <f>G223/D221</f>
        <v>17.969501420454542</v>
      </c>
    </row>
    <row r="222" spans="1:13" hidden="1">
      <c r="A222" s="3" t="s">
        <v>10</v>
      </c>
      <c r="B222" s="3">
        <f>C214</f>
        <v>9864</v>
      </c>
      <c r="C222" s="3">
        <v>10231</v>
      </c>
      <c r="D222" s="3">
        <f>C222-B222</f>
        <v>367</v>
      </c>
      <c r="E222" s="3"/>
      <c r="F222" s="3"/>
      <c r="G222" s="19">
        <f>3943.08*1.15</f>
        <v>4534.5419999999995</v>
      </c>
      <c r="H222" s="6">
        <f>746.4*1.15</f>
        <v>858.3599999999999</v>
      </c>
      <c r="I222" s="3" t="s">
        <v>54</v>
      </c>
      <c r="J222" s="3" t="s">
        <v>55</v>
      </c>
      <c r="K222" s="3">
        <v>30</v>
      </c>
      <c r="L222" s="3">
        <f>D222/K222</f>
        <v>12.233333333333333</v>
      </c>
      <c r="M222" s="6">
        <f>G224/D222</f>
        <v>14.694555858310624</v>
      </c>
    </row>
    <row r="223" spans="1:13" hidden="1">
      <c r="A223" s="2" t="s">
        <v>48</v>
      </c>
      <c r="B223" s="2"/>
      <c r="C223" s="3"/>
      <c r="D223" s="3"/>
      <c r="E223" s="3"/>
      <c r="F223" s="3"/>
      <c r="G223" s="20">
        <f>E221+G221+H221</f>
        <v>6325.2644999999984</v>
      </c>
      <c r="H223" s="6"/>
      <c r="I223" s="3"/>
      <c r="J223" s="3"/>
      <c r="K223" s="3"/>
      <c r="L223" s="3"/>
      <c r="M223" s="3"/>
    </row>
    <row r="224" spans="1:13" hidden="1">
      <c r="A224" s="2" t="s">
        <v>12</v>
      </c>
      <c r="B224" s="4"/>
      <c r="C224" s="4"/>
      <c r="D224" s="2"/>
      <c r="E224" s="2"/>
      <c r="F224" s="2"/>
      <c r="G224" s="20">
        <f>G222+H222</f>
        <v>5392.9019999999991</v>
      </c>
      <c r="H224" s="7"/>
      <c r="I224" s="3"/>
      <c r="J224" s="3"/>
      <c r="K224" s="3"/>
      <c r="L224" s="3"/>
      <c r="M224" s="3"/>
    </row>
    <row r="225" spans="1:13" hidden="1">
      <c r="A225" s="2" t="s">
        <v>13</v>
      </c>
      <c r="B225" s="2"/>
      <c r="C225" s="2"/>
      <c r="D225" s="2"/>
      <c r="E225" s="2"/>
      <c r="F225" s="2"/>
      <c r="G225" s="7">
        <f>G223-G224</f>
        <v>932.36249999999927</v>
      </c>
      <c r="H225" s="7"/>
      <c r="I225" s="3"/>
      <c r="J225" s="3"/>
      <c r="K225" s="3"/>
      <c r="L225" s="3"/>
      <c r="M225" s="3"/>
    </row>
    <row r="226" spans="1:13" hidden="1"/>
    <row r="227" spans="1:13" hidden="1">
      <c r="A227" s="16">
        <v>43952</v>
      </c>
    </row>
    <row r="228" spans="1:13" hidden="1">
      <c r="A228" s="2" t="s">
        <v>1</v>
      </c>
      <c r="B228" s="2" t="s">
        <v>2</v>
      </c>
      <c r="C228" s="2" t="s">
        <v>3</v>
      </c>
      <c r="D228" s="2" t="s">
        <v>4</v>
      </c>
      <c r="E228" s="2" t="s">
        <v>15</v>
      </c>
      <c r="F228" s="2" t="s">
        <v>14</v>
      </c>
      <c r="G228" s="2" t="s">
        <v>5</v>
      </c>
      <c r="H228" s="2" t="s">
        <v>6</v>
      </c>
      <c r="I228" s="2" t="s">
        <v>16</v>
      </c>
      <c r="J228" s="2" t="s">
        <v>17</v>
      </c>
      <c r="K228" s="2" t="s">
        <v>18</v>
      </c>
      <c r="L228" s="2" t="s">
        <v>19</v>
      </c>
      <c r="M228" s="2" t="s">
        <v>20</v>
      </c>
    </row>
    <row r="229" spans="1:13" hidden="1">
      <c r="A229" s="3" t="s">
        <v>45</v>
      </c>
      <c r="B229" s="3">
        <f>C221</f>
        <v>10296</v>
      </c>
      <c r="C229" s="3">
        <v>10602</v>
      </c>
      <c r="D229" s="3">
        <f>C229-B229</f>
        <v>306</v>
      </c>
      <c r="E229" s="3">
        <f>273.35*1.15</f>
        <v>314.35250000000002</v>
      </c>
      <c r="F229" s="3"/>
      <c r="G229" s="8">
        <f>3431.93*1.15</f>
        <v>3946.7194999999997</v>
      </c>
      <c r="H229" s="6">
        <f>746.4*1.15</f>
        <v>858.3599999999999</v>
      </c>
      <c r="I229" s="3" t="s">
        <v>21</v>
      </c>
      <c r="J229" s="3" t="s">
        <v>56</v>
      </c>
      <c r="K229" s="3">
        <v>29</v>
      </c>
      <c r="L229" s="3">
        <f>D229/K229</f>
        <v>10.551724137931034</v>
      </c>
      <c r="M229" s="6">
        <f>G231/D229</f>
        <v>16.730169934640521</v>
      </c>
    </row>
    <row r="230" spans="1:13" hidden="1">
      <c r="A230" s="3" t="s">
        <v>10</v>
      </c>
      <c r="B230" s="3">
        <f>C222</f>
        <v>10231</v>
      </c>
      <c r="C230" s="3">
        <v>10593</v>
      </c>
      <c r="D230" s="3">
        <f>C230-B230</f>
        <v>362</v>
      </c>
      <c r="E230" s="3"/>
      <c r="F230" s="3"/>
      <c r="G230" s="19">
        <f>7147.75*1.15</f>
        <v>8219.9124999999985</v>
      </c>
      <c r="H230" s="6">
        <f>746.4*1.15</f>
        <v>858.3599999999999</v>
      </c>
      <c r="I230" s="3" t="s">
        <v>21</v>
      </c>
      <c r="J230" s="3" t="s">
        <v>57</v>
      </c>
      <c r="K230" s="3">
        <v>69</v>
      </c>
      <c r="L230" s="3">
        <f>D230/K230</f>
        <v>5.2463768115942031</v>
      </c>
      <c r="M230" s="6">
        <f>G232/D230</f>
        <v>25.07810082872928</v>
      </c>
    </row>
    <row r="231" spans="1:13" hidden="1">
      <c r="A231" s="2" t="s">
        <v>48</v>
      </c>
      <c r="B231" s="2"/>
      <c r="C231" s="3"/>
      <c r="D231" s="3"/>
      <c r="E231" s="3"/>
      <c r="F231" s="3"/>
      <c r="G231" s="20">
        <f>E229+G229+H229</f>
        <v>5119.4319999999998</v>
      </c>
      <c r="H231" s="6"/>
      <c r="I231" s="3"/>
      <c r="J231" s="3"/>
      <c r="K231" s="3"/>
      <c r="L231" s="3"/>
      <c r="M231" s="3"/>
    </row>
    <row r="232" spans="1:13" hidden="1">
      <c r="A232" s="2" t="s">
        <v>12</v>
      </c>
      <c r="B232" s="4"/>
      <c r="C232" s="4"/>
      <c r="D232" s="2"/>
      <c r="E232" s="2"/>
      <c r="F232" s="2"/>
      <c r="G232" s="20">
        <f>G230+H230</f>
        <v>9078.2724999999991</v>
      </c>
      <c r="H232" s="7"/>
      <c r="I232" s="3"/>
      <c r="J232" s="3"/>
      <c r="K232" s="3"/>
      <c r="L232" s="3"/>
      <c r="M232" s="3"/>
    </row>
    <row r="233" spans="1:13" hidden="1">
      <c r="A233" s="2" t="s">
        <v>13</v>
      </c>
      <c r="B233" s="2"/>
      <c r="C233" s="2"/>
      <c r="D233" s="2"/>
      <c r="E233" s="2"/>
      <c r="F233" s="2"/>
      <c r="G233" s="7">
        <f>G231-G232</f>
        <v>-3958.8404999999993</v>
      </c>
      <c r="H233" s="7"/>
      <c r="I233" s="3"/>
      <c r="J233" s="3"/>
      <c r="K233" s="3"/>
      <c r="L233" s="3"/>
      <c r="M233" s="3"/>
    </row>
    <row r="234" spans="1:13" hidden="1"/>
    <row r="235" spans="1:13" hidden="1">
      <c r="A235" s="16">
        <v>43983</v>
      </c>
    </row>
    <row r="236" spans="1:13" hidden="1">
      <c r="A236" s="2" t="s">
        <v>1</v>
      </c>
      <c r="B236" s="2" t="s">
        <v>2</v>
      </c>
      <c r="C236" s="2" t="s">
        <v>3</v>
      </c>
      <c r="D236" s="2" t="s">
        <v>4</v>
      </c>
      <c r="E236" s="2" t="s">
        <v>15</v>
      </c>
      <c r="F236" s="2" t="s">
        <v>14</v>
      </c>
      <c r="G236" s="2" t="s">
        <v>5</v>
      </c>
      <c r="H236" s="2" t="s">
        <v>6</v>
      </c>
      <c r="I236" s="2" t="s">
        <v>16</v>
      </c>
      <c r="J236" s="2" t="s">
        <v>17</v>
      </c>
      <c r="K236" s="2" t="s">
        <v>18</v>
      </c>
      <c r="L236" s="2" t="s">
        <v>19</v>
      </c>
      <c r="M236" s="2" t="s">
        <v>20</v>
      </c>
    </row>
    <row r="237" spans="1:13" hidden="1">
      <c r="A237" s="3" t="s">
        <v>45</v>
      </c>
      <c r="B237" s="3">
        <f>C229</f>
        <v>10602</v>
      </c>
      <c r="C237" s="3">
        <v>10928</v>
      </c>
      <c r="D237" s="3">
        <f>C237-B237</f>
        <v>326</v>
      </c>
      <c r="E237" s="3">
        <f>554.85*1.15</f>
        <v>638.07749999999999</v>
      </c>
      <c r="F237" s="3"/>
      <c r="G237" s="8">
        <f>3400.83344*1.15</f>
        <v>3910.9584559999994</v>
      </c>
      <c r="H237" s="6">
        <f>746.4*1.15</f>
        <v>858.3599999999999</v>
      </c>
      <c r="I237" s="3" t="s">
        <v>21</v>
      </c>
      <c r="J237" s="3" t="s">
        <v>58</v>
      </c>
      <c r="K237" s="3">
        <v>29</v>
      </c>
      <c r="L237" s="3">
        <f>D237/K237</f>
        <v>11.241379310344827</v>
      </c>
      <c r="M237" s="6">
        <f>G239/D237</f>
        <v>16.587104159509199</v>
      </c>
    </row>
    <row r="238" spans="1:13" hidden="1">
      <c r="A238" s="3" t="s">
        <v>10</v>
      </c>
      <c r="B238" s="3">
        <f>C230</f>
        <v>10593</v>
      </c>
      <c r="C238" s="3">
        <v>10932</v>
      </c>
      <c r="D238" s="3">
        <f>C238-B238</f>
        <v>339</v>
      </c>
      <c r="E238" s="3"/>
      <c r="F238" s="3"/>
      <c r="G238" s="19">
        <f>3541.84*1.15</f>
        <v>4073.116</v>
      </c>
      <c r="H238" s="6">
        <f>795.6*1.15</f>
        <v>914.93999999999994</v>
      </c>
      <c r="I238" s="3" t="s">
        <v>21</v>
      </c>
      <c r="J238" s="3" t="s">
        <v>58</v>
      </c>
      <c r="K238" s="3">
        <v>29</v>
      </c>
      <c r="L238" s="3">
        <f>D238/K238</f>
        <v>11.689655172413794</v>
      </c>
      <c r="M238" s="6">
        <f>G240/D238</f>
        <v>14.714029498525072</v>
      </c>
    </row>
    <row r="239" spans="1:13" hidden="1">
      <c r="A239" s="2" t="s">
        <v>48</v>
      </c>
      <c r="B239" s="2"/>
      <c r="C239" s="3"/>
      <c r="D239" s="3"/>
      <c r="E239" s="3"/>
      <c r="F239" s="3"/>
      <c r="G239" s="20">
        <f>E237+G237+H237</f>
        <v>5407.3959559999994</v>
      </c>
      <c r="H239" s="6"/>
      <c r="I239" s="3"/>
      <c r="J239" s="3"/>
      <c r="K239" s="3"/>
      <c r="L239" s="3"/>
      <c r="M239" s="3"/>
    </row>
    <row r="240" spans="1:13" hidden="1">
      <c r="A240" s="2" t="s">
        <v>12</v>
      </c>
      <c r="B240" s="4"/>
      <c r="C240" s="4"/>
      <c r="D240" s="2"/>
      <c r="E240" s="2"/>
      <c r="F240" s="2"/>
      <c r="G240" s="20">
        <f>G238+H238</f>
        <v>4988.0559999999996</v>
      </c>
      <c r="H240" s="7"/>
      <c r="I240" s="3"/>
      <c r="J240" s="3"/>
      <c r="K240" s="3"/>
      <c r="L240" s="3"/>
      <c r="M240" s="3"/>
    </row>
    <row r="241" spans="1:13" hidden="1">
      <c r="A241" s="2" t="s">
        <v>13</v>
      </c>
      <c r="B241" s="2"/>
      <c r="C241" s="2"/>
      <c r="D241" s="2"/>
      <c r="E241" s="2"/>
      <c r="F241" s="2"/>
      <c r="G241" s="7">
        <f>G239-G240</f>
        <v>419.3399559999998</v>
      </c>
      <c r="H241" s="7"/>
      <c r="I241" s="3"/>
      <c r="J241" s="3"/>
      <c r="K241" s="3"/>
      <c r="L241" s="3"/>
      <c r="M241" s="3"/>
    </row>
    <row r="242" spans="1:13" hidden="1"/>
    <row r="243" spans="1:13" hidden="1">
      <c r="A243" s="16">
        <v>44013</v>
      </c>
    </row>
    <row r="244" spans="1:13" hidden="1">
      <c r="A244" s="2" t="s">
        <v>1</v>
      </c>
      <c r="B244" s="2" t="s">
        <v>2</v>
      </c>
      <c r="C244" s="2" t="s">
        <v>3</v>
      </c>
      <c r="D244" s="2" t="s">
        <v>4</v>
      </c>
      <c r="E244" s="2" t="s">
        <v>15</v>
      </c>
      <c r="F244" s="2" t="s">
        <v>14</v>
      </c>
      <c r="G244" s="2" t="s">
        <v>5</v>
      </c>
      <c r="H244" s="2" t="s">
        <v>6</v>
      </c>
      <c r="I244" s="2" t="s">
        <v>16</v>
      </c>
      <c r="J244" s="2" t="s">
        <v>17</v>
      </c>
      <c r="K244" s="2" t="s">
        <v>18</v>
      </c>
      <c r="L244" s="2" t="s">
        <v>19</v>
      </c>
      <c r="M244" s="2" t="s">
        <v>20</v>
      </c>
    </row>
    <row r="245" spans="1:13" hidden="1">
      <c r="A245" s="3" t="s">
        <v>45</v>
      </c>
      <c r="B245" s="3">
        <f>C237</f>
        <v>10928</v>
      </c>
      <c r="C245" s="3">
        <v>11339</v>
      </c>
      <c r="D245" s="3">
        <f>C245-B245</f>
        <v>411</v>
      </c>
      <c r="E245" s="3">
        <f>455.86*1.15</f>
        <v>524.23899999999992</v>
      </c>
      <c r="F245" s="3">
        <f>795.6*1.15</f>
        <v>914.93999999999994</v>
      </c>
      <c r="G245" s="8">
        <f>5058.563*1.15</f>
        <v>5817.3474499999993</v>
      </c>
      <c r="H245" s="6">
        <f>746.4*1.15</f>
        <v>858.3599999999999</v>
      </c>
      <c r="I245" s="3" t="s">
        <v>21</v>
      </c>
      <c r="J245" s="3" t="s">
        <v>59</v>
      </c>
      <c r="K245" s="3">
        <v>36</v>
      </c>
      <c r="L245" s="3">
        <f>D245/K245</f>
        <v>11.416666666666666</v>
      </c>
      <c r="M245" s="6">
        <f>G247/D245</f>
        <v>17.518117883211676</v>
      </c>
    </row>
    <row r="246" spans="1:13" hidden="1">
      <c r="A246" s="3" t="s">
        <v>10</v>
      </c>
      <c r="B246" s="3">
        <f>C238</f>
        <v>10932</v>
      </c>
      <c r="C246" s="3">
        <v>11245</v>
      </c>
      <c r="D246" s="3">
        <f>C246-B246</f>
        <v>313</v>
      </c>
      <c r="E246" s="3"/>
      <c r="F246" s="3"/>
      <c r="G246" s="19">
        <f>(880.27+2814.23)*1.15</f>
        <v>4248.6749999999993</v>
      </c>
      <c r="H246" s="6">
        <f>795.6*1.15</f>
        <v>914.93999999999994</v>
      </c>
      <c r="I246" s="3" t="s">
        <v>21</v>
      </c>
      <c r="J246" s="3" t="s">
        <v>60</v>
      </c>
      <c r="K246" s="3">
        <v>21</v>
      </c>
      <c r="L246" s="3">
        <f>D246/K246</f>
        <v>14.904761904761905</v>
      </c>
      <c r="M246" s="6">
        <f>G248/D246</f>
        <v>16.497172523961659</v>
      </c>
    </row>
    <row r="247" spans="1:13" hidden="1">
      <c r="A247" s="2" t="s">
        <v>48</v>
      </c>
      <c r="B247" s="2"/>
      <c r="C247" s="3"/>
      <c r="D247" s="3"/>
      <c r="E247" s="3"/>
      <c r="F247" s="3"/>
      <c r="G247" s="20">
        <f>E245+G245+H245</f>
        <v>7199.9464499999985</v>
      </c>
      <c r="H247" s="6"/>
      <c r="I247" s="3"/>
      <c r="J247" s="3"/>
      <c r="K247" s="3"/>
      <c r="L247" s="3"/>
      <c r="M247" s="3"/>
    </row>
    <row r="248" spans="1:13" hidden="1">
      <c r="A248" s="2" t="s">
        <v>12</v>
      </c>
      <c r="B248" s="4"/>
      <c r="C248" s="4"/>
      <c r="D248" s="2"/>
      <c r="E248" s="2"/>
      <c r="F248" s="2"/>
      <c r="G248" s="20">
        <f>G246+H246</f>
        <v>5163.6149999999989</v>
      </c>
      <c r="H248" s="7"/>
      <c r="I248" s="3"/>
      <c r="J248" s="3"/>
      <c r="K248" s="3"/>
      <c r="L248" s="3"/>
      <c r="M248" s="3"/>
    </row>
    <row r="249" spans="1:13" hidden="1">
      <c r="A249" s="2" t="s">
        <v>13</v>
      </c>
      <c r="B249" s="2"/>
      <c r="C249" s="2"/>
      <c r="D249" s="2"/>
      <c r="E249" s="2"/>
      <c r="F249" s="2"/>
      <c r="G249" s="7">
        <f>G247-G248</f>
        <v>2036.3314499999997</v>
      </c>
      <c r="H249" s="7"/>
      <c r="I249" s="3"/>
      <c r="J249" s="3"/>
      <c r="K249" s="3"/>
      <c r="L249" s="3"/>
      <c r="M249" s="3"/>
    </row>
    <row r="250" spans="1:13" hidden="1"/>
    <row r="251" spans="1:13" hidden="1">
      <c r="A251" s="16">
        <v>44044</v>
      </c>
    </row>
    <row r="252" spans="1:13" hidden="1">
      <c r="A252" s="2" t="s">
        <v>1</v>
      </c>
      <c r="B252" s="2" t="s">
        <v>2</v>
      </c>
      <c r="C252" s="2" t="s">
        <v>3</v>
      </c>
      <c r="D252" s="2" t="s">
        <v>4</v>
      </c>
      <c r="E252" s="2" t="s">
        <v>15</v>
      </c>
      <c r="F252" s="2" t="s">
        <v>14</v>
      </c>
      <c r="G252" s="2" t="s">
        <v>5</v>
      </c>
      <c r="H252" s="2" t="s">
        <v>6</v>
      </c>
      <c r="I252" s="2" t="s">
        <v>16</v>
      </c>
      <c r="J252" s="2" t="s">
        <v>17</v>
      </c>
      <c r="K252" s="2" t="s">
        <v>18</v>
      </c>
      <c r="L252" s="2" t="s">
        <v>19</v>
      </c>
      <c r="M252" s="2" t="s">
        <v>20</v>
      </c>
    </row>
    <row r="253" spans="1:13" hidden="1">
      <c r="A253" s="3" t="s">
        <v>45</v>
      </c>
      <c r="B253" s="3">
        <f>C245</f>
        <v>11339</v>
      </c>
      <c r="C253" s="3">
        <v>11674</v>
      </c>
      <c r="D253" s="3">
        <f>C253-B253</f>
        <v>335</v>
      </c>
      <c r="E253" s="3">
        <f>336.94*1.15</f>
        <v>387.48099999999999</v>
      </c>
      <c r="F253" s="3">
        <f>746.4*1.15</f>
        <v>858.3599999999999</v>
      </c>
      <c r="G253" s="8">
        <f>3542.92*1.15</f>
        <v>4074.3579999999997</v>
      </c>
      <c r="H253" s="6">
        <f>746.4*1.15</f>
        <v>858.3599999999999</v>
      </c>
      <c r="I253" s="3" t="s">
        <v>21</v>
      </c>
      <c r="J253" s="3" t="s">
        <v>61</v>
      </c>
      <c r="K253" s="3">
        <v>27</v>
      </c>
      <c r="L253" s="3">
        <f>D253/K253</f>
        <v>12.407407407407407</v>
      </c>
      <c r="M253" s="6">
        <f>G255/D253</f>
        <v>15.881191044776118</v>
      </c>
    </row>
    <row r="254" spans="1:13" hidden="1">
      <c r="A254" s="3" t="s">
        <v>10</v>
      </c>
      <c r="B254" s="3">
        <f>C246</f>
        <v>11245</v>
      </c>
      <c r="C254" s="3">
        <v>11736</v>
      </c>
      <c r="D254" s="3">
        <f>C254-B254</f>
        <v>491</v>
      </c>
      <c r="E254" s="3"/>
      <c r="F254" s="3"/>
      <c r="G254" s="19">
        <f>4068.91*1.15</f>
        <v>4679.2464999999993</v>
      </c>
      <c r="H254" s="6">
        <f>795.6*1.15</f>
        <v>914.93999999999994</v>
      </c>
      <c r="I254" s="3" t="s">
        <v>21</v>
      </c>
      <c r="J254" s="3" t="s">
        <v>62</v>
      </c>
      <c r="K254" s="3">
        <v>47</v>
      </c>
      <c r="L254" s="3">
        <f>D254/K254</f>
        <v>10.446808510638299</v>
      </c>
      <c r="M254" s="6">
        <f>G256/D254</f>
        <v>11.393455193482685</v>
      </c>
    </row>
    <row r="255" spans="1:13" hidden="1">
      <c r="A255" s="2" t="s">
        <v>48</v>
      </c>
      <c r="B255" s="2"/>
      <c r="C255" s="3"/>
      <c r="D255" s="3"/>
      <c r="E255" s="3"/>
      <c r="F255" s="3"/>
      <c r="G255" s="20">
        <f>E253+G253+H253</f>
        <v>5320.1989999999996</v>
      </c>
      <c r="H255" s="6"/>
      <c r="I255" s="3"/>
      <c r="J255" s="3"/>
      <c r="K255" s="3"/>
      <c r="L255" s="3"/>
      <c r="M255" s="3"/>
    </row>
    <row r="256" spans="1:13" hidden="1">
      <c r="A256" s="2" t="s">
        <v>12</v>
      </c>
      <c r="B256" s="4"/>
      <c r="C256" s="4"/>
      <c r="D256" s="2"/>
      <c r="E256" s="2"/>
      <c r="F256" s="2"/>
      <c r="G256" s="20">
        <f>G254+H254</f>
        <v>5594.1864999999989</v>
      </c>
      <c r="H256" s="7"/>
      <c r="I256" s="3"/>
      <c r="J256" s="3"/>
      <c r="K256" s="3"/>
      <c r="L256" s="3"/>
      <c r="M256" s="3"/>
    </row>
    <row r="257" spans="1:13" hidden="1">
      <c r="A257" s="2" t="s">
        <v>13</v>
      </c>
      <c r="B257" s="2"/>
      <c r="C257" s="2"/>
      <c r="D257" s="2"/>
      <c r="E257" s="2"/>
      <c r="F257" s="2"/>
      <c r="G257" s="7">
        <f>G255-G256</f>
        <v>-273.98749999999927</v>
      </c>
      <c r="H257" s="7"/>
      <c r="I257" s="3"/>
      <c r="J257" s="3"/>
      <c r="K257" s="3"/>
      <c r="L257" s="3"/>
      <c r="M257" s="3"/>
    </row>
    <row r="258" spans="1:13" hidden="1"/>
    <row r="259" spans="1:13" hidden="1">
      <c r="A259" s="16">
        <v>44075</v>
      </c>
    </row>
    <row r="260" spans="1:13" hidden="1">
      <c r="A260" s="2" t="s">
        <v>1</v>
      </c>
      <c r="B260" s="2" t="s">
        <v>2</v>
      </c>
      <c r="C260" s="2" t="s">
        <v>3</v>
      </c>
      <c r="D260" s="2" t="s">
        <v>4</v>
      </c>
      <c r="E260" s="2" t="s">
        <v>15</v>
      </c>
      <c r="F260" s="2" t="s">
        <v>14</v>
      </c>
      <c r="G260" s="2" t="s">
        <v>5</v>
      </c>
      <c r="H260" s="2" t="s">
        <v>6</v>
      </c>
      <c r="I260" s="2" t="s">
        <v>16</v>
      </c>
      <c r="J260" s="2" t="s">
        <v>17</v>
      </c>
      <c r="K260" s="2" t="s">
        <v>18</v>
      </c>
      <c r="L260" s="2" t="s">
        <v>19</v>
      </c>
      <c r="M260" s="2" t="s">
        <v>20</v>
      </c>
    </row>
    <row r="261" spans="1:13" hidden="1">
      <c r="A261" s="3" t="s">
        <v>45</v>
      </c>
      <c r="B261" s="3">
        <f>C253</f>
        <v>11674</v>
      </c>
      <c r="C261" s="3">
        <v>12098</v>
      </c>
      <c r="D261" s="3">
        <f>C261-B261</f>
        <v>424</v>
      </c>
      <c r="E261" s="3">
        <f>475.68*1.15</f>
        <v>547.03199999999993</v>
      </c>
      <c r="F261" s="3"/>
      <c r="G261" s="8">
        <f>6916.24*1.15</f>
        <v>7953.6759999999995</v>
      </c>
      <c r="H261" s="3">
        <f>795.6*1.15</f>
        <v>914.93999999999994</v>
      </c>
      <c r="I261" s="3" t="s">
        <v>21</v>
      </c>
      <c r="J261" s="3" t="s">
        <v>63</v>
      </c>
      <c r="K261" s="3">
        <v>33</v>
      </c>
      <c r="L261" s="3">
        <f>D261/K261</f>
        <v>12.848484848484848</v>
      </c>
      <c r="M261" s="6">
        <f>G263/D261</f>
        <v>22.206716981132075</v>
      </c>
    </row>
    <row r="262" spans="1:13" hidden="1">
      <c r="A262" s="3" t="s">
        <v>10</v>
      </c>
      <c r="B262" s="3">
        <f>C254</f>
        <v>11736</v>
      </c>
      <c r="C262" s="3">
        <v>11902</v>
      </c>
      <c r="D262" s="3">
        <f>C262-B262</f>
        <v>166</v>
      </c>
      <c r="E262" s="3"/>
      <c r="F262" s="3"/>
      <c r="G262" s="19">
        <f>1603.35*1.15</f>
        <v>1843.8524999999997</v>
      </c>
      <c r="H262" s="6">
        <f>795.6*1.15</f>
        <v>914.93999999999994</v>
      </c>
      <c r="I262" s="3" t="s">
        <v>21</v>
      </c>
      <c r="J262" s="3" t="s">
        <v>64</v>
      </c>
      <c r="K262" s="3">
        <v>14</v>
      </c>
      <c r="L262" s="3">
        <f>D262/K262</f>
        <v>11.857142857142858</v>
      </c>
      <c r="M262" s="6">
        <f>G264/D262</f>
        <v>16.619231927710842</v>
      </c>
    </row>
    <row r="263" spans="1:13" hidden="1">
      <c r="A263" s="2" t="s">
        <v>48</v>
      </c>
      <c r="B263" s="2"/>
      <c r="C263" s="3"/>
      <c r="D263" s="3"/>
      <c r="E263" s="3"/>
      <c r="F263" s="3"/>
      <c r="G263" s="20">
        <f>E261+G261+H261</f>
        <v>9415.6479999999992</v>
      </c>
      <c r="H263" s="6"/>
      <c r="I263" s="3"/>
      <c r="J263" s="3"/>
      <c r="K263" s="3"/>
      <c r="L263" s="3"/>
      <c r="M263" s="3"/>
    </row>
    <row r="264" spans="1:13" hidden="1">
      <c r="A264" s="2" t="s">
        <v>12</v>
      </c>
      <c r="B264" s="4"/>
      <c r="C264" s="4"/>
      <c r="D264" s="2"/>
      <c r="E264" s="2"/>
      <c r="F264" s="2"/>
      <c r="G264" s="20">
        <f>G262+H262</f>
        <v>2758.7924999999996</v>
      </c>
      <c r="H264" s="7"/>
      <c r="I264" s="3"/>
      <c r="J264" s="3"/>
      <c r="K264" s="3"/>
      <c r="L264" s="3"/>
      <c r="M264" s="3"/>
    </row>
    <row r="265" spans="1:13" hidden="1">
      <c r="A265" s="2" t="s">
        <v>13</v>
      </c>
      <c r="B265" s="2"/>
      <c r="C265" s="2"/>
      <c r="D265" s="2"/>
      <c r="E265" s="2"/>
      <c r="F265" s="2"/>
      <c r="G265" s="7">
        <f>G263-G264</f>
        <v>6656.8554999999997</v>
      </c>
      <c r="H265" s="7"/>
      <c r="I265" s="3"/>
      <c r="J265" s="3"/>
      <c r="K265" s="3"/>
      <c r="L265" s="3"/>
      <c r="M265" s="3"/>
    </row>
    <row r="266" spans="1:13" hidden="1"/>
    <row r="267" spans="1:13" hidden="1">
      <c r="A267" s="16">
        <v>44105</v>
      </c>
    </row>
    <row r="268" spans="1:13" hidden="1">
      <c r="A268" s="2" t="s">
        <v>1</v>
      </c>
      <c r="B268" s="2" t="s">
        <v>2</v>
      </c>
      <c r="C268" s="2" t="s">
        <v>3</v>
      </c>
      <c r="D268" s="2" t="s">
        <v>4</v>
      </c>
      <c r="E268" s="2" t="s">
        <v>15</v>
      </c>
      <c r="F268" s="2" t="s">
        <v>14</v>
      </c>
      <c r="G268" s="2" t="s">
        <v>5</v>
      </c>
      <c r="H268" s="2" t="s">
        <v>6</v>
      </c>
      <c r="I268" s="2" t="s">
        <v>16</v>
      </c>
      <c r="J268" s="2" t="s">
        <v>17</v>
      </c>
      <c r="K268" s="2" t="s">
        <v>18</v>
      </c>
      <c r="L268" s="2" t="s">
        <v>19</v>
      </c>
      <c r="M268" s="2" t="s">
        <v>20</v>
      </c>
    </row>
    <row r="269" spans="1:13" hidden="1">
      <c r="A269" s="3" t="s">
        <v>45</v>
      </c>
      <c r="B269" s="3">
        <f>C261</f>
        <v>12098</v>
      </c>
      <c r="C269" s="3">
        <v>12424</v>
      </c>
      <c r="D269" s="3">
        <f>C269-B269</f>
        <v>326</v>
      </c>
      <c r="E269" s="3">
        <f>535.14*1.15</f>
        <v>615.41099999999994</v>
      </c>
      <c r="F269" s="3"/>
      <c r="G269" s="8">
        <f>4633.59*1.15</f>
        <v>5328.6284999999998</v>
      </c>
      <c r="H269" s="3">
        <f>795.6*1.15</f>
        <v>914.93999999999994</v>
      </c>
      <c r="I269" s="3" t="s">
        <v>21</v>
      </c>
      <c r="J269" s="3" t="s">
        <v>65</v>
      </c>
      <c r="K269" s="3">
        <v>29</v>
      </c>
      <c r="L269" s="3">
        <f>D269/K269</f>
        <v>11.241379310344827</v>
      </c>
      <c r="M269" s="6">
        <f>G271/D269</f>
        <v>21.039814417177912</v>
      </c>
    </row>
    <row r="270" spans="1:13" hidden="1">
      <c r="A270" s="3" t="s">
        <v>10</v>
      </c>
      <c r="B270" s="3">
        <f>C262</f>
        <v>11902</v>
      </c>
      <c r="C270" s="3">
        <v>12314</v>
      </c>
      <c r="D270" s="3">
        <f>C270-B270</f>
        <v>412</v>
      </c>
      <c r="E270" s="3"/>
      <c r="F270" s="3"/>
      <c r="G270" s="19">
        <f>3948.92*1.15</f>
        <v>4541.2579999999998</v>
      </c>
      <c r="H270" s="6">
        <f>795.6*1.15</f>
        <v>914.93999999999994</v>
      </c>
      <c r="I270" s="3" t="s">
        <v>21</v>
      </c>
      <c r="J270" s="3" t="s">
        <v>66</v>
      </c>
      <c r="K270" s="3">
        <v>35</v>
      </c>
      <c r="L270" s="3">
        <f>D270/K270</f>
        <v>11.771428571428572</v>
      </c>
      <c r="M270" s="6">
        <f>G272/D270</f>
        <v>13.243199029126211</v>
      </c>
    </row>
    <row r="271" spans="1:13" hidden="1">
      <c r="A271" s="2" t="s">
        <v>48</v>
      </c>
      <c r="B271" s="2"/>
      <c r="C271" s="3"/>
      <c r="D271" s="3"/>
      <c r="E271" s="3"/>
      <c r="F271" s="3"/>
      <c r="G271" s="20">
        <f>E269+G269+H269</f>
        <v>6858.9794999999995</v>
      </c>
      <c r="H271" s="6"/>
      <c r="I271" s="3"/>
      <c r="J271" s="3"/>
      <c r="K271" s="3"/>
      <c r="L271" s="3"/>
      <c r="M271" s="3"/>
    </row>
    <row r="272" spans="1:13" hidden="1">
      <c r="A272" s="2" t="s">
        <v>12</v>
      </c>
      <c r="B272" s="4"/>
      <c r="C272" s="4"/>
      <c r="D272" s="2"/>
      <c r="E272" s="2"/>
      <c r="F272" s="2"/>
      <c r="G272" s="20">
        <f>G270+H270</f>
        <v>5456.1979999999994</v>
      </c>
      <c r="H272" s="7"/>
      <c r="I272" s="3"/>
      <c r="J272" s="3"/>
      <c r="K272" s="3"/>
      <c r="L272" s="3"/>
      <c r="M272" s="3"/>
    </row>
    <row r="273" spans="1:13" hidden="1">
      <c r="A273" s="2" t="s">
        <v>13</v>
      </c>
      <c r="B273" s="2"/>
      <c r="C273" s="2"/>
      <c r="D273" s="2"/>
      <c r="E273" s="2"/>
      <c r="F273" s="2"/>
      <c r="G273" s="7">
        <f>G271-G272</f>
        <v>1402.7815000000001</v>
      </c>
      <c r="H273" s="7"/>
      <c r="I273" s="3"/>
      <c r="J273" s="3"/>
      <c r="K273" s="3"/>
      <c r="L273" s="3"/>
      <c r="M273" s="3"/>
    </row>
    <row r="274" spans="1:13" hidden="1"/>
    <row r="275" spans="1:13" hidden="1">
      <c r="A275" s="16">
        <v>44136</v>
      </c>
    </row>
    <row r="276" spans="1:13" hidden="1">
      <c r="A276" s="2" t="s">
        <v>1</v>
      </c>
      <c r="B276" s="2" t="s">
        <v>2</v>
      </c>
      <c r="C276" s="2" t="s">
        <v>3</v>
      </c>
      <c r="D276" s="2" t="s">
        <v>4</v>
      </c>
      <c r="E276" s="2" t="s">
        <v>15</v>
      </c>
      <c r="F276" s="2" t="s">
        <v>14</v>
      </c>
      <c r="G276" s="2" t="s">
        <v>5</v>
      </c>
      <c r="H276" s="2" t="s">
        <v>6</v>
      </c>
      <c r="I276" s="2" t="s">
        <v>16</v>
      </c>
      <c r="J276" s="2" t="s">
        <v>17</v>
      </c>
      <c r="K276" s="2" t="s">
        <v>18</v>
      </c>
      <c r="L276" s="2" t="s">
        <v>19</v>
      </c>
      <c r="M276" s="2" t="s">
        <v>20</v>
      </c>
    </row>
    <row r="277" spans="1:13" hidden="1">
      <c r="A277" s="3" t="s">
        <v>45</v>
      </c>
      <c r="B277" s="3">
        <f>C269</f>
        <v>12424</v>
      </c>
      <c r="C277" s="3">
        <v>12728</v>
      </c>
      <c r="D277" s="3">
        <f>C277-B277</f>
        <v>304</v>
      </c>
      <c r="E277" s="3">
        <f>158.559999999999*1.15</f>
        <v>182.34399999999886</v>
      </c>
      <c r="F277" s="3"/>
      <c r="G277" s="8">
        <f>4553.1239*1.15</f>
        <v>5236.0924849999992</v>
      </c>
      <c r="H277" s="3">
        <f>795.6*1.15</f>
        <v>914.93999999999994</v>
      </c>
      <c r="I277" s="3" t="s">
        <v>21</v>
      </c>
      <c r="J277" s="3" t="s">
        <v>67</v>
      </c>
      <c r="K277" s="3">
        <v>28</v>
      </c>
      <c r="L277" s="3">
        <f>D277/K277</f>
        <v>10.857142857142858</v>
      </c>
      <c r="M277" s="6">
        <f>G279/D277</f>
        <v>20.833475279605256</v>
      </c>
    </row>
    <row r="278" spans="1:13" hidden="1">
      <c r="A278" s="3" t="s">
        <v>10</v>
      </c>
      <c r="B278" s="3">
        <f>C270</f>
        <v>12314</v>
      </c>
      <c r="C278" s="3">
        <v>12628</v>
      </c>
      <c r="D278" s="3">
        <f>C278-B278</f>
        <v>314</v>
      </c>
      <c r="E278" s="3"/>
      <c r="F278" s="3"/>
      <c r="G278" s="19">
        <f>2849.97*1.15</f>
        <v>3277.4654999999993</v>
      </c>
      <c r="H278" s="6">
        <f>795.6*1.15</f>
        <v>914.93999999999994</v>
      </c>
      <c r="I278" s="3" t="s">
        <v>21</v>
      </c>
      <c r="J278" s="3" t="s">
        <v>68</v>
      </c>
      <c r="K278" s="3">
        <v>28</v>
      </c>
      <c r="L278" s="3">
        <f>D278/K278</f>
        <v>11.214285714285714</v>
      </c>
      <c r="M278" s="6">
        <f>G280/D278</f>
        <v>13.351609872611462</v>
      </c>
    </row>
    <row r="279" spans="1:13" hidden="1">
      <c r="A279" s="2" t="s">
        <v>48</v>
      </c>
      <c r="B279" s="2"/>
      <c r="C279" s="3"/>
      <c r="D279" s="3"/>
      <c r="E279" s="3"/>
      <c r="F279" s="3"/>
      <c r="G279" s="20">
        <f>E277+G277+H277</f>
        <v>6333.376484999998</v>
      </c>
      <c r="H279" s="6"/>
      <c r="I279" s="3"/>
      <c r="J279" s="3"/>
      <c r="K279" s="3"/>
      <c r="L279" s="3"/>
      <c r="M279" s="3"/>
    </row>
    <row r="280" spans="1:13" hidden="1">
      <c r="A280" s="2" t="s">
        <v>12</v>
      </c>
      <c r="B280" s="4"/>
      <c r="C280" s="4"/>
      <c r="D280" s="2"/>
      <c r="E280" s="2"/>
      <c r="F280" s="2"/>
      <c r="G280" s="20">
        <f>G278+H278</f>
        <v>4192.4054999999989</v>
      </c>
      <c r="H280" s="7"/>
      <c r="I280" s="3"/>
      <c r="J280" s="3"/>
      <c r="K280" s="3"/>
      <c r="L280" s="3"/>
      <c r="M280" s="3"/>
    </row>
    <row r="281" spans="1:13" hidden="1">
      <c r="A281" s="2" t="s">
        <v>13</v>
      </c>
      <c r="B281" s="2"/>
      <c r="C281" s="2"/>
      <c r="D281" s="2"/>
      <c r="E281" s="2"/>
      <c r="F281" s="2"/>
      <c r="G281" s="7">
        <f>G279-G280</f>
        <v>2140.970984999999</v>
      </c>
      <c r="H281" s="7"/>
      <c r="I281" s="3"/>
      <c r="J281" s="3"/>
      <c r="K281" s="3"/>
      <c r="L281" s="3"/>
      <c r="M281" s="3"/>
    </row>
    <row r="282" spans="1:13" hidden="1"/>
    <row r="283" spans="1:13" hidden="1">
      <c r="A283" s="16">
        <v>44166</v>
      </c>
    </row>
    <row r="284" spans="1:13" hidden="1">
      <c r="A284" s="2" t="s">
        <v>1</v>
      </c>
      <c r="B284" s="2" t="s">
        <v>2</v>
      </c>
      <c r="C284" s="2" t="s">
        <v>3</v>
      </c>
      <c r="D284" s="2" t="s">
        <v>4</v>
      </c>
      <c r="E284" s="2" t="s">
        <v>15</v>
      </c>
      <c r="F284" s="2" t="s">
        <v>14</v>
      </c>
      <c r="G284" s="2" t="s">
        <v>5</v>
      </c>
      <c r="H284" s="2" t="s">
        <v>6</v>
      </c>
      <c r="I284" s="2" t="s">
        <v>16</v>
      </c>
      <c r="J284" s="2" t="s">
        <v>17</v>
      </c>
      <c r="K284" s="2" t="s">
        <v>18</v>
      </c>
      <c r="L284" s="2" t="s">
        <v>19</v>
      </c>
      <c r="M284" s="2" t="s">
        <v>20</v>
      </c>
    </row>
    <row r="285" spans="1:13" hidden="1">
      <c r="A285" s="3" t="s">
        <v>45</v>
      </c>
      <c r="B285" s="3">
        <f>C277</f>
        <v>12728</v>
      </c>
      <c r="C285" s="3">
        <v>13118</v>
      </c>
      <c r="D285" s="3">
        <f>C285-B285</f>
        <v>390</v>
      </c>
      <c r="E285" s="3">
        <f>991*1.15</f>
        <v>1139.6499999999999</v>
      </c>
      <c r="F285" s="3"/>
      <c r="G285" s="8">
        <f>5697.75406*1.15</f>
        <v>6552.4171689999994</v>
      </c>
      <c r="H285" s="3">
        <f>795.6*1.15</f>
        <v>914.93999999999994</v>
      </c>
      <c r="I285" s="3" t="s">
        <v>21</v>
      </c>
      <c r="J285" s="3" t="s">
        <v>69</v>
      </c>
      <c r="K285" s="3">
        <v>41</v>
      </c>
      <c r="L285" s="3">
        <f>D285/K285</f>
        <v>9.5121951219512191</v>
      </c>
      <c r="M285" s="6">
        <f>G287/D285</f>
        <v>22.069249151282047</v>
      </c>
    </row>
    <row r="286" spans="1:13" hidden="1">
      <c r="A286" s="3" t="s">
        <v>10</v>
      </c>
      <c r="B286" s="3">
        <f>C278</f>
        <v>12628</v>
      </c>
      <c r="C286" s="3">
        <v>12931</v>
      </c>
      <c r="D286" s="3">
        <f>C286-B286</f>
        <v>303</v>
      </c>
      <c r="E286" s="3"/>
      <c r="F286" s="3"/>
      <c r="G286" s="19">
        <f>2390.96*1.15</f>
        <v>2749.6039999999998</v>
      </c>
      <c r="H286" s="6">
        <f>795.6*1.15</f>
        <v>914.93999999999994</v>
      </c>
      <c r="I286" s="3" t="s">
        <v>21</v>
      </c>
      <c r="J286" s="3" t="s">
        <v>70</v>
      </c>
      <c r="K286" s="3">
        <v>30</v>
      </c>
      <c r="L286" s="3">
        <f>D286/K286</f>
        <v>10.1</v>
      </c>
      <c r="M286" s="6">
        <f>G288/D286</f>
        <v>12.094204620462046</v>
      </c>
    </row>
    <row r="287" spans="1:13" hidden="1">
      <c r="A287" s="2" t="s">
        <v>48</v>
      </c>
      <c r="B287" s="2"/>
      <c r="C287" s="3"/>
      <c r="D287" s="3"/>
      <c r="E287" s="3"/>
      <c r="F287" s="3"/>
      <c r="G287" s="20">
        <f>E285+G285+H285</f>
        <v>8607.0071689999986</v>
      </c>
      <c r="H287" s="6"/>
      <c r="I287" s="3"/>
      <c r="J287" s="3"/>
      <c r="K287" s="3"/>
      <c r="L287" s="3"/>
      <c r="M287" s="3"/>
    </row>
    <row r="288" spans="1:13" hidden="1">
      <c r="A288" s="2" t="s">
        <v>12</v>
      </c>
      <c r="B288" s="4"/>
      <c r="C288" s="4"/>
      <c r="D288" s="2"/>
      <c r="E288" s="2"/>
      <c r="F288" s="2"/>
      <c r="G288" s="20">
        <f>G286+H286</f>
        <v>3664.5439999999999</v>
      </c>
      <c r="H288" s="7"/>
      <c r="I288" s="3"/>
      <c r="J288" s="3"/>
      <c r="K288" s="3"/>
      <c r="L288" s="3"/>
      <c r="M288" s="3"/>
    </row>
    <row r="289" spans="1:13" hidden="1">
      <c r="A289" s="2" t="s">
        <v>13</v>
      </c>
      <c r="B289" s="2"/>
      <c r="C289" s="2"/>
      <c r="D289" s="2"/>
      <c r="E289" s="2"/>
      <c r="F289" s="2"/>
      <c r="G289" s="7">
        <f>G287-G288</f>
        <v>4942.4631689999987</v>
      </c>
      <c r="H289" s="7"/>
      <c r="I289" s="3"/>
      <c r="J289" s="3"/>
      <c r="K289" s="3"/>
      <c r="L289" s="3"/>
      <c r="M289" s="3"/>
    </row>
    <row r="291" spans="1:13">
      <c r="A291" s="16">
        <v>44197</v>
      </c>
    </row>
    <row r="292" spans="1:13" hidden="1">
      <c r="A292" s="2" t="s">
        <v>1</v>
      </c>
      <c r="B292" s="2" t="s">
        <v>2</v>
      </c>
      <c r="C292" s="2" t="s">
        <v>3</v>
      </c>
      <c r="D292" s="2" t="s">
        <v>4</v>
      </c>
      <c r="E292" s="2" t="s">
        <v>15</v>
      </c>
      <c r="F292" s="2" t="s">
        <v>14</v>
      </c>
      <c r="G292" s="2" t="s">
        <v>5</v>
      </c>
      <c r="H292" s="2" t="s">
        <v>6</v>
      </c>
      <c r="I292" s="2" t="s">
        <v>16</v>
      </c>
      <c r="J292" s="2" t="s">
        <v>17</v>
      </c>
      <c r="K292" s="2" t="s">
        <v>18</v>
      </c>
      <c r="L292" s="2" t="s">
        <v>19</v>
      </c>
      <c r="M292" s="2" t="s">
        <v>20</v>
      </c>
    </row>
    <row r="293" spans="1:13" hidden="1">
      <c r="A293" s="3" t="s">
        <v>45</v>
      </c>
      <c r="B293" s="3">
        <f>C285</f>
        <v>13118</v>
      </c>
      <c r="C293" s="3">
        <v>13384</v>
      </c>
      <c r="D293" s="3">
        <f>C293-B293</f>
        <v>266</v>
      </c>
      <c r="E293" s="3">
        <f>1139.4*1.15</f>
        <v>1310.31</v>
      </c>
      <c r="F293" s="3"/>
      <c r="G293" s="8">
        <f>2895.34*1.15</f>
        <v>3329.6410000000001</v>
      </c>
      <c r="H293" s="3">
        <f>795.6*1.15</f>
        <v>914.93999999999994</v>
      </c>
      <c r="I293" s="3" t="s">
        <v>21</v>
      </c>
      <c r="J293" s="3" t="s">
        <v>71</v>
      </c>
      <c r="K293" s="3">
        <v>22</v>
      </c>
      <c r="L293" s="3">
        <f>D293/K293</f>
        <v>12.090909090909092</v>
      </c>
      <c r="M293" s="6">
        <f>G295/D293</f>
        <v>20.883048872180449</v>
      </c>
    </row>
    <row r="294" spans="1:13" hidden="1">
      <c r="A294" s="3" t="s">
        <v>10</v>
      </c>
      <c r="B294" s="3">
        <f>C286</f>
        <v>12931</v>
      </c>
      <c r="C294" s="3">
        <v>13268</v>
      </c>
      <c r="D294" s="3">
        <f>C294-B294</f>
        <v>337</v>
      </c>
      <c r="E294" s="3"/>
      <c r="F294" s="3"/>
      <c r="G294" s="19">
        <f>2469.04*1.15</f>
        <v>2839.3959999999997</v>
      </c>
      <c r="H294" s="6">
        <f>795.6*1.15</f>
        <v>914.93999999999994</v>
      </c>
      <c r="I294" s="3" t="s">
        <v>21</v>
      </c>
      <c r="J294" s="3" t="s">
        <v>72</v>
      </c>
      <c r="K294" s="3">
        <v>35</v>
      </c>
      <c r="L294" s="3">
        <f>D294/K294</f>
        <v>9.6285714285714281</v>
      </c>
      <c r="M294" s="6">
        <f>G296/D294</f>
        <v>11.14046290801187</v>
      </c>
    </row>
    <row r="295" spans="1:13" hidden="1">
      <c r="A295" s="2" t="s">
        <v>48</v>
      </c>
      <c r="B295" s="2"/>
      <c r="C295" s="3"/>
      <c r="D295" s="3"/>
      <c r="E295" s="3"/>
      <c r="F295" s="3"/>
      <c r="G295" s="20">
        <f>E293+G293+H293</f>
        <v>5554.8909999999996</v>
      </c>
      <c r="H295" s="6"/>
      <c r="I295" s="3"/>
      <c r="J295" s="3"/>
      <c r="K295" s="3"/>
      <c r="L295" s="3"/>
      <c r="M295" s="3"/>
    </row>
    <row r="296" spans="1:13" hidden="1">
      <c r="A296" s="2" t="s">
        <v>12</v>
      </c>
      <c r="B296" s="4"/>
      <c r="C296" s="4"/>
      <c r="D296" s="2"/>
      <c r="E296" s="2"/>
      <c r="F296" s="2"/>
      <c r="G296" s="20">
        <f>G294+H294</f>
        <v>3754.3359999999998</v>
      </c>
      <c r="H296" s="7"/>
      <c r="I296" s="3"/>
      <c r="J296" s="3"/>
      <c r="K296" s="3"/>
      <c r="L296" s="3"/>
      <c r="M296" s="3"/>
    </row>
    <row r="297" spans="1:13" hidden="1">
      <c r="A297" s="2" t="s">
        <v>13</v>
      </c>
      <c r="B297" s="2"/>
      <c r="C297" s="2"/>
      <c r="D297" s="2"/>
      <c r="E297" s="2"/>
      <c r="F297" s="2"/>
      <c r="G297" s="7">
        <f>G295-G296</f>
        <v>1800.5549999999998</v>
      </c>
      <c r="H297" s="7"/>
      <c r="I297" s="3"/>
      <c r="J297" s="3"/>
      <c r="K297" s="3"/>
      <c r="L297" s="3"/>
      <c r="M297" s="3"/>
    </row>
    <row r="298" spans="1:13" hidden="1"/>
    <row r="299" spans="1:13" hidden="1">
      <c r="A299" s="16">
        <v>44228</v>
      </c>
    </row>
    <row r="300" spans="1:13" hidden="1">
      <c r="A300" s="2" t="s">
        <v>1</v>
      </c>
      <c r="B300" s="2" t="s">
        <v>2</v>
      </c>
      <c r="C300" s="2" t="s">
        <v>3</v>
      </c>
      <c r="D300" s="2" t="s">
        <v>4</v>
      </c>
      <c r="E300" s="2" t="s">
        <v>15</v>
      </c>
      <c r="F300" s="2" t="s">
        <v>14</v>
      </c>
      <c r="G300" s="2" t="s">
        <v>5</v>
      </c>
      <c r="H300" s="2" t="s">
        <v>6</v>
      </c>
      <c r="I300" s="2" t="s">
        <v>16</v>
      </c>
      <c r="J300" s="2" t="s">
        <v>17</v>
      </c>
      <c r="K300" s="2" t="s">
        <v>18</v>
      </c>
      <c r="L300" s="2" t="s">
        <v>19</v>
      </c>
      <c r="M300" s="2" t="s">
        <v>20</v>
      </c>
    </row>
    <row r="301" spans="1:13" hidden="1">
      <c r="A301" s="3" t="s">
        <v>45</v>
      </c>
      <c r="B301" s="3">
        <f>C293</f>
        <v>13384</v>
      </c>
      <c r="C301" s="3">
        <v>13640</v>
      </c>
      <c r="D301" s="3">
        <f>C301-B301</f>
        <v>256</v>
      </c>
      <c r="E301" s="3">
        <f>398.79*1.15</f>
        <v>458.60849999999999</v>
      </c>
      <c r="F301" s="3"/>
      <c r="G301" s="8">
        <f>3316.47*1.15</f>
        <v>3813.9404999999997</v>
      </c>
      <c r="H301" s="3">
        <f>795.6*1.15</f>
        <v>914.93999999999994</v>
      </c>
      <c r="I301" s="3" t="s">
        <v>21</v>
      </c>
      <c r="J301" s="3" t="s">
        <v>73</v>
      </c>
      <c r="K301" s="3">
        <v>28</v>
      </c>
      <c r="L301" s="3">
        <f>D301/K301</f>
        <v>9.1428571428571423</v>
      </c>
      <c r="M301" s="6">
        <f>G303/D301</f>
        <v>20.263628906249998</v>
      </c>
    </row>
    <row r="302" spans="1:13" hidden="1">
      <c r="A302" s="3" t="s">
        <v>10</v>
      </c>
      <c r="B302" s="3">
        <f>C294</f>
        <v>13268</v>
      </c>
      <c r="C302" s="3">
        <v>13576</v>
      </c>
      <c r="D302" s="3">
        <f>C302-B302</f>
        <v>308</v>
      </c>
      <c r="E302" s="3"/>
      <c r="F302" s="3"/>
      <c r="G302" s="19">
        <f>2610.55*1.15</f>
        <v>3002.1325000000002</v>
      </c>
      <c r="H302" s="6">
        <f>795.6*1.15</f>
        <v>914.93999999999994</v>
      </c>
      <c r="I302" s="3" t="s">
        <v>21</v>
      </c>
      <c r="J302" s="3" t="s">
        <v>74</v>
      </c>
      <c r="K302" s="3">
        <v>29</v>
      </c>
      <c r="L302" s="3">
        <f>D302/K302</f>
        <v>10.620689655172415</v>
      </c>
      <c r="M302" s="6">
        <f>G304/D302</f>
        <v>12.717767857142858</v>
      </c>
    </row>
    <row r="303" spans="1:13" hidden="1">
      <c r="A303" s="2" t="s">
        <v>48</v>
      </c>
      <c r="B303" s="2"/>
      <c r="C303" s="3"/>
      <c r="D303" s="3"/>
      <c r="E303" s="3"/>
      <c r="F303" s="3"/>
      <c r="G303" s="20">
        <f>E301+G301+H301</f>
        <v>5187.4889999999996</v>
      </c>
      <c r="H303" s="6"/>
      <c r="I303" s="3"/>
      <c r="J303" s="3"/>
      <c r="K303" s="3"/>
      <c r="L303" s="3"/>
      <c r="M303" s="3"/>
    </row>
    <row r="304" spans="1:13" hidden="1">
      <c r="A304" s="2" t="s">
        <v>12</v>
      </c>
      <c r="B304" s="4"/>
      <c r="C304" s="4"/>
      <c r="D304" s="2"/>
      <c r="E304" s="2"/>
      <c r="F304" s="2"/>
      <c r="G304" s="20">
        <f>G302+H302</f>
        <v>3917.0725000000002</v>
      </c>
      <c r="H304" s="7"/>
      <c r="I304" s="3"/>
      <c r="J304" s="3"/>
      <c r="K304" s="3"/>
      <c r="L304" s="3"/>
      <c r="M304" s="3"/>
    </row>
    <row r="305" spans="1:13" hidden="1">
      <c r="A305" s="2" t="s">
        <v>13</v>
      </c>
      <c r="B305" s="2"/>
      <c r="C305" s="2"/>
      <c r="D305" s="2"/>
      <c r="E305" s="2"/>
      <c r="F305" s="2"/>
      <c r="G305" s="7">
        <f>G303-G304</f>
        <v>1270.4164999999994</v>
      </c>
      <c r="H305" s="7"/>
      <c r="I305" s="3"/>
      <c r="J305" s="3"/>
      <c r="K305" s="3"/>
      <c r="L305" s="3"/>
      <c r="M305" s="3"/>
    </row>
    <row r="306" spans="1:13" hidden="1"/>
    <row r="307" spans="1:13" hidden="1">
      <c r="A307" s="16">
        <v>44256</v>
      </c>
    </row>
    <row r="308" spans="1:13" hidden="1">
      <c r="A308" s="2" t="s">
        <v>1</v>
      </c>
      <c r="B308" s="2" t="s">
        <v>2</v>
      </c>
      <c r="C308" s="2" t="s">
        <v>3</v>
      </c>
      <c r="D308" s="2" t="s">
        <v>4</v>
      </c>
      <c r="E308" s="2" t="s">
        <v>15</v>
      </c>
      <c r="F308" s="2" t="s">
        <v>14</v>
      </c>
      <c r="G308" s="2" t="s">
        <v>5</v>
      </c>
      <c r="H308" s="2" t="s">
        <v>6</v>
      </c>
      <c r="I308" s="2" t="s">
        <v>16</v>
      </c>
      <c r="J308" s="2" t="s">
        <v>17</v>
      </c>
      <c r="K308" s="2" t="s">
        <v>18</v>
      </c>
      <c r="L308" s="2" t="s">
        <v>19</v>
      </c>
      <c r="M308" s="2" t="s">
        <v>20</v>
      </c>
    </row>
    <row r="309" spans="1:13" hidden="1">
      <c r="A309" s="3" t="s">
        <v>45</v>
      </c>
      <c r="B309" s="3">
        <f>C301</f>
        <v>13640</v>
      </c>
      <c r="C309" s="3">
        <v>14044</v>
      </c>
      <c r="D309" s="3">
        <f>C309-B309</f>
        <v>404</v>
      </c>
      <c r="E309" s="3">
        <f>753.16*1.15</f>
        <v>866.1339999999999</v>
      </c>
      <c r="F309" s="3"/>
      <c r="G309" s="8">
        <f>6029.43*1.15</f>
        <v>6933.8445000000002</v>
      </c>
      <c r="H309" s="3">
        <f>795.6*1.15</f>
        <v>914.93999999999994</v>
      </c>
      <c r="I309" s="3" t="s">
        <v>21</v>
      </c>
      <c r="J309" s="3" t="s">
        <v>75</v>
      </c>
      <c r="K309" s="3">
        <v>33</v>
      </c>
      <c r="L309" s="3">
        <f>D309/K309</f>
        <v>12.242424242424242</v>
      </c>
      <c r="M309" s="6">
        <f>G311/D309</f>
        <v>21.571580445544555</v>
      </c>
    </row>
    <row r="310" spans="1:13" hidden="1">
      <c r="A310" s="3" t="s">
        <v>10</v>
      </c>
      <c r="B310" s="3">
        <f>C302</f>
        <v>13576</v>
      </c>
      <c r="C310" s="3">
        <v>13887</v>
      </c>
      <c r="D310" s="3">
        <f>C310-B310</f>
        <v>311</v>
      </c>
      <c r="E310" s="3"/>
      <c r="F310" s="3"/>
      <c r="G310" s="19">
        <f>3031.46*1.15</f>
        <v>3486.1789999999996</v>
      </c>
      <c r="H310" s="6">
        <f>795.6*1.15</f>
        <v>914.93999999999994</v>
      </c>
      <c r="I310" s="3" t="s">
        <v>21</v>
      </c>
      <c r="J310" s="3" t="s">
        <v>76</v>
      </c>
      <c r="K310" s="3">
        <v>26</v>
      </c>
      <c r="L310" s="3">
        <f>D310/K310</f>
        <v>11.961538461538462</v>
      </c>
      <c r="M310" s="6">
        <f>G312/D310</f>
        <v>14.151508038585208</v>
      </c>
    </row>
    <row r="311" spans="1:13" hidden="1">
      <c r="A311" s="2" t="s">
        <v>48</v>
      </c>
      <c r="B311" s="2"/>
      <c r="C311" s="3"/>
      <c r="D311" s="3"/>
      <c r="E311" s="3"/>
      <c r="F311" s="3"/>
      <c r="G311" s="20">
        <f>E309+G309+H309</f>
        <v>8714.9184999999998</v>
      </c>
      <c r="H311" s="6"/>
      <c r="I311" s="3"/>
      <c r="J311" s="3"/>
      <c r="K311" s="3"/>
      <c r="L311" s="3"/>
      <c r="M311" s="3"/>
    </row>
    <row r="312" spans="1:13" hidden="1">
      <c r="A312" s="2" t="s">
        <v>12</v>
      </c>
      <c r="B312" s="4"/>
      <c r="C312" s="4"/>
      <c r="D312" s="2"/>
      <c r="E312" s="2"/>
      <c r="F312" s="2"/>
      <c r="G312" s="20">
        <f>G310+H310</f>
        <v>4401.1189999999997</v>
      </c>
      <c r="H312" s="7"/>
      <c r="I312" s="3"/>
      <c r="J312" s="3"/>
      <c r="K312" s="3"/>
      <c r="L312" s="3"/>
      <c r="M312" s="3"/>
    </row>
    <row r="313" spans="1:13" hidden="1">
      <c r="A313" s="2" t="s">
        <v>13</v>
      </c>
      <c r="B313" s="2"/>
      <c r="C313" s="2"/>
      <c r="D313" s="2"/>
      <c r="E313" s="2"/>
      <c r="F313" s="2"/>
      <c r="G313" s="7">
        <f>G311-G312</f>
        <v>4313.7995000000001</v>
      </c>
      <c r="H313" s="7"/>
      <c r="I313" s="3"/>
      <c r="J313" s="3"/>
      <c r="K313" s="3"/>
      <c r="L313" s="3"/>
      <c r="M313" s="3"/>
    </row>
    <row r="314" spans="1:13" hidden="1"/>
    <row r="315" spans="1:13" hidden="1">
      <c r="A315" s="16">
        <v>44287</v>
      </c>
    </row>
    <row r="316" spans="1:13" hidden="1">
      <c r="A316" s="2" t="s">
        <v>1</v>
      </c>
      <c r="B316" s="2" t="s">
        <v>2</v>
      </c>
      <c r="C316" s="2" t="s">
        <v>3</v>
      </c>
      <c r="D316" s="2" t="s">
        <v>4</v>
      </c>
      <c r="E316" s="2" t="s">
        <v>15</v>
      </c>
      <c r="F316" s="2" t="s">
        <v>14</v>
      </c>
      <c r="G316" s="2" t="s">
        <v>5</v>
      </c>
      <c r="H316" s="2" t="s">
        <v>6</v>
      </c>
      <c r="I316" s="2" t="s">
        <v>16</v>
      </c>
      <c r="J316" s="2" t="s">
        <v>17</v>
      </c>
      <c r="K316" s="2" t="s">
        <v>18</v>
      </c>
      <c r="L316" s="2" t="s">
        <v>19</v>
      </c>
      <c r="M316" s="2" t="s">
        <v>20</v>
      </c>
    </row>
    <row r="317" spans="1:13" hidden="1">
      <c r="A317" s="3" t="s">
        <v>45</v>
      </c>
      <c r="B317" s="3">
        <f>C309</f>
        <v>14044</v>
      </c>
      <c r="C317" s="3">
        <v>14387</v>
      </c>
      <c r="D317" s="3">
        <f>C317-B317</f>
        <v>343</v>
      </c>
      <c r="E317" s="3">
        <f>753.16*1.15</f>
        <v>866.1339999999999</v>
      </c>
      <c r="F317" s="3"/>
      <c r="G317" s="8">
        <f>6029.43*1.15</f>
        <v>6933.8445000000002</v>
      </c>
      <c r="H317" s="3">
        <f>795.6*1.15</f>
        <v>914.93999999999994</v>
      </c>
      <c r="I317" s="3" t="s">
        <v>21</v>
      </c>
      <c r="J317" s="3" t="s">
        <v>77</v>
      </c>
      <c r="K317" s="3">
        <v>29</v>
      </c>
      <c r="L317" s="3">
        <f>D317/K317</f>
        <v>11.827586206896552</v>
      </c>
      <c r="M317" s="6">
        <f>G319/D317</f>
        <v>25.407925655976676</v>
      </c>
    </row>
    <row r="318" spans="1:13" hidden="1">
      <c r="A318" s="3" t="s">
        <v>10</v>
      </c>
      <c r="B318" s="3">
        <f>C310</f>
        <v>13887</v>
      </c>
      <c r="C318" s="3">
        <v>14262</v>
      </c>
      <c r="D318" s="3">
        <f>C318-B318</f>
        <v>375</v>
      </c>
      <c r="E318" s="3"/>
      <c r="F318" s="3"/>
      <c r="G318" s="19">
        <f>3456.57*1.15</f>
        <v>3975.0554999999999</v>
      </c>
      <c r="H318" s="6">
        <f>795.6*1.15</f>
        <v>914.93999999999994</v>
      </c>
      <c r="I318" s="3" t="s">
        <v>21</v>
      </c>
      <c r="J318" s="3" t="s">
        <v>78</v>
      </c>
      <c r="K318" s="3">
        <v>33</v>
      </c>
      <c r="L318" s="3">
        <f>D318/K318</f>
        <v>11.363636363636363</v>
      </c>
      <c r="M318" s="6">
        <f>G320/D318</f>
        <v>13.039987999999999</v>
      </c>
    </row>
    <row r="319" spans="1:13" hidden="1">
      <c r="A319" s="2" t="s">
        <v>48</v>
      </c>
      <c r="B319" s="2"/>
      <c r="C319" s="3"/>
      <c r="D319" s="3"/>
      <c r="E319" s="3"/>
      <c r="F319" s="3"/>
      <c r="G319" s="20">
        <f>E317+G317+H317</f>
        <v>8714.9184999999998</v>
      </c>
      <c r="H319" s="6"/>
      <c r="I319" s="3"/>
      <c r="J319" s="3"/>
      <c r="K319" s="3"/>
      <c r="L319" s="3"/>
      <c r="M319" s="3"/>
    </row>
    <row r="320" spans="1:13" hidden="1">
      <c r="A320" s="2" t="s">
        <v>12</v>
      </c>
      <c r="B320" s="4"/>
      <c r="C320" s="4"/>
      <c r="D320" s="2"/>
      <c r="E320" s="2"/>
      <c r="F320" s="2"/>
      <c r="G320" s="20">
        <f>G318+H318</f>
        <v>4889.9955</v>
      </c>
      <c r="H320" s="7"/>
      <c r="I320" s="3"/>
      <c r="J320" s="3"/>
      <c r="K320" s="3"/>
      <c r="L320" s="3"/>
      <c r="M320" s="3"/>
    </row>
    <row r="321" spans="1:13" hidden="1">
      <c r="A321" s="2" t="s">
        <v>13</v>
      </c>
      <c r="B321" s="2"/>
      <c r="C321" s="2"/>
      <c r="D321" s="2"/>
      <c r="E321" s="2"/>
      <c r="F321" s="2"/>
      <c r="G321" s="7">
        <f>G319-G320</f>
        <v>3824.9229999999998</v>
      </c>
      <c r="H321" s="7"/>
      <c r="I321" s="3"/>
      <c r="J321" s="3"/>
      <c r="K321" s="3"/>
      <c r="L321" s="3"/>
      <c r="M321" s="3"/>
    </row>
    <row r="322" spans="1:13" hidden="1"/>
    <row r="323" spans="1:13" hidden="1">
      <c r="A323" s="16">
        <v>44317</v>
      </c>
    </row>
    <row r="324" spans="1:13" hidden="1">
      <c r="A324" s="2" t="s">
        <v>1</v>
      </c>
      <c r="B324" s="2" t="s">
        <v>2</v>
      </c>
      <c r="C324" s="2" t="s">
        <v>3</v>
      </c>
      <c r="D324" s="2" t="s">
        <v>4</v>
      </c>
      <c r="E324" s="2" t="s">
        <v>15</v>
      </c>
      <c r="F324" s="2" t="s">
        <v>14</v>
      </c>
      <c r="G324" s="2" t="s">
        <v>5</v>
      </c>
      <c r="H324" s="2" t="s">
        <v>6</v>
      </c>
      <c r="I324" s="2" t="s">
        <v>16</v>
      </c>
      <c r="J324" s="2" t="s">
        <v>17</v>
      </c>
      <c r="K324" s="2" t="s">
        <v>18</v>
      </c>
      <c r="L324" s="2" t="s">
        <v>19</v>
      </c>
      <c r="M324" s="2" t="s">
        <v>20</v>
      </c>
    </row>
    <row r="325" spans="1:13" hidden="1">
      <c r="A325" s="3" t="s">
        <v>45</v>
      </c>
      <c r="B325" s="3">
        <f>C317</f>
        <v>14387</v>
      </c>
      <c r="C325" s="3">
        <v>14710</v>
      </c>
      <c r="D325" s="3">
        <f>C325-B325</f>
        <v>323</v>
      </c>
      <c r="E325" s="3">
        <f>611.37*1.15</f>
        <v>703.07549999999992</v>
      </c>
      <c r="F325" s="3"/>
      <c r="G325" s="8">
        <f>2788.43*1.15</f>
        <v>3206.6944999999996</v>
      </c>
      <c r="H325" s="3">
        <f>795.6*1.15</f>
        <v>914.93999999999994</v>
      </c>
      <c r="I325" s="3" t="s">
        <v>21</v>
      </c>
      <c r="J325" s="3" t="s">
        <v>79</v>
      </c>
      <c r="K325" s="3">
        <v>28</v>
      </c>
      <c r="L325" s="3">
        <f>D325/K325</f>
        <v>11.535714285714286</v>
      </c>
      <c r="M325" s="6">
        <f>G327/D325</f>
        <v>14.937182662538698</v>
      </c>
    </row>
    <row r="326" spans="1:13" hidden="1">
      <c r="A326" s="3" t="s">
        <v>10</v>
      </c>
      <c r="B326" s="3">
        <f>C318</f>
        <v>14262</v>
      </c>
      <c r="C326" s="3">
        <v>14630</v>
      </c>
      <c r="D326" s="3">
        <f>C326-B326</f>
        <v>368</v>
      </c>
      <c r="E326" s="3"/>
      <c r="F326" s="3"/>
      <c r="G326" s="19">
        <f>3558.8*1.15</f>
        <v>4092.62</v>
      </c>
      <c r="H326" s="6">
        <f>795.6*1.15</f>
        <v>914.93999999999994</v>
      </c>
      <c r="I326" s="3" t="s">
        <v>21</v>
      </c>
      <c r="J326" s="3" t="s">
        <v>80</v>
      </c>
      <c r="K326" s="3">
        <v>31</v>
      </c>
      <c r="L326" s="3">
        <f>D326/K326</f>
        <v>11.870967741935484</v>
      </c>
      <c r="M326" s="6">
        <f>G328/D326</f>
        <v>13.607499999999998</v>
      </c>
    </row>
    <row r="327" spans="1:13" hidden="1">
      <c r="A327" s="2" t="s">
        <v>48</v>
      </c>
      <c r="B327" s="2"/>
      <c r="C327" s="3"/>
      <c r="D327" s="3"/>
      <c r="E327" s="3"/>
      <c r="F327" s="3"/>
      <c r="G327" s="20">
        <f>E325+G325+H325</f>
        <v>4824.7099999999991</v>
      </c>
      <c r="H327" s="6"/>
      <c r="I327" s="3"/>
      <c r="J327" s="3"/>
      <c r="K327" s="3"/>
      <c r="L327" s="3"/>
      <c r="M327" s="3"/>
    </row>
    <row r="328" spans="1:13" hidden="1">
      <c r="A328" s="2" t="s">
        <v>12</v>
      </c>
      <c r="B328" s="4"/>
      <c r="C328" s="4"/>
      <c r="D328" s="2"/>
      <c r="E328" s="2"/>
      <c r="F328" s="2"/>
      <c r="G328" s="20">
        <f>G326+H326</f>
        <v>5007.5599999999995</v>
      </c>
      <c r="H328" s="7"/>
      <c r="I328" s="3"/>
      <c r="J328" s="3"/>
      <c r="K328" s="3"/>
      <c r="L328" s="3"/>
      <c r="M328" s="3"/>
    </row>
    <row r="329" spans="1:13" hidden="1">
      <c r="A329" s="2" t="s">
        <v>13</v>
      </c>
      <c r="B329" s="2"/>
      <c r="C329" s="2"/>
      <c r="D329" s="2"/>
      <c r="E329" s="2"/>
      <c r="F329" s="2"/>
      <c r="G329" s="7">
        <f>G327-G328</f>
        <v>-182.85000000000036</v>
      </c>
      <c r="H329" s="7"/>
      <c r="I329" s="3"/>
      <c r="J329" s="3"/>
      <c r="K329" s="3"/>
      <c r="L329" s="3"/>
      <c r="M329" s="3"/>
    </row>
    <row r="330" spans="1:13" hidden="1"/>
    <row r="331" spans="1:13" hidden="1">
      <c r="A331" s="16">
        <v>44348</v>
      </c>
    </row>
    <row r="332" spans="1:13" hidden="1">
      <c r="A332" s="2" t="s">
        <v>1</v>
      </c>
      <c r="B332" s="2" t="s">
        <v>2</v>
      </c>
      <c r="C332" s="2" t="s">
        <v>3</v>
      </c>
      <c r="D332" s="2" t="s">
        <v>4</v>
      </c>
      <c r="E332" s="2" t="s">
        <v>15</v>
      </c>
      <c r="F332" s="2" t="s">
        <v>14</v>
      </c>
      <c r="G332" s="2" t="s">
        <v>5</v>
      </c>
      <c r="H332" s="2" t="s">
        <v>6</v>
      </c>
      <c r="I332" s="2" t="s">
        <v>16</v>
      </c>
      <c r="J332" s="2" t="s">
        <v>17</v>
      </c>
      <c r="K332" s="2" t="s">
        <v>18</v>
      </c>
      <c r="L332" s="2" t="s">
        <v>19</v>
      </c>
      <c r="M332" s="2" t="s">
        <v>20</v>
      </c>
    </row>
    <row r="333" spans="1:13" hidden="1">
      <c r="A333" s="3" t="s">
        <v>45</v>
      </c>
      <c r="B333" s="3">
        <f>C325</f>
        <v>14710</v>
      </c>
      <c r="C333" s="3">
        <v>15121</v>
      </c>
      <c r="D333" s="3">
        <f>C333-B333</f>
        <v>411</v>
      </c>
      <c r="E333" s="3">
        <f>753.16*1.15</f>
        <v>866.1339999999999</v>
      </c>
      <c r="F333" s="3"/>
      <c r="G333" s="8">
        <f>4527.2*1.15</f>
        <v>5206.28</v>
      </c>
      <c r="H333" s="3">
        <f>849.6*1.15</f>
        <v>977.04</v>
      </c>
      <c r="I333" s="3" t="s">
        <v>21</v>
      </c>
      <c r="J333" s="3" t="s">
        <v>81</v>
      </c>
      <c r="K333" s="3">
        <v>34</v>
      </c>
      <c r="L333" s="3">
        <f>D333/K333</f>
        <v>12.088235294117647</v>
      </c>
      <c r="M333" s="6">
        <f>G335/D333</f>
        <v>17.151956204379562</v>
      </c>
    </row>
    <row r="334" spans="1:13" hidden="1">
      <c r="A334" s="3" t="s">
        <v>10</v>
      </c>
      <c r="B334" s="3">
        <f>C326</f>
        <v>14630</v>
      </c>
      <c r="C334" s="3">
        <v>14971</v>
      </c>
      <c r="D334" s="3">
        <f>C334-B334</f>
        <v>341</v>
      </c>
      <c r="E334" s="3"/>
      <c r="F334" s="3"/>
      <c r="G334" s="19">
        <f>3264.61*1.15</f>
        <v>3754.3015</v>
      </c>
      <c r="H334" s="6">
        <f>849.6*1.15</f>
        <v>977.04</v>
      </c>
      <c r="I334" s="3" t="s">
        <v>21</v>
      </c>
      <c r="J334" s="3" t="s">
        <v>82</v>
      </c>
      <c r="K334" s="3">
        <v>29</v>
      </c>
      <c r="L334" s="3">
        <f>D334/K334</f>
        <v>11.758620689655173</v>
      </c>
      <c r="M334" s="6">
        <f>G336/D334</f>
        <v>13.874901759530793</v>
      </c>
    </row>
    <row r="335" spans="1:13" hidden="1">
      <c r="A335" s="2" t="s">
        <v>48</v>
      </c>
      <c r="B335" s="2"/>
      <c r="C335" s="3"/>
      <c r="D335" s="3"/>
      <c r="E335" s="3"/>
      <c r="F335" s="3"/>
      <c r="G335" s="20">
        <f>E333+G333+H333</f>
        <v>7049.4539999999997</v>
      </c>
      <c r="H335" s="6"/>
      <c r="I335" s="3"/>
      <c r="J335" s="3"/>
      <c r="K335" s="3"/>
      <c r="L335" s="3"/>
      <c r="M335" s="3"/>
    </row>
    <row r="336" spans="1:13" hidden="1">
      <c r="A336" s="2" t="s">
        <v>12</v>
      </c>
      <c r="B336" s="4"/>
      <c r="C336" s="4"/>
      <c r="D336" s="2"/>
      <c r="E336" s="2"/>
      <c r="F336" s="2"/>
      <c r="G336" s="20">
        <f>G334+H334</f>
        <v>4731.3415000000005</v>
      </c>
      <c r="H336" s="7"/>
      <c r="I336" s="3"/>
      <c r="J336" s="3"/>
      <c r="K336" s="3"/>
      <c r="L336" s="3"/>
      <c r="M336" s="3"/>
    </row>
    <row r="337" spans="1:13" hidden="1">
      <c r="A337" s="2" t="s">
        <v>13</v>
      </c>
      <c r="B337" s="2"/>
      <c r="C337" s="2"/>
      <c r="D337" s="2"/>
      <c r="E337" s="2"/>
      <c r="F337" s="2"/>
      <c r="G337" s="7">
        <f>G335-G336</f>
        <v>2318.1124999999993</v>
      </c>
      <c r="H337" s="7"/>
      <c r="I337" s="3"/>
      <c r="J337" s="3"/>
      <c r="K337" s="3"/>
      <c r="L337" s="3"/>
      <c r="M337" s="3"/>
    </row>
    <row r="338" spans="1:13" hidden="1"/>
    <row r="339" spans="1:13" hidden="1">
      <c r="A339" s="16">
        <v>44378</v>
      </c>
    </row>
    <row r="340" spans="1:13" hidden="1">
      <c r="A340" s="2" t="s">
        <v>1</v>
      </c>
      <c r="B340" s="2" t="s">
        <v>2</v>
      </c>
      <c r="C340" s="2" t="s">
        <v>3</v>
      </c>
      <c r="D340" s="2" t="s">
        <v>4</v>
      </c>
      <c r="E340" s="2" t="s">
        <v>15</v>
      </c>
      <c r="F340" s="2" t="s">
        <v>14</v>
      </c>
      <c r="G340" s="2" t="s">
        <v>5</v>
      </c>
      <c r="H340" s="2" t="s">
        <v>6</v>
      </c>
      <c r="I340" s="2" t="s">
        <v>16</v>
      </c>
      <c r="J340" s="2" t="s">
        <v>17</v>
      </c>
      <c r="K340" s="2" t="s">
        <v>18</v>
      </c>
      <c r="L340" s="2" t="s">
        <v>19</v>
      </c>
      <c r="M340" s="2" t="s">
        <v>20</v>
      </c>
    </row>
    <row r="341" spans="1:13" hidden="1">
      <c r="A341" s="3" t="s">
        <v>45</v>
      </c>
      <c r="B341" s="3">
        <f>C333</f>
        <v>15121</v>
      </c>
      <c r="C341" s="3">
        <v>15453</v>
      </c>
      <c r="D341" s="3">
        <f>C341-B341</f>
        <v>332</v>
      </c>
      <c r="E341" s="3">
        <f>444.57*1.15</f>
        <v>511.25549999999993</v>
      </c>
      <c r="F341" s="3"/>
      <c r="G341" s="8">
        <f>3313.66*1.15</f>
        <v>3810.7089999999994</v>
      </c>
      <c r="H341" s="3">
        <f>849.6*1.15</f>
        <v>977.04</v>
      </c>
      <c r="I341" s="3" t="s">
        <v>21</v>
      </c>
      <c r="J341" s="3" t="s">
        <v>83</v>
      </c>
      <c r="K341" s="3">
        <v>28</v>
      </c>
      <c r="L341" s="3">
        <f>D341/K341</f>
        <v>11.857142857142858</v>
      </c>
      <c r="M341" s="6">
        <f>G343/D341</f>
        <v>15.960856927710841</v>
      </c>
    </row>
    <row r="342" spans="1:13" hidden="1">
      <c r="A342" s="3" t="s">
        <v>10</v>
      </c>
      <c r="B342" s="3">
        <f>C334</f>
        <v>14971</v>
      </c>
      <c r="C342" s="3">
        <v>15376</v>
      </c>
      <c r="D342" s="3">
        <f>C342-B342</f>
        <v>405</v>
      </c>
      <c r="E342" s="3"/>
      <c r="F342" s="3"/>
      <c r="G342" s="19">
        <f>(1306.36+2674.08)*1.15</f>
        <v>4577.5059999999994</v>
      </c>
      <c r="H342" s="6">
        <f>849.6*1.15</f>
        <v>977.04</v>
      </c>
      <c r="I342" s="3" t="s">
        <v>21</v>
      </c>
      <c r="J342" s="3" t="s">
        <v>84</v>
      </c>
      <c r="K342" s="3">
        <v>35</v>
      </c>
      <c r="L342" s="3">
        <f>D342/K342</f>
        <v>11.571428571428571</v>
      </c>
      <c r="M342" s="6">
        <f>G344/D342</f>
        <v>13.714928395061726</v>
      </c>
    </row>
    <row r="343" spans="1:13" hidden="1">
      <c r="A343" s="2" t="s">
        <v>48</v>
      </c>
      <c r="B343" s="2"/>
      <c r="C343" s="3"/>
      <c r="D343" s="3"/>
      <c r="E343" s="3"/>
      <c r="F343" s="3"/>
      <c r="G343" s="20">
        <f>E341+G341+H341</f>
        <v>5299.0044999999991</v>
      </c>
      <c r="H343" s="6"/>
      <c r="I343" s="3"/>
      <c r="J343" s="3"/>
      <c r="K343" s="3"/>
      <c r="L343" s="3"/>
      <c r="M343" s="3"/>
    </row>
    <row r="344" spans="1:13" hidden="1">
      <c r="A344" s="2" t="s">
        <v>12</v>
      </c>
      <c r="B344" s="4"/>
      <c r="C344" s="4"/>
      <c r="D344" s="2"/>
      <c r="E344" s="2"/>
      <c r="F344" s="2"/>
      <c r="G344" s="20">
        <f>G342+H342</f>
        <v>5554.5459999999994</v>
      </c>
      <c r="H344" s="7"/>
      <c r="I344" s="3"/>
      <c r="J344" s="3"/>
      <c r="K344" s="3"/>
      <c r="L344" s="3"/>
      <c r="M344" s="3"/>
    </row>
    <row r="345" spans="1:13" hidden="1">
      <c r="A345" s="2" t="s">
        <v>13</v>
      </c>
      <c r="B345" s="2"/>
      <c r="C345" s="2"/>
      <c r="D345" s="2"/>
      <c r="E345" s="2"/>
      <c r="F345" s="2"/>
      <c r="G345" s="7">
        <f>G343-G344</f>
        <v>-255.54150000000027</v>
      </c>
      <c r="H345" s="7"/>
      <c r="I345" s="3"/>
      <c r="J345" s="3"/>
      <c r="K345" s="3"/>
      <c r="L345" s="3"/>
      <c r="M345" s="3"/>
    </row>
    <row r="346" spans="1:13" hidden="1"/>
    <row r="347" spans="1:13" hidden="1">
      <c r="A347" s="16">
        <v>44409</v>
      </c>
    </row>
    <row r="348" spans="1:13" hidden="1">
      <c r="A348" s="2" t="s">
        <v>1</v>
      </c>
      <c r="B348" s="2" t="s">
        <v>2</v>
      </c>
      <c r="C348" s="2" t="s">
        <v>3</v>
      </c>
      <c r="D348" s="2" t="s">
        <v>4</v>
      </c>
      <c r="E348" s="2" t="s">
        <v>15</v>
      </c>
      <c r="F348" s="2" t="s">
        <v>14</v>
      </c>
      <c r="G348" s="2" t="s">
        <v>5</v>
      </c>
      <c r="H348" s="2" t="s">
        <v>6</v>
      </c>
      <c r="I348" s="2" t="s">
        <v>16</v>
      </c>
      <c r="J348" s="2" t="s">
        <v>17</v>
      </c>
      <c r="K348" s="2" t="s">
        <v>18</v>
      </c>
      <c r="L348" s="2" t="s">
        <v>19</v>
      </c>
      <c r="M348" s="2" t="s">
        <v>20</v>
      </c>
    </row>
    <row r="349" spans="1:13" hidden="1">
      <c r="A349" s="3" t="s">
        <v>45</v>
      </c>
      <c r="B349" s="3">
        <f>C341</f>
        <v>15453</v>
      </c>
      <c r="C349" s="3">
        <v>15927</v>
      </c>
      <c r="D349" s="3">
        <f>C349-B349</f>
        <v>474</v>
      </c>
      <c r="E349" s="3">
        <f>797*1.15</f>
        <v>916.55</v>
      </c>
      <c r="F349" s="3"/>
      <c r="G349" s="8">
        <f>6944.02*1.15</f>
        <v>7985.6229999999996</v>
      </c>
      <c r="H349" s="3">
        <f>849.6*1.15</f>
        <v>977.04</v>
      </c>
      <c r="I349" s="3" t="s">
        <v>21</v>
      </c>
      <c r="J349" s="3" t="s">
        <v>85</v>
      </c>
      <c r="K349" s="3">
        <v>35</v>
      </c>
      <c r="L349" s="3">
        <f>D349/K349</f>
        <v>13.542857142857143</v>
      </c>
      <c r="M349" s="6">
        <f>G351/D349</f>
        <v>20.842221518987341</v>
      </c>
    </row>
    <row r="350" spans="1:13" hidden="1">
      <c r="A350" s="3" t="s">
        <v>10</v>
      </c>
      <c r="B350" s="3">
        <f>C342</f>
        <v>15376</v>
      </c>
      <c r="C350" s="3">
        <v>15795</v>
      </c>
      <c r="D350" s="3">
        <f>C350-B350</f>
        <v>419</v>
      </c>
      <c r="E350" s="3"/>
      <c r="F350" s="3"/>
      <c r="G350" s="19">
        <f>4623.03*1.15</f>
        <v>5316.4844999999996</v>
      </c>
      <c r="H350" s="6">
        <f>849.6*1.15</f>
        <v>977.04</v>
      </c>
      <c r="I350" s="3" t="s">
        <v>21</v>
      </c>
      <c r="J350" s="3" t="s">
        <v>86</v>
      </c>
      <c r="K350" s="3">
        <v>33</v>
      </c>
      <c r="L350" s="3">
        <f>D350/K350</f>
        <v>12.696969696969697</v>
      </c>
      <c r="M350" s="6">
        <f>G352/D350</f>
        <v>15.020344868735082</v>
      </c>
    </row>
    <row r="351" spans="1:13" hidden="1">
      <c r="A351" s="2" t="s">
        <v>48</v>
      </c>
      <c r="B351" s="2"/>
      <c r="C351" s="3"/>
      <c r="D351" s="3"/>
      <c r="E351" s="3"/>
      <c r="F351" s="3"/>
      <c r="G351" s="20">
        <f>E349+G349+H349</f>
        <v>9879.2129999999997</v>
      </c>
      <c r="H351" s="6"/>
      <c r="I351" s="3"/>
      <c r="J351" s="3"/>
      <c r="K351" s="3"/>
      <c r="L351" s="3"/>
      <c r="M351" s="3"/>
    </row>
    <row r="352" spans="1:13" hidden="1">
      <c r="A352" s="2" t="s">
        <v>12</v>
      </c>
      <c r="B352" s="4"/>
      <c r="C352" s="4"/>
      <c r="D352" s="2"/>
      <c r="E352" s="2"/>
      <c r="F352" s="2"/>
      <c r="G352" s="20">
        <f>G350+H350</f>
        <v>6293.5244999999995</v>
      </c>
      <c r="H352" s="7"/>
      <c r="I352" s="3"/>
      <c r="J352" s="3"/>
      <c r="K352" s="3"/>
      <c r="L352" s="3"/>
      <c r="M352" s="3"/>
    </row>
    <row r="353" spans="1:13" hidden="1">
      <c r="A353" s="2" t="s">
        <v>13</v>
      </c>
      <c r="B353" s="2"/>
      <c r="C353" s="2"/>
      <c r="D353" s="2"/>
      <c r="E353" s="2"/>
      <c r="F353" s="2"/>
      <c r="G353" s="7">
        <f>G351-G352</f>
        <v>3585.6885000000002</v>
      </c>
      <c r="H353" s="7"/>
      <c r="I353" s="3"/>
      <c r="J353" s="3"/>
      <c r="K353" s="3"/>
      <c r="L353" s="3"/>
      <c r="M353" s="3"/>
    </row>
    <row r="354" spans="1:13" hidden="1"/>
    <row r="355" spans="1:13" hidden="1">
      <c r="A355" s="16">
        <v>44440</v>
      </c>
    </row>
    <row r="356" spans="1:13" hidden="1">
      <c r="A356" s="2" t="s">
        <v>1</v>
      </c>
      <c r="B356" s="2" t="s">
        <v>2</v>
      </c>
      <c r="C356" s="2" t="s">
        <v>3</v>
      </c>
      <c r="D356" s="2" t="s">
        <v>4</v>
      </c>
      <c r="E356" s="2" t="s">
        <v>15</v>
      </c>
      <c r="F356" s="2" t="s">
        <v>14</v>
      </c>
      <c r="G356" s="2" t="s">
        <v>5</v>
      </c>
      <c r="H356" s="2" t="s">
        <v>6</v>
      </c>
      <c r="I356" s="2" t="s">
        <v>16</v>
      </c>
      <c r="J356" s="2" t="s">
        <v>17</v>
      </c>
      <c r="K356" s="2" t="s">
        <v>18</v>
      </c>
      <c r="L356" s="2" t="s">
        <v>19</v>
      </c>
      <c r="M356" s="2" t="s">
        <v>20</v>
      </c>
    </row>
    <row r="357" spans="1:13" hidden="1">
      <c r="A357" s="3" t="s">
        <v>45</v>
      </c>
      <c r="B357" s="3">
        <f>C349</f>
        <v>15927</v>
      </c>
      <c r="C357" s="3">
        <v>16366</v>
      </c>
      <c r="D357" s="3">
        <f>C357-B357</f>
        <v>439</v>
      </c>
      <c r="E357" s="3">
        <f>333.05*1.15</f>
        <v>383.00749999999999</v>
      </c>
      <c r="F357" s="3"/>
      <c r="G357" s="8">
        <f>5043.18*1.15</f>
        <v>5799.6570000000002</v>
      </c>
      <c r="H357" s="3">
        <f>849.6*1.15</f>
        <v>977.04</v>
      </c>
      <c r="I357" s="3" t="s">
        <v>21</v>
      </c>
      <c r="J357" s="3" t="s">
        <v>87</v>
      </c>
      <c r="K357" s="3">
        <v>28</v>
      </c>
      <c r="L357" s="3">
        <f>D357/K357</f>
        <v>15.678571428571429</v>
      </c>
      <c r="M357" s="6">
        <f>G359/D357</f>
        <v>16.309121867881547</v>
      </c>
    </row>
    <row r="358" spans="1:13" hidden="1">
      <c r="A358" s="3" t="s">
        <v>10</v>
      </c>
      <c r="B358" s="3">
        <f>C350</f>
        <v>15795</v>
      </c>
      <c r="C358" s="3">
        <v>16198</v>
      </c>
      <c r="D358" s="3">
        <f>C358-B358</f>
        <v>403</v>
      </c>
      <c r="E358" s="3"/>
      <c r="F358" s="3"/>
      <c r="G358" s="19">
        <f>5343.56*1.15</f>
        <v>6145.0940000000001</v>
      </c>
      <c r="H358" s="6">
        <f>849.6*1.15</f>
        <v>977.04</v>
      </c>
      <c r="I358" s="3" t="s">
        <v>21</v>
      </c>
      <c r="J358" s="3" t="s">
        <v>88</v>
      </c>
      <c r="K358" s="3">
        <v>26</v>
      </c>
      <c r="L358" s="3">
        <f>D358/K358</f>
        <v>15.5</v>
      </c>
      <c r="M358" s="6">
        <f>G360/D358</f>
        <v>17.672789081885856</v>
      </c>
    </row>
    <row r="359" spans="1:13" hidden="1">
      <c r="A359" s="2" t="s">
        <v>48</v>
      </c>
      <c r="B359" s="2"/>
      <c r="C359" s="3"/>
      <c r="D359" s="3"/>
      <c r="E359" s="3"/>
      <c r="F359" s="3"/>
      <c r="G359" s="20">
        <f>E357+G357+H357</f>
        <v>7159.7044999999998</v>
      </c>
      <c r="H359" s="6"/>
      <c r="I359" s="3"/>
      <c r="J359" s="3"/>
      <c r="K359" s="3"/>
      <c r="L359" s="3"/>
      <c r="M359" s="3"/>
    </row>
    <row r="360" spans="1:13" hidden="1">
      <c r="A360" s="2" t="s">
        <v>12</v>
      </c>
      <c r="B360" s="4"/>
      <c r="C360" s="4"/>
      <c r="D360" s="2"/>
      <c r="E360" s="2"/>
      <c r="F360" s="2"/>
      <c r="G360" s="20">
        <f>G358+H358</f>
        <v>7122.134</v>
      </c>
      <c r="H360" s="7"/>
      <c r="I360" s="3"/>
      <c r="J360" s="3"/>
      <c r="K360" s="3"/>
      <c r="L360" s="3"/>
      <c r="M360" s="3"/>
    </row>
    <row r="361" spans="1:13" hidden="1">
      <c r="A361" s="2" t="s">
        <v>13</v>
      </c>
      <c r="B361" s="2"/>
      <c r="C361" s="2"/>
      <c r="D361" s="2"/>
      <c r="E361" s="2"/>
      <c r="F361" s="2"/>
      <c r="G361" s="7">
        <f>G359-G360</f>
        <v>37.570499999999811</v>
      </c>
      <c r="H361" s="7"/>
      <c r="I361" s="3"/>
      <c r="J361" s="3"/>
      <c r="K361" s="3"/>
      <c r="L361" s="3"/>
      <c r="M361" s="3"/>
    </row>
    <row r="362" spans="1:13" hidden="1"/>
    <row r="363" spans="1:13" hidden="1">
      <c r="A363" s="16">
        <v>44470</v>
      </c>
    </row>
    <row r="364" spans="1:13" hidden="1">
      <c r="A364" s="2" t="s">
        <v>1</v>
      </c>
      <c r="B364" s="2" t="s">
        <v>2</v>
      </c>
      <c r="C364" s="2" t="s">
        <v>3</v>
      </c>
      <c r="D364" s="2" t="s">
        <v>4</v>
      </c>
      <c r="E364" s="2" t="s">
        <v>15</v>
      </c>
      <c r="F364" s="2" t="s">
        <v>14</v>
      </c>
      <c r="G364" s="2" t="s">
        <v>5</v>
      </c>
      <c r="H364" s="2" t="s">
        <v>6</v>
      </c>
      <c r="I364" s="2" t="s">
        <v>16</v>
      </c>
      <c r="J364" s="2" t="s">
        <v>17</v>
      </c>
      <c r="K364" s="2" t="s">
        <v>18</v>
      </c>
      <c r="L364" s="2" t="s">
        <v>19</v>
      </c>
      <c r="M364" s="2" t="s">
        <v>20</v>
      </c>
    </row>
    <row r="365" spans="1:13" hidden="1">
      <c r="A365" s="3" t="s">
        <v>45</v>
      </c>
      <c r="B365" s="3">
        <f>C357</f>
        <v>16366</v>
      </c>
      <c r="C365" s="3">
        <v>16751</v>
      </c>
      <c r="D365" s="3">
        <f>C365-B365</f>
        <v>385</v>
      </c>
      <c r="E365" s="3">
        <f>752.56*1.15</f>
        <v>865.44399999999985</v>
      </c>
      <c r="F365" s="3"/>
      <c r="G365" s="8">
        <f>3480.49*1.15</f>
        <v>4002.5634999999993</v>
      </c>
      <c r="H365" s="3">
        <f>849.6*1.15</f>
        <v>977.04</v>
      </c>
      <c r="I365" s="3" t="s">
        <v>21</v>
      </c>
      <c r="J365" s="3" t="s">
        <v>89</v>
      </c>
      <c r="K365" s="3">
        <v>28</v>
      </c>
      <c r="L365" s="3">
        <f>D365/K365</f>
        <v>13.75</v>
      </c>
      <c r="M365" s="6">
        <f>G367/D365</f>
        <v>15.181941558441554</v>
      </c>
    </row>
    <row r="366" spans="1:13" hidden="1">
      <c r="A366" s="3" t="s">
        <v>10</v>
      </c>
      <c r="B366" s="3">
        <f>C358</f>
        <v>16198</v>
      </c>
      <c r="C366" s="3">
        <v>16592</v>
      </c>
      <c r="D366" s="3">
        <f>C366-B366</f>
        <v>394</v>
      </c>
      <c r="E366" s="3"/>
      <c r="F366" s="3"/>
      <c r="G366" s="19">
        <f>4479.89*1.15</f>
        <v>5151.8734999999997</v>
      </c>
      <c r="H366" s="6">
        <f>849.6*1.15</f>
        <v>977.04</v>
      </c>
      <c r="I366" s="3" t="s">
        <v>21</v>
      </c>
      <c r="J366" s="3" t="s">
        <v>90</v>
      </c>
      <c r="K366" s="3">
        <v>30</v>
      </c>
      <c r="L366" s="3">
        <f>D366/K366</f>
        <v>13.133333333333333</v>
      </c>
      <c r="M366" s="6">
        <f>G368/D366</f>
        <v>15.555618020304568</v>
      </c>
    </row>
    <row r="367" spans="1:13" hidden="1">
      <c r="A367" s="2" t="s">
        <v>48</v>
      </c>
      <c r="B367" s="2"/>
      <c r="C367" s="3"/>
      <c r="D367" s="3"/>
      <c r="E367" s="3"/>
      <c r="F367" s="3"/>
      <c r="G367" s="20">
        <f>E365+G365+H365</f>
        <v>5845.0474999999988</v>
      </c>
      <c r="H367" s="6"/>
      <c r="I367" s="3"/>
      <c r="J367" s="3"/>
      <c r="K367" s="3"/>
      <c r="L367" s="3"/>
      <c r="M367" s="3"/>
    </row>
    <row r="368" spans="1:13" hidden="1">
      <c r="A368" s="2" t="s">
        <v>12</v>
      </c>
      <c r="B368" s="4"/>
      <c r="C368" s="4"/>
      <c r="D368" s="2"/>
      <c r="E368" s="2"/>
      <c r="F368" s="2"/>
      <c r="G368" s="20">
        <f>G366+H366</f>
        <v>6128.9134999999997</v>
      </c>
      <c r="H368" s="7"/>
      <c r="I368" s="3"/>
      <c r="J368" s="3"/>
      <c r="K368" s="3"/>
      <c r="L368" s="3"/>
      <c r="M368" s="3"/>
    </row>
    <row r="369" spans="1:13" hidden="1">
      <c r="A369" s="2" t="s">
        <v>13</v>
      </c>
      <c r="B369" s="2"/>
      <c r="C369" s="2"/>
      <c r="D369" s="2"/>
      <c r="E369" s="2"/>
      <c r="F369" s="2"/>
      <c r="G369" s="7">
        <f>G367-G368</f>
        <v>-283.86600000000089</v>
      </c>
      <c r="H369" s="7"/>
      <c r="I369" s="3"/>
      <c r="J369" s="3"/>
      <c r="K369" s="3"/>
      <c r="L369" s="3"/>
      <c r="M369" s="3"/>
    </row>
    <row r="370" spans="1:13" hidden="1"/>
    <row r="371" spans="1:13" hidden="1">
      <c r="A371" s="16">
        <v>44501</v>
      </c>
    </row>
    <row r="372" spans="1:13" hidden="1">
      <c r="A372" s="2" t="s">
        <v>1</v>
      </c>
      <c r="B372" s="2" t="s">
        <v>2</v>
      </c>
      <c r="C372" s="2" t="s">
        <v>3</v>
      </c>
      <c r="D372" s="2" t="s">
        <v>4</v>
      </c>
      <c r="E372" s="2" t="s">
        <v>15</v>
      </c>
      <c r="F372" s="2" t="s">
        <v>14</v>
      </c>
      <c r="G372" s="2" t="s">
        <v>5</v>
      </c>
      <c r="H372" s="2" t="s">
        <v>6</v>
      </c>
      <c r="I372" s="2" t="s">
        <v>16</v>
      </c>
      <c r="J372" s="2" t="s">
        <v>17</v>
      </c>
      <c r="K372" s="2" t="s">
        <v>18</v>
      </c>
      <c r="L372" s="2" t="s">
        <v>19</v>
      </c>
      <c r="M372" s="2" t="s">
        <v>20</v>
      </c>
    </row>
    <row r="373" spans="1:13" hidden="1">
      <c r="A373" s="3" t="s">
        <v>45</v>
      </c>
      <c r="B373" s="3">
        <f>C365</f>
        <v>16751</v>
      </c>
      <c r="C373" s="3">
        <v>17113</v>
      </c>
      <c r="D373" s="3">
        <f>C373-B373</f>
        <v>362</v>
      </c>
      <c r="E373" s="3">
        <v>0</v>
      </c>
      <c r="F373" s="3"/>
      <c r="G373" s="8">
        <f>5233.7*1.15</f>
        <v>6018.7549999999992</v>
      </c>
      <c r="H373" s="3">
        <f>849.6*1.15</f>
        <v>977.04</v>
      </c>
      <c r="I373" s="3" t="s">
        <v>21</v>
      </c>
      <c r="J373" s="3" t="s">
        <v>91</v>
      </c>
      <c r="K373" s="3">
        <v>35</v>
      </c>
      <c r="L373" s="3">
        <f>D373/K373</f>
        <v>10.342857142857143</v>
      </c>
      <c r="M373" s="6">
        <f>G375/D373</f>
        <v>19.325400552486187</v>
      </c>
    </row>
    <row r="374" spans="1:13" hidden="1">
      <c r="A374" s="3" t="s">
        <v>10</v>
      </c>
      <c r="B374" s="3">
        <f>C366</f>
        <v>16592</v>
      </c>
      <c r="C374" s="3">
        <v>16923</v>
      </c>
      <c r="D374" s="3">
        <f>C374-B374</f>
        <v>331</v>
      </c>
      <c r="E374" s="3"/>
      <c r="F374" s="3"/>
      <c r="G374" s="19">
        <f>3532.3*1.15</f>
        <v>4062.145</v>
      </c>
      <c r="H374" s="6">
        <f>849.6*1.15</f>
        <v>977.04</v>
      </c>
      <c r="I374" s="3" t="s">
        <v>21</v>
      </c>
      <c r="J374" s="3" t="s">
        <v>92</v>
      </c>
      <c r="K374" s="3">
        <v>27</v>
      </c>
      <c r="L374" s="3">
        <f>D374/K374</f>
        <v>12.25925925925926</v>
      </c>
      <c r="M374" s="6">
        <f>G376/D374</f>
        <v>15.224123867069485</v>
      </c>
    </row>
    <row r="375" spans="1:13" hidden="1">
      <c r="A375" s="2" t="s">
        <v>48</v>
      </c>
      <c r="B375" s="2"/>
      <c r="C375" s="3"/>
      <c r="D375" s="3"/>
      <c r="E375" s="3"/>
      <c r="F375" s="3"/>
      <c r="G375" s="20">
        <f>E373+G373+H373</f>
        <v>6995.7949999999992</v>
      </c>
      <c r="H375" s="6"/>
      <c r="I375" s="3"/>
      <c r="J375" s="3"/>
      <c r="K375" s="3"/>
      <c r="L375" s="3"/>
      <c r="M375" s="3"/>
    </row>
    <row r="376" spans="1:13" hidden="1">
      <c r="A376" s="2" t="s">
        <v>12</v>
      </c>
      <c r="B376" s="4"/>
      <c r="C376" s="4"/>
      <c r="D376" s="2"/>
      <c r="E376" s="2"/>
      <c r="F376" s="2"/>
      <c r="G376" s="20">
        <f>G374+H374</f>
        <v>5039.1849999999995</v>
      </c>
      <c r="H376" s="7"/>
      <c r="I376" s="3"/>
      <c r="J376" s="3"/>
      <c r="K376" s="3"/>
      <c r="L376" s="3"/>
      <c r="M376" s="3"/>
    </row>
    <row r="377" spans="1:13" hidden="1">
      <c r="A377" s="2" t="s">
        <v>13</v>
      </c>
      <c r="B377" s="2"/>
      <c r="C377" s="2"/>
      <c r="D377" s="2"/>
      <c r="E377" s="2"/>
      <c r="F377" s="2"/>
      <c r="G377" s="7">
        <f>G375-G376</f>
        <v>1956.6099999999997</v>
      </c>
      <c r="H377" s="7"/>
      <c r="I377" s="3"/>
      <c r="J377" s="3"/>
      <c r="K377" s="3"/>
      <c r="L377" s="3"/>
      <c r="M377" s="3"/>
    </row>
    <row r="378" spans="1:13" hidden="1"/>
    <row r="379" spans="1:13" hidden="1">
      <c r="A379" s="16">
        <v>44531</v>
      </c>
    </row>
    <row r="380" spans="1:13" hidden="1">
      <c r="A380" s="2" t="s">
        <v>1</v>
      </c>
      <c r="B380" s="2" t="s">
        <v>2</v>
      </c>
      <c r="C380" s="2" t="s">
        <v>3</v>
      </c>
      <c r="D380" s="2" t="s">
        <v>4</v>
      </c>
      <c r="E380" s="2" t="s">
        <v>15</v>
      </c>
      <c r="F380" s="2" t="s">
        <v>14</v>
      </c>
      <c r="G380" s="2" t="s">
        <v>5</v>
      </c>
      <c r="H380" s="2" t="s">
        <v>6</v>
      </c>
      <c r="I380" s="2" t="s">
        <v>16</v>
      </c>
      <c r="J380" s="2" t="s">
        <v>17</v>
      </c>
      <c r="K380" s="2" t="s">
        <v>18</v>
      </c>
      <c r="L380" s="2" t="s">
        <v>19</v>
      </c>
      <c r="M380" s="2" t="s">
        <v>20</v>
      </c>
    </row>
    <row r="381" spans="1:13" hidden="1">
      <c r="A381" s="3" t="s">
        <v>45</v>
      </c>
      <c r="B381" s="3">
        <f>C373</f>
        <v>17113</v>
      </c>
      <c r="C381" s="3">
        <v>17500</v>
      </c>
      <c r="D381" s="3">
        <f>C381-B381</f>
        <v>387</v>
      </c>
      <c r="E381" s="3">
        <v>0</v>
      </c>
      <c r="F381" s="3"/>
      <c r="G381" s="8">
        <f>4807.5*1.15</f>
        <v>5528.625</v>
      </c>
      <c r="H381" s="3">
        <f>849.6*1.15</f>
        <v>977.04</v>
      </c>
      <c r="I381" s="3" t="s">
        <v>21</v>
      </c>
      <c r="J381" s="3" t="s">
        <v>93</v>
      </c>
      <c r="K381" s="3">
        <v>35</v>
      </c>
      <c r="L381" s="3">
        <f>D381/K381</f>
        <v>11.057142857142857</v>
      </c>
      <c r="M381" s="6">
        <f>G383/D381</f>
        <v>16.81050387596899</v>
      </c>
    </row>
    <row r="382" spans="1:13" hidden="1">
      <c r="A382" s="3" t="s">
        <v>10</v>
      </c>
      <c r="B382" s="3">
        <f>C374</f>
        <v>16923</v>
      </c>
      <c r="C382" s="3">
        <v>17208</v>
      </c>
      <c r="D382" s="3">
        <f>C382-B382</f>
        <v>285</v>
      </c>
      <c r="E382" s="3"/>
      <c r="F382" s="3"/>
      <c r="G382" s="19">
        <f>2944.58*1.15</f>
        <v>3386.2669999999998</v>
      </c>
      <c r="H382" s="6">
        <f>849.6*1.15</f>
        <v>977.04</v>
      </c>
      <c r="I382" s="3" t="s">
        <v>21</v>
      </c>
      <c r="J382" s="3" t="s">
        <v>94</v>
      </c>
      <c r="K382" s="3">
        <v>24</v>
      </c>
      <c r="L382" s="3">
        <f>D382/K382</f>
        <v>11.875</v>
      </c>
      <c r="M382" s="6">
        <f>G384/D382</f>
        <v>15.309849122807016</v>
      </c>
    </row>
    <row r="383" spans="1:13" hidden="1">
      <c r="A383" s="2" t="s">
        <v>48</v>
      </c>
      <c r="B383" s="2"/>
      <c r="C383" s="3"/>
      <c r="D383" s="3"/>
      <c r="E383" s="3"/>
      <c r="F383" s="3"/>
      <c r="G383" s="20">
        <f>E381+G381+H381</f>
        <v>6505.665</v>
      </c>
      <c r="H383" s="6"/>
      <c r="I383" s="3"/>
      <c r="J383" s="3"/>
      <c r="K383" s="3"/>
      <c r="L383" s="3"/>
      <c r="M383" s="3"/>
    </row>
    <row r="384" spans="1:13" hidden="1">
      <c r="A384" s="2" t="s">
        <v>12</v>
      </c>
      <c r="B384" s="4"/>
      <c r="C384" s="4"/>
      <c r="D384" s="2"/>
      <c r="E384" s="2"/>
      <c r="F384" s="2"/>
      <c r="G384" s="20">
        <f>G382+H382</f>
        <v>4363.3069999999998</v>
      </c>
      <c r="H384" s="7"/>
      <c r="I384" s="3"/>
      <c r="J384" s="3"/>
      <c r="K384" s="3"/>
      <c r="L384" s="3"/>
      <c r="M384" s="3"/>
    </row>
    <row r="385" spans="1:13" hidden="1">
      <c r="A385" s="2" t="s">
        <v>13</v>
      </c>
      <c r="B385" s="2"/>
      <c r="C385" s="2"/>
      <c r="D385" s="2"/>
      <c r="E385" s="2"/>
      <c r="F385" s="2"/>
      <c r="G385" s="7">
        <f>G383-G384</f>
        <v>2142.3580000000002</v>
      </c>
      <c r="H385" s="7"/>
      <c r="I385" s="3"/>
      <c r="J385" s="3"/>
      <c r="K385" s="3"/>
      <c r="L385" s="3"/>
      <c r="M385" s="3"/>
    </row>
    <row r="387" spans="1:13">
      <c r="A387" s="16">
        <v>44562</v>
      </c>
    </row>
    <row r="388" spans="1:13" hidden="1">
      <c r="A388" s="2" t="s">
        <v>1</v>
      </c>
      <c r="B388" s="2" t="s">
        <v>2</v>
      </c>
      <c r="C388" s="2" t="s">
        <v>3</v>
      </c>
      <c r="D388" s="2" t="s">
        <v>4</v>
      </c>
      <c r="E388" s="2" t="s">
        <v>15</v>
      </c>
      <c r="F388" s="2" t="s">
        <v>14</v>
      </c>
      <c r="G388" s="2" t="s">
        <v>5</v>
      </c>
      <c r="H388" s="2" t="s">
        <v>6</v>
      </c>
      <c r="I388" s="2" t="s">
        <v>16</v>
      </c>
      <c r="J388" s="2" t="s">
        <v>17</v>
      </c>
      <c r="K388" s="2" t="s">
        <v>18</v>
      </c>
      <c r="L388" s="2" t="s">
        <v>19</v>
      </c>
      <c r="M388" s="2" t="s">
        <v>20</v>
      </c>
    </row>
    <row r="389" spans="1:13" hidden="1">
      <c r="A389" s="3" t="s">
        <v>45</v>
      </c>
      <c r="B389" s="3">
        <f>C381</f>
        <v>17500</v>
      </c>
      <c r="C389" s="3">
        <v>17744</v>
      </c>
      <c r="D389" s="3">
        <f>C389-B389</f>
        <v>244</v>
      </c>
      <c r="E389" s="3">
        <v>0</v>
      </c>
      <c r="F389" s="3"/>
      <c r="G389" s="8">
        <f>1429.99*1.15</f>
        <v>1644.4884999999999</v>
      </c>
      <c r="H389" s="3">
        <f>849.6*1.15</f>
        <v>977.04</v>
      </c>
      <c r="I389" s="3" t="s">
        <v>21</v>
      </c>
      <c r="J389" s="3" t="s">
        <v>95</v>
      </c>
      <c r="K389" s="3">
        <v>22</v>
      </c>
      <c r="L389" s="3">
        <f>D389/K389</f>
        <v>11.090909090909092</v>
      </c>
      <c r="M389" s="6">
        <f>G391/D389</f>
        <v>10.743969262295082</v>
      </c>
    </row>
    <row r="390" spans="1:13" hidden="1">
      <c r="A390" s="3" t="s">
        <v>10</v>
      </c>
      <c r="B390" s="3">
        <f>C382</f>
        <v>17208</v>
      </c>
      <c r="C390" s="3">
        <v>17661</v>
      </c>
      <c r="D390" s="3">
        <f>C390-B390</f>
        <v>453</v>
      </c>
      <c r="E390" s="3"/>
      <c r="F390" s="3"/>
      <c r="G390" s="19">
        <f>4313.18*1.15</f>
        <v>4960.1570000000002</v>
      </c>
      <c r="H390" s="6">
        <f>849.6*1.15</f>
        <v>977.04</v>
      </c>
      <c r="I390" s="3" t="s">
        <v>21</v>
      </c>
      <c r="J390" s="3" t="s">
        <v>94</v>
      </c>
      <c r="K390" s="3">
        <v>24</v>
      </c>
      <c r="L390" s="3">
        <f>D390/K390</f>
        <v>18.875</v>
      </c>
      <c r="M390" s="6">
        <f>G392/D390</f>
        <v>13.106395143487859</v>
      </c>
    </row>
    <row r="391" spans="1:13" hidden="1">
      <c r="A391" s="2" t="s">
        <v>48</v>
      </c>
      <c r="B391" s="2"/>
      <c r="C391" s="3"/>
      <c r="D391" s="3"/>
      <c r="E391" s="3"/>
      <c r="F391" s="3"/>
      <c r="G391" s="20">
        <f>E389+G389+H389</f>
        <v>2621.5284999999999</v>
      </c>
      <c r="H391" s="6"/>
      <c r="I391" s="3"/>
      <c r="J391" s="3"/>
      <c r="K391" s="3"/>
      <c r="L391" s="3"/>
      <c r="M391" s="3"/>
    </row>
    <row r="392" spans="1:13" hidden="1">
      <c r="A392" s="2" t="s">
        <v>12</v>
      </c>
      <c r="B392" s="4"/>
      <c r="C392" s="4"/>
      <c r="D392" s="2"/>
      <c r="E392" s="2"/>
      <c r="F392" s="2"/>
      <c r="G392" s="20">
        <f>G390+H390</f>
        <v>5937.1970000000001</v>
      </c>
      <c r="H392" s="7"/>
      <c r="I392" s="3"/>
      <c r="J392" s="3"/>
      <c r="K392" s="3"/>
      <c r="L392" s="3"/>
      <c r="M392" s="3"/>
    </row>
    <row r="393" spans="1:13" hidden="1">
      <c r="A393" s="2" t="s">
        <v>13</v>
      </c>
      <c r="B393" s="2"/>
      <c r="C393" s="2"/>
      <c r="D393" s="2"/>
      <c r="E393" s="2"/>
      <c r="F393" s="2"/>
      <c r="G393" s="7">
        <f>G391-G392</f>
        <v>-3315.6685000000002</v>
      </c>
      <c r="H393" s="7"/>
      <c r="I393" s="3"/>
      <c r="J393" s="3"/>
      <c r="K393" s="3"/>
      <c r="L393" s="3"/>
      <c r="M393" s="3"/>
    </row>
    <row r="394" spans="1:13" hidden="1"/>
    <row r="395" spans="1:13" hidden="1">
      <c r="A395" s="16">
        <v>44593</v>
      </c>
    </row>
    <row r="396" spans="1:13" hidden="1">
      <c r="A396" s="2" t="s">
        <v>1</v>
      </c>
      <c r="B396" s="2" t="s">
        <v>2</v>
      </c>
      <c r="C396" s="2" t="s">
        <v>3</v>
      </c>
      <c r="D396" s="2" t="s">
        <v>4</v>
      </c>
      <c r="E396" s="2" t="s">
        <v>15</v>
      </c>
      <c r="F396" s="2" t="s">
        <v>14</v>
      </c>
      <c r="G396" s="2" t="s">
        <v>5</v>
      </c>
      <c r="H396" s="2" t="s">
        <v>6</v>
      </c>
      <c r="I396" s="2" t="s">
        <v>16</v>
      </c>
      <c r="J396" s="2" t="s">
        <v>17</v>
      </c>
      <c r="K396" s="2" t="s">
        <v>18</v>
      </c>
      <c r="L396" s="2" t="s">
        <v>19</v>
      </c>
      <c r="M396" s="2" t="s">
        <v>20</v>
      </c>
    </row>
    <row r="397" spans="1:13" hidden="1">
      <c r="A397" s="3" t="s">
        <v>45</v>
      </c>
      <c r="B397" s="3">
        <f>C389</f>
        <v>17744</v>
      </c>
      <c r="C397" s="3">
        <v>18064</v>
      </c>
      <c r="D397" s="3">
        <f>C397-B397</f>
        <v>320</v>
      </c>
      <c r="E397" s="3">
        <v>0</v>
      </c>
      <c r="F397" s="3"/>
      <c r="G397" s="8">
        <f>3225.32*1.15</f>
        <v>3709.1179999999999</v>
      </c>
      <c r="H397" s="3">
        <f>849.6*1.15</f>
        <v>977.04</v>
      </c>
      <c r="I397" s="3" t="s">
        <v>21</v>
      </c>
      <c r="J397" s="3" t="s">
        <v>96</v>
      </c>
      <c r="K397" s="3">
        <v>28</v>
      </c>
      <c r="L397" s="3">
        <f>D397/K397</f>
        <v>11.428571428571429</v>
      </c>
      <c r="M397" s="6">
        <f>G399/D397</f>
        <v>14.644243749999998</v>
      </c>
    </row>
    <row r="398" spans="1:13" hidden="1">
      <c r="A398" s="3" t="s">
        <v>10</v>
      </c>
      <c r="B398" s="3">
        <f>C390</f>
        <v>17661</v>
      </c>
      <c r="C398" s="3">
        <v>17993</v>
      </c>
      <c r="D398" s="3">
        <f>C398-B398</f>
        <v>332</v>
      </c>
      <c r="E398" s="3"/>
      <c r="F398" s="3"/>
      <c r="G398" s="19">
        <f>3296.05*1.15</f>
        <v>3790.4575</v>
      </c>
      <c r="H398" s="6">
        <f>849.6*1.15</f>
        <v>977.04</v>
      </c>
      <c r="I398" s="3" t="s">
        <v>21</v>
      </c>
      <c r="J398" s="3" t="s">
        <v>97</v>
      </c>
      <c r="K398" s="3">
        <v>29</v>
      </c>
      <c r="L398" s="3">
        <f>D398/K398</f>
        <v>11.448275862068966</v>
      </c>
      <c r="M398" s="6">
        <f>G400/D398</f>
        <v>14.35993222891566</v>
      </c>
    </row>
    <row r="399" spans="1:13" hidden="1">
      <c r="A399" s="2" t="s">
        <v>48</v>
      </c>
      <c r="B399" s="2"/>
      <c r="C399" s="3"/>
      <c r="D399" s="3"/>
      <c r="E399" s="3"/>
      <c r="F399" s="3"/>
      <c r="G399" s="20">
        <f>E397+G397+H397</f>
        <v>4686.1579999999994</v>
      </c>
      <c r="H399" s="6"/>
      <c r="I399" s="3"/>
      <c r="J399" s="3"/>
      <c r="K399" s="3"/>
      <c r="L399" s="3"/>
      <c r="M399" s="3"/>
    </row>
    <row r="400" spans="1:13" hidden="1">
      <c r="A400" s="2" t="s">
        <v>12</v>
      </c>
      <c r="B400" s="4"/>
      <c r="C400" s="4"/>
      <c r="D400" s="2"/>
      <c r="E400" s="2"/>
      <c r="F400" s="2"/>
      <c r="G400" s="20">
        <f>G398+H398</f>
        <v>4767.4974999999995</v>
      </c>
      <c r="H400" s="7"/>
      <c r="I400" s="3"/>
      <c r="J400" s="3"/>
      <c r="K400" s="3"/>
      <c r="L400" s="3"/>
      <c r="M400" s="3"/>
    </row>
    <row r="401" spans="1:13" hidden="1">
      <c r="A401" s="2" t="s">
        <v>13</v>
      </c>
      <c r="B401" s="2"/>
      <c r="C401" s="2"/>
      <c r="D401" s="2"/>
      <c r="E401" s="2"/>
      <c r="F401" s="2"/>
      <c r="G401" s="7">
        <f>G399-G400</f>
        <v>-81.339500000000044</v>
      </c>
      <c r="H401" s="7"/>
      <c r="I401" s="3"/>
      <c r="J401" s="3"/>
      <c r="K401" s="3"/>
      <c r="L401" s="3"/>
      <c r="M401" s="3"/>
    </row>
    <row r="402" spans="1:13" hidden="1"/>
    <row r="403" spans="1:13" hidden="1">
      <c r="A403" s="16">
        <v>44621</v>
      </c>
    </row>
    <row r="404" spans="1:13" hidden="1">
      <c r="A404" s="2" t="s">
        <v>1</v>
      </c>
      <c r="B404" s="2" t="s">
        <v>2</v>
      </c>
      <c r="C404" s="2" t="s">
        <v>3</v>
      </c>
      <c r="D404" s="2" t="s">
        <v>4</v>
      </c>
      <c r="E404" s="2" t="s">
        <v>15</v>
      </c>
      <c r="F404" s="2" t="s">
        <v>14</v>
      </c>
      <c r="G404" s="2" t="s">
        <v>5</v>
      </c>
      <c r="H404" s="2" t="s">
        <v>6</v>
      </c>
      <c r="I404" s="2" t="s">
        <v>16</v>
      </c>
      <c r="J404" s="2" t="s">
        <v>17</v>
      </c>
      <c r="K404" s="2" t="s">
        <v>18</v>
      </c>
      <c r="L404" s="2" t="s">
        <v>19</v>
      </c>
      <c r="M404" s="2" t="s">
        <v>20</v>
      </c>
    </row>
    <row r="405" spans="1:13" hidden="1">
      <c r="A405" s="3" t="s">
        <v>45</v>
      </c>
      <c r="B405" s="3">
        <f>C397</f>
        <v>18064</v>
      </c>
      <c r="C405" s="3">
        <v>18467</v>
      </c>
      <c r="D405" s="3">
        <f>C405-B405</f>
        <v>403</v>
      </c>
      <c r="E405" s="3">
        <f>36.14*1.15</f>
        <v>41.561</v>
      </c>
      <c r="F405" s="3"/>
      <c r="G405" s="8">
        <f>4577.97*1.15</f>
        <v>5264.6655000000001</v>
      </c>
      <c r="H405" s="3">
        <f>849.6*1.15</f>
        <v>977.04</v>
      </c>
      <c r="I405" s="3" t="s">
        <v>21</v>
      </c>
      <c r="J405" s="3" t="s">
        <v>98</v>
      </c>
      <c r="K405" s="3">
        <v>35</v>
      </c>
      <c r="L405" s="3">
        <f>D405/K405</f>
        <v>11.514285714285714</v>
      </c>
      <c r="M405" s="6">
        <f>G407/D405</f>
        <v>15.591232009925557</v>
      </c>
    </row>
    <row r="406" spans="1:13" hidden="1">
      <c r="A406" s="3" t="s">
        <v>10</v>
      </c>
      <c r="B406" s="3">
        <f>C398</f>
        <v>17993</v>
      </c>
      <c r="C406" s="3">
        <v>18368</v>
      </c>
      <c r="D406" s="3">
        <f>C406-B406</f>
        <v>375</v>
      </c>
      <c r="E406" s="3"/>
      <c r="F406" s="3"/>
      <c r="G406" s="19">
        <f>3820.25*1.15</f>
        <v>4393.2874999999995</v>
      </c>
      <c r="H406" s="6">
        <f>849.6*1.15</f>
        <v>977.04</v>
      </c>
      <c r="I406" s="3" t="s">
        <v>21</v>
      </c>
      <c r="J406" s="3" t="s">
        <v>99</v>
      </c>
      <c r="K406" s="3">
        <v>32</v>
      </c>
      <c r="L406" s="3">
        <f>D406/K406</f>
        <v>11.71875</v>
      </c>
      <c r="M406" s="6">
        <f>G408/D406</f>
        <v>14.320873333333331</v>
      </c>
    </row>
    <row r="407" spans="1:13" hidden="1">
      <c r="A407" s="2" t="s">
        <v>48</v>
      </c>
      <c r="B407" s="2"/>
      <c r="C407" s="3"/>
      <c r="D407" s="3"/>
      <c r="E407" s="3"/>
      <c r="F407" s="3"/>
      <c r="G407" s="20">
        <f>E405+G405+H405</f>
        <v>6283.2664999999997</v>
      </c>
      <c r="H407" s="6"/>
      <c r="I407" s="3"/>
      <c r="J407" s="3"/>
      <c r="K407" s="3"/>
      <c r="L407" s="3"/>
      <c r="M407" s="3"/>
    </row>
    <row r="408" spans="1:13" hidden="1">
      <c r="A408" s="2" t="s">
        <v>12</v>
      </c>
      <c r="B408" s="4"/>
      <c r="C408" s="4"/>
      <c r="D408" s="2"/>
      <c r="E408" s="2"/>
      <c r="F408" s="2"/>
      <c r="G408" s="20">
        <f>G406+H406</f>
        <v>5370.3274999999994</v>
      </c>
      <c r="H408" s="7"/>
      <c r="I408" s="3"/>
      <c r="J408" s="3"/>
      <c r="K408" s="3"/>
      <c r="L408" s="3"/>
      <c r="M408" s="3"/>
    </row>
    <row r="409" spans="1:13" hidden="1">
      <c r="A409" s="2" t="s">
        <v>13</v>
      </c>
      <c r="B409" s="2"/>
      <c r="C409" s="2"/>
      <c r="D409" s="2"/>
      <c r="E409" s="2"/>
      <c r="F409" s="2"/>
      <c r="G409" s="7">
        <f>G407-G408</f>
        <v>912.93900000000031</v>
      </c>
      <c r="H409" s="7"/>
      <c r="I409" s="3"/>
      <c r="J409" s="3"/>
      <c r="K409" s="3"/>
      <c r="L409" s="3"/>
      <c r="M409" s="3"/>
    </row>
    <row r="410" spans="1:13" hidden="1"/>
    <row r="411" spans="1:13" hidden="1">
      <c r="A411" s="16">
        <v>44652</v>
      </c>
    </row>
    <row r="412" spans="1:13" hidden="1">
      <c r="A412" s="2" t="s">
        <v>1</v>
      </c>
      <c r="B412" s="2" t="s">
        <v>2</v>
      </c>
      <c r="C412" s="2" t="s">
        <v>3</v>
      </c>
      <c r="D412" s="2" t="s">
        <v>4</v>
      </c>
      <c r="E412" s="2" t="s">
        <v>15</v>
      </c>
      <c r="F412" s="2" t="s">
        <v>14</v>
      </c>
      <c r="G412" s="2" t="s">
        <v>5</v>
      </c>
      <c r="H412" s="2" t="s">
        <v>6</v>
      </c>
      <c r="I412" s="2" t="s">
        <v>16</v>
      </c>
      <c r="J412" s="2" t="s">
        <v>17</v>
      </c>
      <c r="K412" s="2" t="s">
        <v>18</v>
      </c>
      <c r="L412" s="2" t="s">
        <v>19</v>
      </c>
      <c r="M412" s="2" t="s">
        <v>20</v>
      </c>
    </row>
    <row r="413" spans="1:13" hidden="1">
      <c r="A413" s="3" t="s">
        <v>45</v>
      </c>
      <c r="B413" s="3">
        <f>C405</f>
        <v>18467</v>
      </c>
      <c r="C413" s="3">
        <v>18772</v>
      </c>
      <c r="D413" s="3">
        <f>C413-B413</f>
        <v>305</v>
      </c>
      <c r="E413" s="3">
        <f>67.72*1.15</f>
        <v>77.877999999999986</v>
      </c>
      <c r="F413" s="3"/>
      <c r="G413" s="8">
        <f>2471.73*1.15</f>
        <v>2842.4894999999997</v>
      </c>
      <c r="H413" s="3">
        <f>849.6*1.15</f>
        <v>977.04</v>
      </c>
      <c r="I413" s="3" t="s">
        <v>21</v>
      </c>
      <c r="J413" s="3" t="s">
        <v>100</v>
      </c>
      <c r="K413" s="3">
        <v>28</v>
      </c>
      <c r="L413" s="3">
        <f>D413/K413</f>
        <v>10.892857142857142</v>
      </c>
      <c r="M413" s="6">
        <f>G415/D413</f>
        <v>12.778385245901639</v>
      </c>
    </row>
    <row r="414" spans="1:13" hidden="1">
      <c r="A414" s="3" t="s">
        <v>10</v>
      </c>
      <c r="B414" s="3">
        <f>C406</f>
        <v>18368</v>
      </c>
      <c r="C414" s="3">
        <v>18700</v>
      </c>
      <c r="D414" s="3">
        <f>C414-B414</f>
        <v>332</v>
      </c>
      <c r="E414" s="3"/>
      <c r="F414" s="3"/>
      <c r="G414" s="19">
        <f>3167.35*1.15</f>
        <v>3642.4524999999994</v>
      </c>
      <c r="H414" s="6">
        <f>849.6*1.15</f>
        <v>977.04</v>
      </c>
      <c r="I414" s="3" t="s">
        <v>21</v>
      </c>
      <c r="J414" s="3" t="s">
        <v>101</v>
      </c>
      <c r="K414" s="3">
        <v>30</v>
      </c>
      <c r="L414" s="3">
        <f>D414/K414</f>
        <v>11.066666666666666</v>
      </c>
      <c r="M414" s="6">
        <f>G416/D414</f>
        <v>13.914134036144576</v>
      </c>
    </row>
    <row r="415" spans="1:13" hidden="1">
      <c r="A415" s="2" t="s">
        <v>48</v>
      </c>
      <c r="B415" s="2"/>
      <c r="C415" s="3"/>
      <c r="D415" s="3"/>
      <c r="E415" s="3"/>
      <c r="F415" s="3"/>
      <c r="G415" s="20">
        <f>E413+G413+H413</f>
        <v>3897.4074999999998</v>
      </c>
      <c r="H415" s="6"/>
      <c r="I415" s="3"/>
      <c r="J415" s="3"/>
      <c r="K415" s="3"/>
      <c r="L415" s="3"/>
      <c r="M415" s="3"/>
    </row>
    <row r="416" spans="1:13" hidden="1">
      <c r="A416" s="2" t="s">
        <v>12</v>
      </c>
      <c r="B416" s="4"/>
      <c r="C416" s="4"/>
      <c r="D416" s="2"/>
      <c r="E416" s="2"/>
      <c r="F416" s="2"/>
      <c r="G416" s="20">
        <f>G414+H414</f>
        <v>4619.4924999999994</v>
      </c>
      <c r="H416" s="7"/>
      <c r="I416" s="3"/>
      <c r="J416" s="3"/>
      <c r="K416" s="3"/>
      <c r="L416" s="3"/>
      <c r="M416" s="3"/>
    </row>
    <row r="417" spans="1:13" hidden="1">
      <c r="A417" s="2" t="s">
        <v>13</v>
      </c>
      <c r="B417" s="2"/>
      <c r="C417" s="2"/>
      <c r="D417" s="2"/>
      <c r="E417" s="2"/>
      <c r="F417" s="2"/>
      <c r="G417" s="7">
        <f>G415-G416</f>
        <v>-722.08499999999958</v>
      </c>
      <c r="H417" s="7"/>
      <c r="I417" s="3"/>
      <c r="J417" s="3"/>
      <c r="K417" s="3"/>
      <c r="L417" s="3"/>
      <c r="M417" s="3"/>
    </row>
    <row r="418" spans="1:13" hidden="1"/>
    <row r="419" spans="1:13" hidden="1">
      <c r="A419" s="16">
        <v>44682</v>
      </c>
    </row>
    <row r="420" spans="1:13" hidden="1">
      <c r="A420" s="2" t="s">
        <v>1</v>
      </c>
      <c r="B420" s="2" t="s">
        <v>2</v>
      </c>
      <c r="C420" s="2" t="s">
        <v>3</v>
      </c>
      <c r="D420" s="2" t="s">
        <v>4</v>
      </c>
      <c r="E420" s="2" t="s">
        <v>15</v>
      </c>
      <c r="F420" s="2" t="s">
        <v>14</v>
      </c>
      <c r="G420" s="2" t="s">
        <v>5</v>
      </c>
      <c r="H420" s="2" t="s">
        <v>6</v>
      </c>
      <c r="I420" s="2" t="s">
        <v>16</v>
      </c>
      <c r="J420" s="2" t="s">
        <v>17</v>
      </c>
      <c r="K420" s="2" t="s">
        <v>18</v>
      </c>
      <c r="L420" s="2" t="s">
        <v>19</v>
      </c>
      <c r="M420" s="2" t="s">
        <v>20</v>
      </c>
    </row>
    <row r="421" spans="1:13" hidden="1">
      <c r="A421" s="3" t="s">
        <v>45</v>
      </c>
      <c r="B421" s="3">
        <f>C413</f>
        <v>18772</v>
      </c>
      <c r="C421" s="3">
        <v>19149</v>
      </c>
      <c r="D421" s="3">
        <f>C421-B421</f>
        <v>377</v>
      </c>
      <c r="E421" s="3">
        <f>171.55*1.15</f>
        <v>197.2825</v>
      </c>
      <c r="F421" s="3"/>
      <c r="G421" s="8">
        <f>3892.14*1.15</f>
        <v>4475.9609999999993</v>
      </c>
      <c r="H421" s="3">
        <f>849.6*1.15</f>
        <v>977.04</v>
      </c>
      <c r="I421" s="3" t="s">
        <v>21</v>
      </c>
      <c r="J421" s="3" t="s">
        <v>102</v>
      </c>
      <c r="K421" s="3">
        <v>34</v>
      </c>
      <c r="L421" s="3">
        <f>D421/K421</f>
        <v>11.088235294117647</v>
      </c>
      <c r="M421" s="6">
        <f>G423/D421</f>
        <v>14.987489389920423</v>
      </c>
    </row>
    <row r="422" spans="1:13" hidden="1">
      <c r="A422" s="3" t="s">
        <v>10</v>
      </c>
      <c r="B422" s="3">
        <f>C414</f>
        <v>18700</v>
      </c>
      <c r="C422" s="3">
        <v>18973</v>
      </c>
      <c r="D422" s="3">
        <f>C422-B422</f>
        <v>273</v>
      </c>
      <c r="E422" s="3"/>
      <c r="F422" s="3"/>
      <c r="G422" s="19">
        <f>2433.12*1.15</f>
        <v>2798.0879999999997</v>
      </c>
      <c r="H422" s="6">
        <f>849.6*1.15</f>
        <v>977.04</v>
      </c>
      <c r="I422" s="3" t="s">
        <v>21</v>
      </c>
      <c r="J422" s="3" t="s">
        <v>103</v>
      </c>
      <c r="K422" s="3">
        <v>26</v>
      </c>
      <c r="L422" s="3">
        <f>D422/K422</f>
        <v>10.5</v>
      </c>
      <c r="M422" s="6">
        <f>G424/D422</f>
        <v>13.828307692307691</v>
      </c>
    </row>
    <row r="423" spans="1:13" hidden="1">
      <c r="A423" s="2" t="s">
        <v>48</v>
      </c>
      <c r="B423" s="2"/>
      <c r="C423" s="3"/>
      <c r="D423" s="3"/>
      <c r="E423" s="3"/>
      <c r="F423" s="3"/>
      <c r="G423" s="20">
        <f>E421+G421+H421</f>
        <v>5650.2834999999995</v>
      </c>
      <c r="H423" s="6"/>
      <c r="I423" s="3"/>
      <c r="J423" s="3"/>
      <c r="K423" s="3"/>
      <c r="L423" s="3"/>
      <c r="M423" s="3"/>
    </row>
    <row r="424" spans="1:13" hidden="1">
      <c r="A424" s="2" t="s">
        <v>12</v>
      </c>
      <c r="B424" s="4"/>
      <c r="C424" s="4"/>
      <c r="D424" s="2"/>
      <c r="E424" s="2"/>
      <c r="F424" s="2"/>
      <c r="G424" s="20">
        <f>G422+H422</f>
        <v>3775.1279999999997</v>
      </c>
      <c r="H424" s="7"/>
      <c r="I424" s="3"/>
      <c r="J424" s="3"/>
      <c r="K424" s="3"/>
      <c r="L424" s="3"/>
      <c r="M424" s="3"/>
    </row>
    <row r="425" spans="1:13" hidden="1">
      <c r="A425" s="2" t="s">
        <v>13</v>
      </c>
      <c r="B425" s="2"/>
      <c r="C425" s="2"/>
      <c r="D425" s="2"/>
      <c r="E425" s="2"/>
      <c r="F425" s="2"/>
      <c r="G425" s="7">
        <f>G423-G424</f>
        <v>1875.1554999999998</v>
      </c>
      <c r="H425" s="7"/>
      <c r="I425" s="3"/>
      <c r="J425" s="3"/>
      <c r="K425" s="3"/>
      <c r="L425" s="3"/>
      <c r="M425" s="3"/>
    </row>
    <row r="426" spans="1:13" hidden="1"/>
    <row r="427" spans="1:13" hidden="1">
      <c r="A427" s="16">
        <v>44713</v>
      </c>
    </row>
    <row r="428" spans="1:13" hidden="1">
      <c r="A428" s="2" t="s">
        <v>1</v>
      </c>
      <c r="B428" s="2" t="s">
        <v>2</v>
      </c>
      <c r="C428" s="2" t="s">
        <v>3</v>
      </c>
      <c r="D428" s="2" t="s">
        <v>4</v>
      </c>
      <c r="E428" s="2" t="s">
        <v>15</v>
      </c>
      <c r="F428" s="2" t="s">
        <v>14</v>
      </c>
      <c r="G428" s="2" t="s">
        <v>5</v>
      </c>
      <c r="H428" s="2" t="s">
        <v>6</v>
      </c>
      <c r="I428" s="2" t="s">
        <v>16</v>
      </c>
      <c r="J428" s="2" t="s">
        <v>17</v>
      </c>
      <c r="K428" s="2" t="s">
        <v>18</v>
      </c>
      <c r="L428" s="2" t="s">
        <v>19</v>
      </c>
      <c r="M428" s="2" t="s">
        <v>20</v>
      </c>
    </row>
    <row r="429" spans="1:13" hidden="1">
      <c r="A429" s="3" t="s">
        <v>45</v>
      </c>
      <c r="B429" s="3">
        <f>C421</f>
        <v>19149</v>
      </c>
      <c r="C429" s="3">
        <v>19485</v>
      </c>
      <c r="D429" s="3">
        <f>C429-B429</f>
        <v>336</v>
      </c>
      <c r="E429" s="3">
        <v>0</v>
      </c>
      <c r="F429" s="3"/>
      <c r="G429" s="8">
        <f>4157.97*1.15</f>
        <v>4781.6655000000001</v>
      </c>
      <c r="H429" s="3">
        <f>932.4*1.15</f>
        <v>1072.26</v>
      </c>
      <c r="I429" s="3" t="s">
        <v>21</v>
      </c>
      <c r="J429" s="3" t="s">
        <v>104</v>
      </c>
      <c r="K429" s="3">
        <v>28</v>
      </c>
      <c r="L429" s="3">
        <f>D429/K429</f>
        <v>12</v>
      </c>
      <c r="M429" s="6">
        <f>G431/D429</f>
        <v>17.422397321428573</v>
      </c>
    </row>
    <row r="430" spans="1:13" hidden="1">
      <c r="A430" s="3" t="s">
        <v>10</v>
      </c>
      <c r="B430" s="3">
        <f>C422</f>
        <v>18973</v>
      </c>
      <c r="C430" s="3">
        <v>19390</v>
      </c>
      <c r="D430" s="3">
        <f>C430-B430</f>
        <v>417</v>
      </c>
      <c r="E430" s="3"/>
      <c r="F430" s="3"/>
      <c r="G430" s="19">
        <f>4194.58*1.15</f>
        <v>4823.7669999999998</v>
      </c>
      <c r="H430" s="6">
        <f>932.4*1.15</f>
        <v>1072.26</v>
      </c>
      <c r="I430" s="3" t="s">
        <v>21</v>
      </c>
      <c r="J430" s="3" t="s">
        <v>105</v>
      </c>
      <c r="K430" s="3">
        <v>36</v>
      </c>
      <c r="L430" s="3">
        <f>D430/K430</f>
        <v>11.583333333333334</v>
      </c>
      <c r="M430" s="6">
        <f>G432/D430</f>
        <v>14.139153477218226</v>
      </c>
    </row>
    <row r="431" spans="1:13" hidden="1">
      <c r="A431" s="2" t="s">
        <v>48</v>
      </c>
      <c r="B431" s="2"/>
      <c r="C431" s="3"/>
      <c r="D431" s="3"/>
      <c r="E431" s="3"/>
      <c r="F431" s="3"/>
      <c r="G431" s="20">
        <f>E429+G429+H429</f>
        <v>5853.9255000000003</v>
      </c>
      <c r="H431" s="6"/>
      <c r="I431" s="3"/>
      <c r="J431" s="3"/>
      <c r="K431" s="3"/>
      <c r="L431" s="3"/>
      <c r="M431" s="3"/>
    </row>
    <row r="432" spans="1:13" hidden="1">
      <c r="A432" s="2" t="s">
        <v>12</v>
      </c>
      <c r="B432" s="4"/>
      <c r="C432" s="4"/>
      <c r="D432" s="2"/>
      <c r="E432" s="2"/>
      <c r="F432" s="2"/>
      <c r="G432" s="20">
        <f>G430+H430</f>
        <v>5896.027</v>
      </c>
      <c r="H432" s="7"/>
      <c r="I432" s="3"/>
      <c r="J432" s="3"/>
      <c r="K432" s="3"/>
      <c r="L432" s="3"/>
      <c r="M432" s="3"/>
    </row>
    <row r="433" spans="1:13" hidden="1">
      <c r="A433" s="2" t="s">
        <v>13</v>
      </c>
      <c r="B433" s="2"/>
      <c r="C433" s="2"/>
      <c r="D433" s="2"/>
      <c r="E433" s="2"/>
      <c r="F433" s="2"/>
      <c r="G433" s="7">
        <f>G431-G432</f>
        <v>-42.10149999999976</v>
      </c>
      <c r="H433" s="7"/>
      <c r="I433" s="3"/>
      <c r="J433" s="3"/>
      <c r="K433" s="3"/>
      <c r="L433" s="3"/>
      <c r="M433" s="3"/>
    </row>
    <row r="434" spans="1:13" hidden="1"/>
    <row r="435" spans="1:13" hidden="1">
      <c r="A435" s="16">
        <v>44743</v>
      </c>
    </row>
    <row r="436" spans="1:13" hidden="1">
      <c r="A436" s="2" t="s">
        <v>1</v>
      </c>
      <c r="B436" s="2" t="s">
        <v>2</v>
      </c>
      <c r="C436" s="2" t="s">
        <v>3</v>
      </c>
      <c r="D436" s="2" t="s">
        <v>4</v>
      </c>
      <c r="E436" s="2" t="s">
        <v>15</v>
      </c>
      <c r="F436" s="2" t="s">
        <v>14</v>
      </c>
      <c r="G436" s="2" t="s">
        <v>5</v>
      </c>
      <c r="H436" s="2" t="s">
        <v>6</v>
      </c>
      <c r="I436" s="2" t="s">
        <v>16</v>
      </c>
      <c r="J436" s="2" t="s">
        <v>17</v>
      </c>
      <c r="K436" s="2" t="s">
        <v>18</v>
      </c>
      <c r="L436" s="2" t="s">
        <v>19</v>
      </c>
      <c r="M436" s="2" t="s">
        <v>20</v>
      </c>
    </row>
    <row r="437" spans="1:13" hidden="1">
      <c r="A437" s="3" t="s">
        <v>45</v>
      </c>
      <c r="B437" s="3">
        <f>C429</f>
        <v>19485</v>
      </c>
      <c r="C437" s="3">
        <v>19839</v>
      </c>
      <c r="D437" s="3">
        <f>C437-B437</f>
        <v>354</v>
      </c>
      <c r="E437" s="3">
        <v>0</v>
      </c>
      <c r="F437" s="3"/>
      <c r="G437" s="8">
        <f>(4507.92-582.3)*1.15</f>
        <v>4514.4629999999997</v>
      </c>
      <c r="H437" s="3">
        <f>932.4*1.15</f>
        <v>1072.26</v>
      </c>
      <c r="I437" s="3" t="s">
        <v>21</v>
      </c>
      <c r="J437" s="3" t="s">
        <v>106</v>
      </c>
      <c r="K437" s="3">
        <v>28</v>
      </c>
      <c r="L437" s="3">
        <f>D437/K437</f>
        <v>12.642857142857142</v>
      </c>
      <c r="M437" s="6">
        <f>G439/D437</f>
        <v>15.781703389830508</v>
      </c>
    </row>
    <row r="438" spans="1:13" hidden="1">
      <c r="A438" s="3" t="s">
        <v>10</v>
      </c>
      <c r="B438" s="3">
        <f>C430</f>
        <v>19390</v>
      </c>
      <c r="C438" s="3">
        <v>19731</v>
      </c>
      <c r="D438" s="3">
        <f>C438-B438</f>
        <v>341</v>
      </c>
      <c r="E438" s="3"/>
      <c r="F438" s="3"/>
      <c r="G438" s="19">
        <f>(1032.94+2834.15)*1.15</f>
        <v>4447.1534999999994</v>
      </c>
      <c r="H438" s="6">
        <f>932.4*1.15</f>
        <v>1072.26</v>
      </c>
      <c r="I438" s="3" t="s">
        <v>21</v>
      </c>
      <c r="J438" s="3" t="s">
        <v>107</v>
      </c>
      <c r="K438" s="3">
        <v>28</v>
      </c>
      <c r="L438" s="3">
        <f>D438/K438</f>
        <v>12.178571428571429</v>
      </c>
      <c r="M438" s="6">
        <f>G440/D438</f>
        <v>16.185963343108504</v>
      </c>
    </row>
    <row r="439" spans="1:13" hidden="1">
      <c r="A439" s="2" t="s">
        <v>48</v>
      </c>
      <c r="B439" s="2"/>
      <c r="C439" s="3"/>
      <c r="D439" s="3"/>
      <c r="E439" s="3"/>
      <c r="F439" s="3"/>
      <c r="G439" s="20">
        <f>E437+G437+H437</f>
        <v>5586.723</v>
      </c>
      <c r="H439" s="6"/>
      <c r="I439" s="3"/>
      <c r="J439" s="3"/>
      <c r="K439" s="3"/>
      <c r="L439" s="3"/>
      <c r="M439" s="3"/>
    </row>
    <row r="440" spans="1:13" hidden="1">
      <c r="A440" s="2" t="s">
        <v>12</v>
      </c>
      <c r="B440" s="4"/>
      <c r="C440" s="4"/>
      <c r="D440" s="2"/>
      <c r="E440" s="2"/>
      <c r="F440" s="2"/>
      <c r="G440" s="20">
        <f>G438+H438</f>
        <v>5519.4134999999997</v>
      </c>
      <c r="H440" s="7"/>
      <c r="I440" s="3"/>
      <c r="J440" s="3"/>
      <c r="K440" s="3"/>
      <c r="L440" s="3"/>
      <c r="M440" s="3"/>
    </row>
    <row r="441" spans="1:13" hidden="1">
      <c r="A441" s="2" t="s">
        <v>13</v>
      </c>
      <c r="B441" s="2"/>
      <c r="C441" s="2"/>
      <c r="D441" s="2"/>
      <c r="E441" s="2"/>
      <c r="F441" s="2"/>
      <c r="G441" s="7">
        <f>G439-G440</f>
        <v>67.309500000000298</v>
      </c>
      <c r="H441" s="7"/>
      <c r="I441" s="3"/>
      <c r="J441" s="3"/>
      <c r="K441" s="3"/>
      <c r="L441" s="3"/>
      <c r="M441" s="3"/>
    </row>
    <row r="442" spans="1:13" hidden="1"/>
    <row r="443" spans="1:13" hidden="1">
      <c r="A443" s="16">
        <v>44774</v>
      </c>
    </row>
    <row r="444" spans="1:13" hidden="1">
      <c r="A444" s="2" t="s">
        <v>1</v>
      </c>
      <c r="B444" s="2" t="s">
        <v>2</v>
      </c>
      <c r="C444" s="2" t="s">
        <v>3</v>
      </c>
      <c r="D444" s="2" t="s">
        <v>4</v>
      </c>
      <c r="E444" s="2" t="s">
        <v>15</v>
      </c>
      <c r="F444" s="2" t="s">
        <v>14</v>
      </c>
      <c r="G444" s="2" t="s">
        <v>5</v>
      </c>
      <c r="H444" s="2" t="s">
        <v>6</v>
      </c>
      <c r="I444" s="2" t="s">
        <v>16</v>
      </c>
      <c r="J444" s="2" t="s">
        <v>17</v>
      </c>
      <c r="K444" s="2" t="s">
        <v>18</v>
      </c>
      <c r="L444" s="2" t="s">
        <v>19</v>
      </c>
      <c r="M444" s="2" t="s">
        <v>20</v>
      </c>
    </row>
    <row r="445" spans="1:13" hidden="1">
      <c r="A445" s="3" t="s">
        <v>45</v>
      </c>
      <c r="B445" s="3">
        <f>C437</f>
        <v>19839</v>
      </c>
      <c r="C445" s="3">
        <v>20320</v>
      </c>
      <c r="D445" s="3">
        <f>C445-B445</f>
        <v>481</v>
      </c>
      <c r="E445" s="3">
        <v>0</v>
      </c>
      <c r="F445" s="3"/>
      <c r="G445" s="8">
        <f>(8299.88-1134.51)*1.15</f>
        <v>8240.1754999999976</v>
      </c>
      <c r="H445" s="3">
        <f>932.4*1.15</f>
        <v>1072.26</v>
      </c>
      <c r="I445" s="3" t="s">
        <v>21</v>
      </c>
      <c r="J445" s="3" t="s">
        <v>108</v>
      </c>
      <c r="K445" s="3">
        <v>35</v>
      </c>
      <c r="L445" s="3">
        <f>D445/K445</f>
        <v>13.742857142857142</v>
      </c>
      <c r="M445" s="6">
        <f>G447/D445</f>
        <v>19.36057276507276</v>
      </c>
    </row>
    <row r="446" spans="1:13" hidden="1">
      <c r="A446" s="3" t="s">
        <v>10</v>
      </c>
      <c r="B446" s="3">
        <f>C438</f>
        <v>19731</v>
      </c>
      <c r="C446" s="3">
        <v>20125</v>
      </c>
      <c r="D446" s="3">
        <f>C446-B446</f>
        <v>394</v>
      </c>
      <c r="E446" s="3"/>
      <c r="F446" s="3"/>
      <c r="G446" s="19">
        <f>5057.79*1.15</f>
        <v>5816.4584999999997</v>
      </c>
      <c r="H446" s="6">
        <f>932.4*1.15</f>
        <v>1072.26</v>
      </c>
      <c r="I446" s="3" t="s">
        <v>21</v>
      </c>
      <c r="J446" s="3" t="s">
        <v>109</v>
      </c>
      <c r="K446" s="3">
        <v>29</v>
      </c>
      <c r="L446" s="3">
        <f>D446/K446</f>
        <v>13.586206896551724</v>
      </c>
      <c r="M446" s="6">
        <f>G448/D446</f>
        <v>17.484057106598986</v>
      </c>
    </row>
    <row r="447" spans="1:13" hidden="1">
      <c r="A447" s="2" t="s">
        <v>48</v>
      </c>
      <c r="B447" s="2"/>
      <c r="C447" s="3"/>
      <c r="D447" s="3"/>
      <c r="E447" s="3"/>
      <c r="F447" s="3"/>
      <c r="G447" s="20">
        <f>E445+G445+H445</f>
        <v>9312.4354999999978</v>
      </c>
      <c r="H447" s="6"/>
      <c r="I447" s="3"/>
      <c r="J447" s="3"/>
      <c r="K447" s="3"/>
      <c r="L447" s="3"/>
      <c r="M447" s="3"/>
    </row>
    <row r="448" spans="1:13" hidden="1">
      <c r="A448" s="2" t="s">
        <v>12</v>
      </c>
      <c r="B448" s="4"/>
      <c r="C448" s="4"/>
      <c r="D448" s="2"/>
      <c r="E448" s="2"/>
      <c r="F448" s="2"/>
      <c r="G448" s="20">
        <f>G446+H446</f>
        <v>6888.7184999999999</v>
      </c>
      <c r="H448" s="7"/>
      <c r="I448" s="3"/>
      <c r="J448" s="3"/>
      <c r="K448" s="3"/>
      <c r="L448" s="3"/>
      <c r="M448" s="3"/>
    </row>
    <row r="449" spans="1:13" hidden="1">
      <c r="A449" s="2" t="s">
        <v>13</v>
      </c>
      <c r="B449" s="2"/>
      <c r="C449" s="2"/>
      <c r="D449" s="2"/>
      <c r="E449" s="2"/>
      <c r="F449" s="2"/>
      <c r="G449" s="7">
        <f>G447-G448</f>
        <v>2423.7169999999978</v>
      </c>
      <c r="H449" s="7"/>
      <c r="I449" s="3"/>
      <c r="J449" s="3"/>
      <c r="K449" s="3"/>
      <c r="L449" s="3"/>
      <c r="M449" s="3"/>
    </row>
    <row r="450" spans="1:13" hidden="1"/>
    <row r="451" spans="1:13" hidden="1">
      <c r="A451" s="16">
        <v>44805</v>
      </c>
    </row>
    <row r="452" spans="1:13" hidden="1">
      <c r="A452" s="2" t="s">
        <v>1</v>
      </c>
      <c r="B452" s="2" t="s">
        <v>2</v>
      </c>
      <c r="C452" s="2" t="s">
        <v>3</v>
      </c>
      <c r="D452" s="2" t="s">
        <v>4</v>
      </c>
      <c r="E452" s="2" t="s">
        <v>15</v>
      </c>
      <c r="F452" s="2" t="s">
        <v>14</v>
      </c>
      <c r="G452" s="2" t="s">
        <v>5</v>
      </c>
      <c r="H452" s="2" t="s">
        <v>6</v>
      </c>
      <c r="I452" s="2" t="s">
        <v>16</v>
      </c>
      <c r="J452" s="2" t="s">
        <v>17</v>
      </c>
      <c r="K452" s="2" t="s">
        <v>18</v>
      </c>
      <c r="L452" s="2" t="s">
        <v>19</v>
      </c>
      <c r="M452" s="2" t="s">
        <v>20</v>
      </c>
    </row>
    <row r="453" spans="1:13" hidden="1">
      <c r="A453" s="3" t="s">
        <v>45</v>
      </c>
      <c r="B453" s="3">
        <f>C445</f>
        <v>20320</v>
      </c>
      <c r="C453" s="3">
        <v>20744</v>
      </c>
      <c r="D453" s="3">
        <f>C453-B453</f>
        <v>424</v>
      </c>
      <c r="E453" s="3">
        <v>0</v>
      </c>
      <c r="F453" s="3"/>
      <c r="G453" s="8">
        <f>6834.15*1.15</f>
        <v>7859.2724999999991</v>
      </c>
      <c r="H453" s="3">
        <f>932.4*1.15</f>
        <v>1072.26</v>
      </c>
      <c r="I453" s="3" t="s">
        <v>21</v>
      </c>
      <c r="J453" s="3" t="s">
        <v>110</v>
      </c>
      <c r="K453" s="3">
        <v>29</v>
      </c>
      <c r="L453" s="3">
        <f>D453/K453</f>
        <v>14.620689655172415</v>
      </c>
      <c r="M453" s="6">
        <f>G455/D453</f>
        <v>21.064935141509434</v>
      </c>
    </row>
    <row r="454" spans="1:13" hidden="1">
      <c r="A454" s="3" t="s">
        <v>10</v>
      </c>
      <c r="B454" s="3">
        <f>C446</f>
        <v>20125</v>
      </c>
      <c r="C454" s="3">
        <v>20622</v>
      </c>
      <c r="D454" s="3">
        <f>C454-B454</f>
        <v>497</v>
      </c>
      <c r="E454" s="3"/>
      <c r="F454" s="3"/>
      <c r="G454" s="19">
        <f>6603.27*1.15</f>
        <v>7593.7605000000003</v>
      </c>
      <c r="H454" s="6">
        <f>932.4*1.15</f>
        <v>1072.26</v>
      </c>
      <c r="I454" s="3" t="s">
        <v>21</v>
      </c>
      <c r="J454" s="3" t="s">
        <v>111</v>
      </c>
      <c r="K454" s="3">
        <v>35</v>
      </c>
      <c r="L454" s="3">
        <f>D454/K454</f>
        <v>14.2</v>
      </c>
      <c r="M454" s="6">
        <f>G456/D454</f>
        <v>17.436660965794768</v>
      </c>
    </row>
    <row r="455" spans="1:13" hidden="1">
      <c r="A455" s="2" t="s">
        <v>48</v>
      </c>
      <c r="B455" s="2"/>
      <c r="C455" s="3"/>
      <c r="D455" s="3"/>
      <c r="E455" s="3"/>
      <c r="F455" s="3"/>
      <c r="G455" s="20">
        <f>E453+G453+H453</f>
        <v>8931.5324999999993</v>
      </c>
      <c r="H455" s="6"/>
      <c r="I455" s="3"/>
      <c r="J455" s="3"/>
      <c r="K455" s="3"/>
      <c r="L455" s="3"/>
      <c r="M455" s="3"/>
    </row>
    <row r="456" spans="1:13" hidden="1">
      <c r="A456" s="2" t="s">
        <v>12</v>
      </c>
      <c r="B456" s="4"/>
      <c r="C456" s="4"/>
      <c r="D456" s="2"/>
      <c r="E456" s="2"/>
      <c r="F456" s="2"/>
      <c r="G456" s="20">
        <f>G454+H454</f>
        <v>8666.0205000000005</v>
      </c>
      <c r="H456" s="7"/>
      <c r="I456" s="3"/>
      <c r="J456" s="3"/>
      <c r="K456" s="3"/>
      <c r="L456" s="3"/>
      <c r="M456" s="3"/>
    </row>
    <row r="457" spans="1:13" hidden="1">
      <c r="A457" s="2" t="s">
        <v>13</v>
      </c>
      <c r="B457" s="2"/>
      <c r="C457" s="2"/>
      <c r="D457" s="2"/>
      <c r="E457" s="2"/>
      <c r="F457" s="2"/>
      <c r="G457" s="7">
        <f>G455-G456</f>
        <v>265.51199999999881</v>
      </c>
      <c r="H457" s="7"/>
      <c r="I457" s="3"/>
      <c r="J457" s="3"/>
      <c r="K457" s="3"/>
      <c r="L457" s="3"/>
      <c r="M457" s="3"/>
    </row>
    <row r="458" spans="1:13" hidden="1"/>
    <row r="459" spans="1:13" hidden="1">
      <c r="A459" s="16">
        <v>44835</v>
      </c>
    </row>
    <row r="460" spans="1:13" hidden="1">
      <c r="A460" s="2" t="s">
        <v>1</v>
      </c>
      <c r="B460" s="2" t="s">
        <v>2</v>
      </c>
      <c r="C460" s="2" t="s">
        <v>3</v>
      </c>
      <c r="D460" s="2" t="s">
        <v>4</v>
      </c>
      <c r="E460" s="2" t="s">
        <v>15</v>
      </c>
      <c r="F460" s="2" t="s">
        <v>14</v>
      </c>
      <c r="G460" s="2" t="s">
        <v>5</v>
      </c>
      <c r="H460" s="2" t="s">
        <v>6</v>
      </c>
      <c r="I460" s="2" t="s">
        <v>16</v>
      </c>
      <c r="J460" s="2" t="s">
        <v>17</v>
      </c>
      <c r="K460" s="2" t="s">
        <v>18</v>
      </c>
      <c r="L460" s="2" t="s">
        <v>19</v>
      </c>
      <c r="M460" s="2" t="s">
        <v>20</v>
      </c>
    </row>
    <row r="461" spans="1:13" hidden="1">
      <c r="A461" s="3" t="s">
        <v>45</v>
      </c>
      <c r="B461" s="3">
        <f>C453</f>
        <v>20744</v>
      </c>
      <c r="C461" s="3">
        <v>21100</v>
      </c>
      <c r="D461" s="3">
        <f>C461-B461</f>
        <v>356</v>
      </c>
      <c r="E461" s="3">
        <v>0</v>
      </c>
      <c r="F461" s="3"/>
      <c r="G461" s="8">
        <f>4437.53*1.15</f>
        <v>5103.1594999999998</v>
      </c>
      <c r="H461" s="3">
        <f>932.4*1.15</f>
        <v>1072.26</v>
      </c>
      <c r="I461" s="3" t="s">
        <v>21</v>
      </c>
      <c r="J461" s="3" t="s">
        <v>112</v>
      </c>
      <c r="K461" s="3">
        <v>28</v>
      </c>
      <c r="L461" s="3">
        <f>D461/K461</f>
        <v>12.714285714285714</v>
      </c>
      <c r="M461" s="6">
        <f>G463/D461</f>
        <v>17.346683988764045</v>
      </c>
    </row>
    <row r="462" spans="1:13" hidden="1">
      <c r="A462" s="3" t="s">
        <v>10</v>
      </c>
      <c r="B462" s="3">
        <f>C454</f>
        <v>20622</v>
      </c>
      <c r="C462" s="3">
        <v>21005</v>
      </c>
      <c r="D462" s="3">
        <f>C462-B462</f>
        <v>383</v>
      </c>
      <c r="E462" s="3"/>
      <c r="F462" s="3"/>
      <c r="G462" s="19">
        <f>5225.86*1.15</f>
        <v>6009.7389999999996</v>
      </c>
      <c r="H462" s="6">
        <f>932.4*1.15</f>
        <v>1072.26</v>
      </c>
      <c r="I462" s="3" t="s">
        <v>21</v>
      </c>
      <c r="J462" s="3" t="s">
        <v>113</v>
      </c>
      <c r="K462" s="3">
        <v>26</v>
      </c>
      <c r="L462" s="3">
        <f>D462/K462</f>
        <v>14.73076923076923</v>
      </c>
      <c r="M462" s="6">
        <f>G464/D462</f>
        <v>18.490859007832899</v>
      </c>
    </row>
    <row r="463" spans="1:13" hidden="1">
      <c r="A463" s="2" t="s">
        <v>48</v>
      </c>
      <c r="B463" s="2"/>
      <c r="C463" s="3"/>
      <c r="D463" s="3"/>
      <c r="E463" s="3"/>
      <c r="F463" s="3"/>
      <c r="G463" s="20">
        <f>E461+G461+H461</f>
        <v>6175.4195</v>
      </c>
      <c r="H463" s="6"/>
      <c r="I463" s="3"/>
      <c r="J463" s="3"/>
      <c r="K463" s="3"/>
      <c r="L463" s="3"/>
      <c r="M463" s="3"/>
    </row>
    <row r="464" spans="1:13" hidden="1">
      <c r="A464" s="2" t="s">
        <v>12</v>
      </c>
      <c r="B464" s="4"/>
      <c r="C464" s="4"/>
      <c r="D464" s="2"/>
      <c r="E464" s="2"/>
      <c r="F464" s="2"/>
      <c r="G464" s="20">
        <f>G462+H462</f>
        <v>7081.9989999999998</v>
      </c>
      <c r="H464" s="7"/>
      <c r="I464" s="3"/>
      <c r="J464" s="3"/>
      <c r="K464" s="3"/>
      <c r="L464" s="3"/>
      <c r="M464" s="3"/>
    </row>
    <row r="465" spans="1:13" hidden="1">
      <c r="A465" s="2" t="s">
        <v>13</v>
      </c>
      <c r="B465" s="2"/>
      <c r="C465" s="2"/>
      <c r="D465" s="2"/>
      <c r="E465" s="2"/>
      <c r="F465" s="2"/>
      <c r="G465" s="7">
        <f>G463-G464</f>
        <v>-906.57949999999983</v>
      </c>
      <c r="H465" s="7"/>
      <c r="I465" s="3"/>
      <c r="J465" s="3"/>
      <c r="K465" s="3"/>
      <c r="L465" s="3"/>
      <c r="M465" s="3"/>
    </row>
    <row r="466" spans="1:13" hidden="1"/>
    <row r="467" spans="1:13" hidden="1">
      <c r="A467" s="16">
        <v>44866</v>
      </c>
    </row>
    <row r="468" spans="1:13" hidden="1">
      <c r="A468" s="2" t="s">
        <v>1</v>
      </c>
      <c r="B468" s="2" t="s">
        <v>2</v>
      </c>
      <c r="C468" s="2" t="s">
        <v>3</v>
      </c>
      <c r="D468" s="2" t="s">
        <v>4</v>
      </c>
      <c r="E468" s="2" t="s">
        <v>15</v>
      </c>
      <c r="F468" s="2" t="s">
        <v>14</v>
      </c>
      <c r="G468" s="2" t="s">
        <v>5</v>
      </c>
      <c r="H468" s="2" t="s">
        <v>6</v>
      </c>
      <c r="I468" s="2" t="s">
        <v>16</v>
      </c>
      <c r="J468" s="2" t="s">
        <v>17</v>
      </c>
      <c r="K468" s="2" t="s">
        <v>18</v>
      </c>
      <c r="L468" s="2" t="s">
        <v>19</v>
      </c>
      <c r="M468" s="2" t="s">
        <v>20</v>
      </c>
    </row>
    <row r="469" spans="1:13" hidden="1">
      <c r="A469" s="3" t="s">
        <v>45</v>
      </c>
      <c r="B469" s="3">
        <f>C461</f>
        <v>21100</v>
      </c>
      <c r="C469" s="3">
        <v>21483</v>
      </c>
      <c r="D469" s="3">
        <f>C469-B469</f>
        <v>383</v>
      </c>
      <c r="E469" s="3">
        <f>44.77*1.15</f>
        <v>51.485500000000002</v>
      </c>
      <c r="F469" s="3"/>
      <c r="G469" s="8">
        <f>4554.52*1.15</f>
        <v>5237.6980000000003</v>
      </c>
      <c r="H469" s="3">
        <f>932.4*1.15</f>
        <v>1072.26</v>
      </c>
      <c r="I469" s="3" t="s">
        <v>21</v>
      </c>
      <c r="J469" s="3" t="s">
        <v>114</v>
      </c>
      <c r="K469" s="3">
        <v>34</v>
      </c>
      <c r="L469" s="3">
        <f>D469/K469</f>
        <v>11.264705882352942</v>
      </c>
      <c r="M469" s="6">
        <f>G471/D469</f>
        <v>16.609513054830288</v>
      </c>
    </row>
    <row r="470" spans="1:13" hidden="1">
      <c r="A470" s="3" t="s">
        <v>10</v>
      </c>
      <c r="B470" s="3">
        <f>C462</f>
        <v>21005</v>
      </c>
      <c r="C470" s="3">
        <v>21324</v>
      </c>
      <c r="D470" s="3">
        <f>C470-B470</f>
        <v>319</v>
      </c>
      <c r="E470" s="3"/>
      <c r="F470" s="3"/>
      <c r="G470" s="19">
        <f>3174.34*1.15</f>
        <v>3650.491</v>
      </c>
      <c r="H470" s="6">
        <f>932.4*1.15</f>
        <v>1072.26</v>
      </c>
      <c r="I470" s="3" t="s">
        <v>21</v>
      </c>
      <c r="J470" s="3" t="s">
        <v>115</v>
      </c>
      <c r="K470" s="3">
        <v>30</v>
      </c>
      <c r="L470" s="3">
        <f>D470/K470</f>
        <v>10.633333333333333</v>
      </c>
      <c r="M470" s="6">
        <f>G472/D470</f>
        <v>14.804862068965518</v>
      </c>
    </row>
    <row r="471" spans="1:13" hidden="1">
      <c r="A471" s="2" t="s">
        <v>48</v>
      </c>
      <c r="B471" s="2"/>
      <c r="C471" s="3"/>
      <c r="D471" s="3"/>
      <c r="E471" s="3"/>
      <c r="F471" s="3"/>
      <c r="G471" s="20">
        <f>E469+G469+H469</f>
        <v>6361.4435000000003</v>
      </c>
      <c r="H471" s="6"/>
      <c r="I471" s="3"/>
      <c r="J471" s="3"/>
      <c r="K471" s="3"/>
      <c r="L471" s="3"/>
      <c r="M471" s="3"/>
    </row>
    <row r="472" spans="1:13" hidden="1">
      <c r="A472" s="2" t="s">
        <v>12</v>
      </c>
      <c r="B472" s="4"/>
      <c r="C472" s="4"/>
      <c r="D472" s="2"/>
      <c r="E472" s="2"/>
      <c r="F472" s="2"/>
      <c r="G472" s="20">
        <f>G470+H470</f>
        <v>4722.7510000000002</v>
      </c>
      <c r="H472" s="7"/>
      <c r="I472" s="3"/>
      <c r="J472" s="3"/>
      <c r="K472" s="3"/>
      <c r="L472" s="3"/>
      <c r="M472" s="3"/>
    </row>
    <row r="473" spans="1:13" hidden="1">
      <c r="A473" s="2" t="s">
        <v>13</v>
      </c>
      <c r="B473" s="2"/>
      <c r="C473" s="2"/>
      <c r="D473" s="2"/>
      <c r="E473" s="2"/>
      <c r="F473" s="2"/>
      <c r="G473" s="7">
        <f>G471-G472</f>
        <v>1638.6925000000001</v>
      </c>
      <c r="H473" s="7"/>
      <c r="I473" s="3"/>
      <c r="J473" s="3"/>
      <c r="K473" s="3"/>
      <c r="L473" s="3"/>
      <c r="M473" s="3"/>
    </row>
    <row r="474" spans="1:13" hidden="1"/>
    <row r="475" spans="1:13" hidden="1">
      <c r="A475" s="16">
        <v>44896</v>
      </c>
    </row>
    <row r="476" spans="1:13" hidden="1">
      <c r="A476" s="2" t="s">
        <v>1</v>
      </c>
      <c r="B476" s="2" t="s">
        <v>2</v>
      </c>
      <c r="C476" s="2" t="s">
        <v>3</v>
      </c>
      <c r="D476" s="2" t="s">
        <v>4</v>
      </c>
      <c r="E476" s="2" t="s">
        <v>15</v>
      </c>
      <c r="F476" s="2" t="s">
        <v>14</v>
      </c>
      <c r="G476" s="2" t="s">
        <v>5</v>
      </c>
      <c r="H476" s="2" t="s">
        <v>6</v>
      </c>
      <c r="I476" s="2" t="s">
        <v>16</v>
      </c>
      <c r="J476" s="2" t="s">
        <v>17</v>
      </c>
      <c r="K476" s="2" t="s">
        <v>18</v>
      </c>
      <c r="L476" s="2" t="s">
        <v>19</v>
      </c>
      <c r="M476" s="2" t="s">
        <v>20</v>
      </c>
    </row>
    <row r="477" spans="1:13" hidden="1">
      <c r="A477" s="3" t="s">
        <v>45</v>
      </c>
      <c r="B477" s="3">
        <f>C469</f>
        <v>21483</v>
      </c>
      <c r="C477" s="3">
        <v>21829</v>
      </c>
      <c r="D477" s="3">
        <f>C477-B477</f>
        <v>346</v>
      </c>
      <c r="E477" s="3">
        <f>-310.02*1.15</f>
        <v>-356.52299999999997</v>
      </c>
      <c r="F477" s="3"/>
      <c r="G477" s="8">
        <f>4049.8*1.15</f>
        <v>4657.2699999999995</v>
      </c>
      <c r="H477" s="3">
        <f>932.4*1.15</f>
        <v>1072.26</v>
      </c>
      <c r="I477" s="3" t="s">
        <v>21</v>
      </c>
      <c r="J477" s="3" t="s">
        <v>116</v>
      </c>
      <c r="K477" s="3">
        <v>36</v>
      </c>
      <c r="L477" s="3">
        <f>D477/K477</f>
        <v>9.6111111111111107</v>
      </c>
      <c r="M477" s="6">
        <f>G479/D477</f>
        <v>15.528921965317918</v>
      </c>
    </row>
    <row r="478" spans="1:13" hidden="1">
      <c r="A478" s="3" t="s">
        <v>10</v>
      </c>
      <c r="B478" s="3">
        <f>C470</f>
        <v>21324</v>
      </c>
      <c r="C478" s="3">
        <v>21689</v>
      </c>
      <c r="D478" s="3">
        <f>C478-B478</f>
        <v>365</v>
      </c>
      <c r="E478" s="3"/>
      <c r="F478" s="3"/>
      <c r="G478" s="19">
        <f>3819.32*1.15</f>
        <v>4392.2179999999998</v>
      </c>
      <c r="H478" s="6">
        <f>932.4*1.15</f>
        <v>1072.26</v>
      </c>
      <c r="I478" s="3" t="s">
        <v>21</v>
      </c>
      <c r="J478" s="3" t="s">
        <v>117</v>
      </c>
      <c r="K478" s="3">
        <v>33</v>
      </c>
      <c r="L478" s="3">
        <f>D478/K478</f>
        <v>11.060606060606061</v>
      </c>
      <c r="M478" s="6">
        <f>G480/D478</f>
        <v>14.971172602739726</v>
      </c>
    </row>
    <row r="479" spans="1:13" hidden="1">
      <c r="A479" s="2" t="s">
        <v>48</v>
      </c>
      <c r="B479" s="2"/>
      <c r="C479" s="3"/>
      <c r="D479" s="3"/>
      <c r="E479" s="3"/>
      <c r="F479" s="3"/>
      <c r="G479" s="20">
        <f>E477+G477+H477</f>
        <v>5373.0069999999996</v>
      </c>
      <c r="H479" s="6"/>
      <c r="I479" s="3"/>
      <c r="J479" s="3"/>
      <c r="K479" s="3"/>
      <c r="L479" s="3"/>
      <c r="M479" s="3"/>
    </row>
    <row r="480" spans="1:13" hidden="1">
      <c r="A480" s="2" t="s">
        <v>12</v>
      </c>
      <c r="B480" s="4"/>
      <c r="C480" s="4"/>
      <c r="D480" s="2"/>
      <c r="E480" s="2"/>
      <c r="F480" s="2"/>
      <c r="G480" s="20">
        <f>G478+H478</f>
        <v>5464.4780000000001</v>
      </c>
      <c r="H480" s="7"/>
      <c r="I480" s="3"/>
      <c r="J480" s="3"/>
      <c r="K480" s="3"/>
      <c r="L480" s="3"/>
      <c r="M480" s="3"/>
    </row>
    <row r="481" spans="1:13" hidden="1">
      <c r="A481" s="2" t="s">
        <v>13</v>
      </c>
      <c r="B481" s="2"/>
      <c r="C481" s="2"/>
      <c r="D481" s="2"/>
      <c r="E481" s="2"/>
      <c r="F481" s="2"/>
      <c r="G481" s="7">
        <f>G479-G480</f>
        <v>-91.471000000000458</v>
      </c>
      <c r="H481" s="7"/>
      <c r="I481" s="3"/>
      <c r="J481" s="3"/>
      <c r="K481" s="3"/>
      <c r="L481" s="3"/>
      <c r="M481" s="3"/>
    </row>
    <row r="483" spans="1:13">
      <c r="A483" s="16">
        <v>44927</v>
      </c>
    </row>
    <row r="484" spans="1:13" hidden="1">
      <c r="A484" s="2" t="s">
        <v>1</v>
      </c>
      <c r="B484" s="2" t="s">
        <v>2</v>
      </c>
      <c r="C484" s="2" t="s">
        <v>3</v>
      </c>
      <c r="D484" s="2" t="s">
        <v>4</v>
      </c>
      <c r="E484" s="2" t="s">
        <v>15</v>
      </c>
      <c r="F484" s="2" t="s">
        <v>14</v>
      </c>
      <c r="G484" s="2" t="s">
        <v>5</v>
      </c>
      <c r="H484" s="2" t="s">
        <v>6</v>
      </c>
      <c r="I484" s="2" t="s">
        <v>16</v>
      </c>
      <c r="J484" s="2" t="s">
        <v>17</v>
      </c>
      <c r="K484" s="2" t="s">
        <v>18</v>
      </c>
      <c r="L484" s="2" t="s">
        <v>19</v>
      </c>
      <c r="M484" s="2" t="s">
        <v>20</v>
      </c>
    </row>
    <row r="485" spans="1:13" hidden="1">
      <c r="A485" s="3" t="s">
        <v>45</v>
      </c>
      <c r="B485" s="3">
        <f>C477</f>
        <v>21829</v>
      </c>
      <c r="C485" s="3">
        <v>22187</v>
      </c>
      <c r="D485" s="3">
        <f>C485-B485</f>
        <v>358</v>
      </c>
      <c r="E485" s="3">
        <f>-145.95*1.15</f>
        <v>-167.84249999999997</v>
      </c>
      <c r="F485" s="3"/>
      <c r="G485" s="8">
        <f>4164.49*1.15</f>
        <v>4789.1634999999997</v>
      </c>
      <c r="H485" s="3">
        <f>932.4*1.15</f>
        <v>1072.26</v>
      </c>
      <c r="I485" s="3" t="s">
        <v>21</v>
      </c>
      <c r="J485" s="3" t="s">
        <v>118</v>
      </c>
      <c r="K485" s="3">
        <v>28</v>
      </c>
      <c r="L485" s="3">
        <f>D485/K485</f>
        <v>12.785714285714286</v>
      </c>
      <c r="M485" s="6">
        <f>G487/D485</f>
        <v>15.903857541899441</v>
      </c>
    </row>
    <row r="486" spans="1:13" hidden="1">
      <c r="A486" s="3" t="s">
        <v>10</v>
      </c>
      <c r="B486" s="3">
        <f>C478</f>
        <v>21689</v>
      </c>
      <c r="C486" s="3">
        <v>22214</v>
      </c>
      <c r="D486" s="3">
        <f>C486-B486</f>
        <v>525</v>
      </c>
      <c r="E486" s="3"/>
      <c r="F486" s="3"/>
      <c r="G486" s="19">
        <f>6000.82*1.15</f>
        <v>6900.9429999999993</v>
      </c>
      <c r="H486" s="6">
        <f>932.4*1.15</f>
        <v>1072.26</v>
      </c>
      <c r="I486" s="3" t="s">
        <v>119</v>
      </c>
      <c r="J486" s="3" t="s">
        <v>120</v>
      </c>
      <c r="K486" s="3">
        <v>44</v>
      </c>
      <c r="L486" s="3">
        <f>D486/K486</f>
        <v>11.931818181818182</v>
      </c>
      <c r="M486" s="6">
        <f>G488/D486</f>
        <v>15.187053333333333</v>
      </c>
    </row>
    <row r="487" spans="1:13" hidden="1">
      <c r="A487" s="2" t="s">
        <v>48</v>
      </c>
      <c r="B487" s="2"/>
      <c r="C487" s="3"/>
      <c r="D487" s="3"/>
      <c r="E487" s="3"/>
      <c r="F487" s="3"/>
      <c r="G487" s="20">
        <f>E485+G485+H485</f>
        <v>5693.5810000000001</v>
      </c>
      <c r="H487" s="6"/>
      <c r="I487" s="3"/>
      <c r="J487" s="3"/>
      <c r="K487" s="3"/>
      <c r="L487" s="3"/>
      <c r="M487" s="3"/>
    </row>
    <row r="488" spans="1:13" hidden="1">
      <c r="A488" s="2" t="s">
        <v>12</v>
      </c>
      <c r="B488" s="4"/>
      <c r="C488" s="4"/>
      <c r="D488" s="2"/>
      <c r="E488" s="2"/>
      <c r="F488" s="2"/>
      <c r="G488" s="20">
        <f>G486+H486</f>
        <v>7973.2029999999995</v>
      </c>
      <c r="H488" s="7"/>
      <c r="I488" s="3"/>
      <c r="J488" s="3"/>
      <c r="K488" s="3"/>
      <c r="L488" s="3"/>
      <c r="M488" s="3"/>
    </row>
    <row r="489" spans="1:13" hidden="1">
      <c r="A489" s="2" t="s">
        <v>13</v>
      </c>
      <c r="B489" s="2"/>
      <c r="C489" s="2"/>
      <c r="D489" s="2"/>
      <c r="E489" s="2"/>
      <c r="F489" s="2"/>
      <c r="G489" s="7">
        <f>G487-G488</f>
        <v>-2279.6219999999994</v>
      </c>
      <c r="H489" s="7"/>
      <c r="I489" s="3"/>
      <c r="J489" s="3"/>
      <c r="K489" s="3"/>
      <c r="L489" s="3"/>
      <c r="M489" s="3"/>
    </row>
    <row r="490" spans="1:13" hidden="1"/>
    <row r="491" spans="1:13" hidden="1">
      <c r="A491" s="1">
        <v>44958</v>
      </c>
    </row>
    <row r="492" spans="1:13" hidden="1">
      <c r="A492" s="2" t="s">
        <v>1</v>
      </c>
      <c r="B492" s="2" t="s">
        <v>2</v>
      </c>
      <c r="C492" s="2" t="s">
        <v>3</v>
      </c>
      <c r="D492" s="2" t="s">
        <v>4</v>
      </c>
      <c r="E492" s="2" t="s">
        <v>15</v>
      </c>
      <c r="F492" s="2" t="s">
        <v>14</v>
      </c>
      <c r="G492" s="2" t="s">
        <v>5</v>
      </c>
      <c r="H492" s="2" t="s">
        <v>6</v>
      </c>
      <c r="I492" s="2" t="s">
        <v>16</v>
      </c>
      <c r="J492" s="2" t="s">
        <v>17</v>
      </c>
      <c r="K492" s="2" t="s">
        <v>18</v>
      </c>
      <c r="L492" s="2" t="s">
        <v>19</v>
      </c>
      <c r="M492" s="2" t="s">
        <v>20</v>
      </c>
    </row>
    <row r="493" spans="1:13" hidden="1">
      <c r="A493" s="3" t="s">
        <v>45</v>
      </c>
      <c r="B493" s="3">
        <f>C485</f>
        <v>22187</v>
      </c>
      <c r="C493" s="3">
        <v>22491</v>
      </c>
      <c r="D493" s="3">
        <f>C493-B493</f>
        <v>304</v>
      </c>
      <c r="E493" s="3">
        <f>119.39*1.15</f>
        <v>137.29849999999999</v>
      </c>
      <c r="F493" s="3"/>
      <c r="G493" s="8">
        <f>2644.73*1.15</f>
        <v>3041.4395</v>
      </c>
      <c r="H493" s="3">
        <f>932.4*1.15</f>
        <v>1072.26</v>
      </c>
      <c r="I493" s="3" t="s">
        <v>21</v>
      </c>
      <c r="J493" s="3" t="s">
        <v>121</v>
      </c>
      <c r="K493" s="3">
        <v>29</v>
      </c>
      <c r="L493" s="3">
        <f>D493/K493</f>
        <v>10.482758620689655</v>
      </c>
      <c r="M493" s="6">
        <f>G495/D493</f>
        <v>13.983546052631578</v>
      </c>
    </row>
    <row r="494" spans="1:13" hidden="1">
      <c r="A494" s="3" t="s">
        <v>10</v>
      </c>
      <c r="B494" s="3">
        <f>C486</f>
        <v>22214</v>
      </c>
      <c r="C494" s="3">
        <v>22540</v>
      </c>
      <c r="D494" s="3">
        <f>C494-B494</f>
        <v>326</v>
      </c>
      <c r="E494" s="3"/>
      <c r="F494" s="3"/>
      <c r="G494" s="19">
        <f>(2369.53+1382.13)*1.15</f>
        <v>4314.4089999999997</v>
      </c>
      <c r="H494" s="6">
        <f>932.4*1.15</f>
        <v>1072.26</v>
      </c>
      <c r="I494" s="3" t="s">
        <v>119</v>
      </c>
      <c r="J494" s="3" t="s">
        <v>122</v>
      </c>
      <c r="K494" s="3">
        <v>27</v>
      </c>
      <c r="L494" s="3">
        <f>D494/K494</f>
        <v>12.074074074074074</v>
      </c>
      <c r="M494" s="6">
        <f>G496/D494</f>
        <v>16.5235245398773</v>
      </c>
    </row>
    <row r="495" spans="1:13" hidden="1">
      <c r="A495" s="2" t="s">
        <v>48</v>
      </c>
      <c r="B495" s="2"/>
      <c r="C495" s="3"/>
      <c r="D495" s="3"/>
      <c r="E495" s="3"/>
      <c r="F495" s="3"/>
      <c r="G495" s="20">
        <f>E493+G493+H493</f>
        <v>4250.9979999999996</v>
      </c>
      <c r="H495" s="6"/>
      <c r="I495" s="3"/>
      <c r="J495" s="3"/>
      <c r="K495" s="3"/>
      <c r="L495" s="3"/>
      <c r="M495" s="3"/>
    </row>
    <row r="496" spans="1:13" hidden="1">
      <c r="A496" s="2" t="s">
        <v>12</v>
      </c>
      <c r="B496" s="4"/>
      <c r="C496" s="4"/>
      <c r="D496" s="2"/>
      <c r="E496" s="2"/>
      <c r="F496" s="2"/>
      <c r="G496" s="20">
        <f>G494+H494</f>
        <v>5386.6689999999999</v>
      </c>
      <c r="H496" s="7"/>
      <c r="I496" s="3"/>
      <c r="J496" s="3"/>
      <c r="K496" s="3"/>
      <c r="L496" s="3"/>
      <c r="M496" s="3"/>
    </row>
    <row r="497" spans="1:13" hidden="1">
      <c r="A497" s="2" t="s">
        <v>13</v>
      </c>
      <c r="B497" s="2"/>
      <c r="C497" s="2"/>
      <c r="D497" s="2"/>
      <c r="E497" s="2"/>
      <c r="F497" s="2"/>
      <c r="G497" s="7">
        <f>G495-G496</f>
        <v>-1135.6710000000003</v>
      </c>
      <c r="H497" s="7"/>
      <c r="I497" s="3"/>
      <c r="J497" s="3"/>
      <c r="K497" s="3"/>
      <c r="L497" s="3"/>
      <c r="M497" s="3"/>
    </row>
    <row r="498" spans="1:13" hidden="1"/>
    <row r="499" spans="1:13" hidden="1">
      <c r="A499" s="1">
        <v>44986</v>
      </c>
    </row>
    <row r="500" spans="1:13" hidden="1">
      <c r="A500" s="2" t="s">
        <v>1</v>
      </c>
      <c r="B500" s="2" t="s">
        <v>2</v>
      </c>
      <c r="C500" s="2" t="s">
        <v>3</v>
      </c>
      <c r="D500" s="2" t="s">
        <v>4</v>
      </c>
      <c r="E500" s="2" t="s">
        <v>15</v>
      </c>
      <c r="F500" s="2" t="s">
        <v>14</v>
      </c>
      <c r="G500" s="2" t="s">
        <v>5</v>
      </c>
      <c r="H500" s="2" t="s">
        <v>6</v>
      </c>
      <c r="I500" s="2" t="s">
        <v>16</v>
      </c>
      <c r="J500" s="2" t="s">
        <v>17</v>
      </c>
      <c r="K500" s="2" t="s">
        <v>18</v>
      </c>
      <c r="L500" s="2" t="s">
        <v>19</v>
      </c>
      <c r="M500" s="2" t="s">
        <v>20</v>
      </c>
    </row>
    <row r="501" spans="1:13" hidden="1">
      <c r="A501" s="3" t="s">
        <v>45</v>
      </c>
      <c r="B501" s="3">
        <f>C493</f>
        <v>22491</v>
      </c>
      <c r="C501" s="3">
        <v>22820</v>
      </c>
      <c r="D501" s="3">
        <f>C501-B501</f>
        <v>329</v>
      </c>
      <c r="E501" s="3">
        <f>306.02*1.15</f>
        <v>351.92299999999994</v>
      </c>
      <c r="F501" s="3"/>
      <c r="G501" s="8">
        <f>3650.89*1.15</f>
        <v>4198.5234999999993</v>
      </c>
      <c r="H501" s="3">
        <f>932.4*1.15</f>
        <v>1072.26</v>
      </c>
      <c r="I501" s="3" t="s">
        <v>21</v>
      </c>
      <c r="J501" s="3" t="s">
        <v>123</v>
      </c>
      <c r="K501" s="3">
        <v>28</v>
      </c>
      <c r="L501" s="3">
        <f>D501/K501</f>
        <v>11.75</v>
      </c>
      <c r="M501" s="6">
        <f>G503/D501</f>
        <v>17.090293313069907</v>
      </c>
    </row>
    <row r="502" spans="1:13" hidden="1">
      <c r="A502" s="3" t="s">
        <v>10</v>
      </c>
      <c r="B502" s="3">
        <v>21689</v>
      </c>
      <c r="C502" s="3">
        <v>22748</v>
      </c>
      <c r="D502" s="3">
        <f>C502-B502</f>
        <v>1059</v>
      </c>
      <c r="E502" s="3"/>
      <c r="F502" s="3"/>
      <c r="G502" s="19">
        <f>(11468.91-6230.99-3521.49)*1.15</f>
        <v>1973.8945000000001</v>
      </c>
      <c r="H502" s="6">
        <f>932.4*1.15</f>
        <v>1072.26</v>
      </c>
      <c r="I502" s="3" t="s">
        <v>21</v>
      </c>
      <c r="J502" s="3" t="s">
        <v>124</v>
      </c>
      <c r="K502" s="3">
        <v>93</v>
      </c>
      <c r="L502" s="3">
        <f>D502/K502</f>
        <v>11.387096774193548</v>
      </c>
      <c r="M502" s="6">
        <f>G504/D502</f>
        <v>2.8764442870632672</v>
      </c>
    </row>
    <row r="503" spans="1:13" hidden="1">
      <c r="A503" s="2" t="s">
        <v>48</v>
      </c>
      <c r="B503" s="2"/>
      <c r="C503" s="3"/>
      <c r="D503" s="3"/>
      <c r="E503" s="3"/>
      <c r="F503" s="3"/>
      <c r="G503" s="20">
        <f>E501+G501+H501</f>
        <v>5622.7064999999993</v>
      </c>
      <c r="H503" s="6"/>
      <c r="I503" s="3"/>
      <c r="J503" s="3"/>
      <c r="K503" s="3"/>
      <c r="L503" s="3"/>
      <c r="M503" s="3"/>
    </row>
    <row r="504" spans="1:13" hidden="1">
      <c r="A504" s="2" t="s">
        <v>12</v>
      </c>
      <c r="B504" s="4"/>
      <c r="C504" s="4"/>
      <c r="D504" s="2"/>
      <c r="E504" s="2"/>
      <c r="F504" s="2"/>
      <c r="G504" s="20">
        <f>G502+H502</f>
        <v>3046.1545000000001</v>
      </c>
      <c r="H504" s="7"/>
      <c r="I504" s="3"/>
      <c r="J504" s="3"/>
      <c r="K504" s="3"/>
      <c r="L504" s="3"/>
      <c r="M504" s="3"/>
    </row>
    <row r="505" spans="1:13" hidden="1">
      <c r="A505" s="2" t="s">
        <v>13</v>
      </c>
      <c r="B505" s="2"/>
      <c r="C505" s="2"/>
      <c r="D505" s="2"/>
      <c r="E505" s="2"/>
      <c r="F505" s="2"/>
      <c r="G505" s="7">
        <f>G503-G504</f>
        <v>2576.5519999999992</v>
      </c>
      <c r="H505" s="7"/>
      <c r="I505" s="3"/>
      <c r="J505" s="3"/>
      <c r="K505" s="3"/>
      <c r="L505" s="3"/>
      <c r="M505" s="3"/>
    </row>
    <row r="506" spans="1:13" hidden="1"/>
    <row r="507" spans="1:13" hidden="1">
      <c r="A507" s="1">
        <v>45017</v>
      </c>
    </row>
    <row r="508" spans="1:13" hidden="1">
      <c r="A508" s="2" t="s">
        <v>1</v>
      </c>
      <c r="B508" s="2" t="s">
        <v>2</v>
      </c>
      <c r="C508" s="2" t="s">
        <v>3</v>
      </c>
      <c r="D508" s="2" t="s">
        <v>4</v>
      </c>
      <c r="E508" s="2" t="s">
        <v>15</v>
      </c>
      <c r="F508" s="2" t="s">
        <v>14</v>
      </c>
      <c r="G508" s="2" t="s">
        <v>5</v>
      </c>
      <c r="H508" s="2" t="s">
        <v>6</v>
      </c>
      <c r="I508" s="2" t="s">
        <v>16</v>
      </c>
      <c r="J508" s="2" t="s">
        <v>17</v>
      </c>
      <c r="K508" s="2" t="s">
        <v>18</v>
      </c>
      <c r="L508" s="2" t="s">
        <v>19</v>
      </c>
      <c r="M508" s="2" t="s">
        <v>20</v>
      </c>
    </row>
    <row r="509" spans="1:13" hidden="1">
      <c r="A509" s="3" t="s">
        <v>45</v>
      </c>
      <c r="B509" s="3">
        <f>C501</f>
        <v>22820</v>
      </c>
      <c r="C509" s="3">
        <v>23186</v>
      </c>
      <c r="D509" s="3">
        <f>C509-B509</f>
        <v>366</v>
      </c>
      <c r="E509" s="3">
        <f>-150.54*1.15</f>
        <v>-173.12099999999998</v>
      </c>
      <c r="F509" s="3"/>
      <c r="G509" s="8">
        <f>4354.92*1.15</f>
        <v>5008.1579999999994</v>
      </c>
      <c r="H509" s="3">
        <f>932.4*1.15</f>
        <v>1072.26</v>
      </c>
      <c r="I509" s="3" t="s">
        <v>21</v>
      </c>
      <c r="J509" s="3" t="s">
        <v>125</v>
      </c>
      <c r="K509" s="3">
        <v>35</v>
      </c>
      <c r="L509" s="3">
        <f>D509/K509</f>
        <v>10.457142857142857</v>
      </c>
      <c r="M509" s="6">
        <f>G511/D509</f>
        <v>16.613163934426229</v>
      </c>
    </row>
    <row r="510" spans="1:13" hidden="1">
      <c r="A510" s="3" t="s">
        <v>10</v>
      </c>
      <c r="B510" s="3">
        <v>22748</v>
      </c>
      <c r="C510" s="3">
        <v>23087</v>
      </c>
      <c r="D510" s="3">
        <f>C510-B510</f>
        <v>339</v>
      </c>
      <c r="E510" s="3"/>
      <c r="F510" s="3"/>
      <c r="G510" s="19">
        <f>3215.34*1.15</f>
        <v>3697.6410000000001</v>
      </c>
      <c r="H510" s="6">
        <f>932.4*1.15</f>
        <v>1072.26</v>
      </c>
      <c r="I510" s="3" t="s">
        <v>21</v>
      </c>
      <c r="J510" s="3" t="s">
        <v>126</v>
      </c>
      <c r="K510" s="3">
        <v>33</v>
      </c>
      <c r="L510" s="3">
        <f>D510/K510</f>
        <v>10.272727272727273</v>
      </c>
      <c r="M510" s="6">
        <f>G512/D510</f>
        <v>14.070504424778761</v>
      </c>
    </row>
    <row r="511" spans="1:13" hidden="1">
      <c r="A511" s="2" t="s">
        <v>48</v>
      </c>
      <c r="B511" s="2"/>
      <c r="C511" s="3"/>
      <c r="D511" s="3"/>
      <c r="E511" s="3"/>
      <c r="F511" s="3"/>
      <c r="G511" s="20">
        <f>0+G509+H509</f>
        <v>6080.4179999999997</v>
      </c>
      <c r="H511" s="6"/>
      <c r="I511" s="3"/>
      <c r="J511" s="3"/>
      <c r="K511" s="3"/>
      <c r="L511" s="3"/>
      <c r="M511" s="3"/>
    </row>
    <row r="512" spans="1:13" hidden="1">
      <c r="A512" s="2" t="s">
        <v>12</v>
      </c>
      <c r="B512" s="4"/>
      <c r="C512" s="4"/>
      <c r="D512" s="2"/>
      <c r="E512" s="2"/>
      <c r="F512" s="2"/>
      <c r="G512" s="20">
        <f>G510+H510</f>
        <v>4769.9009999999998</v>
      </c>
      <c r="H512" s="7"/>
      <c r="I512" s="3"/>
      <c r="J512" s="3"/>
      <c r="K512" s="3"/>
      <c r="L512" s="3"/>
      <c r="M512" s="3"/>
    </row>
    <row r="513" spans="1:13" hidden="1">
      <c r="A513" s="2" t="s">
        <v>13</v>
      </c>
      <c r="B513" s="2"/>
      <c r="C513" s="2"/>
      <c r="D513" s="2"/>
      <c r="E513" s="2"/>
      <c r="F513" s="2"/>
      <c r="G513" s="7">
        <f>G511-G512</f>
        <v>1310.5169999999998</v>
      </c>
      <c r="H513" s="7"/>
      <c r="I513" s="3"/>
      <c r="J513" s="3"/>
      <c r="K513" s="3"/>
      <c r="L513" s="3"/>
      <c r="M513" s="3"/>
    </row>
    <row r="514" spans="1:13" hidden="1"/>
    <row r="515" spans="1:13" hidden="1">
      <c r="A515" s="1">
        <v>45047</v>
      </c>
    </row>
    <row r="516" spans="1:13" hidden="1">
      <c r="A516" s="2" t="s">
        <v>1</v>
      </c>
      <c r="B516" s="2" t="s">
        <v>2</v>
      </c>
      <c r="C516" s="2" t="s">
        <v>3</v>
      </c>
      <c r="D516" s="2" t="s">
        <v>4</v>
      </c>
      <c r="E516" s="2" t="s">
        <v>15</v>
      </c>
      <c r="F516" s="2" t="s">
        <v>14</v>
      </c>
      <c r="G516" s="2" t="s">
        <v>5</v>
      </c>
      <c r="H516" s="2" t="s">
        <v>6</v>
      </c>
      <c r="I516" s="2" t="s">
        <v>16</v>
      </c>
      <c r="J516" s="2" t="s">
        <v>17</v>
      </c>
      <c r="K516" s="2" t="s">
        <v>18</v>
      </c>
      <c r="L516" s="2" t="s">
        <v>19</v>
      </c>
      <c r="M516" s="2" t="s">
        <v>20</v>
      </c>
    </row>
    <row r="517" spans="1:13" hidden="1">
      <c r="A517" s="3" t="s">
        <v>45</v>
      </c>
      <c r="B517" s="3">
        <f>C509</f>
        <v>23186</v>
      </c>
      <c r="C517" s="3">
        <v>23465</v>
      </c>
      <c r="D517" s="3">
        <f>C517-B517</f>
        <v>279</v>
      </c>
      <c r="E517" s="3">
        <v>0</v>
      </c>
      <c r="F517" s="3"/>
      <c r="G517" s="8">
        <f>2465.38*1.15</f>
        <v>2835.1869999999999</v>
      </c>
      <c r="H517" s="3">
        <f>932.4*1.15</f>
        <v>1072.26</v>
      </c>
      <c r="I517" s="3" t="s">
        <v>21</v>
      </c>
      <c r="J517" s="3" t="s">
        <v>127</v>
      </c>
      <c r="K517" s="3">
        <v>27</v>
      </c>
      <c r="L517" s="3">
        <f>D517/K517</f>
        <v>10.333333333333334</v>
      </c>
      <c r="M517" s="6">
        <f>G519/D517</f>
        <v>14.005186379928316</v>
      </c>
    </row>
    <row r="518" spans="1:13" hidden="1">
      <c r="A518" s="3" t="s">
        <v>10</v>
      </c>
      <c r="B518" s="3">
        <f>C510</f>
        <v>23087</v>
      </c>
      <c r="C518" s="3">
        <v>23443</v>
      </c>
      <c r="D518" s="3">
        <f>C518-B518</f>
        <v>356</v>
      </c>
      <c r="E518" s="3"/>
      <c r="F518" s="3"/>
      <c r="G518" s="19">
        <f>4049.33*1.15</f>
        <v>4656.7294999999995</v>
      </c>
      <c r="H518" s="6">
        <f>932.4*1.15</f>
        <v>1072.26</v>
      </c>
      <c r="I518" s="3" t="s">
        <v>119</v>
      </c>
      <c r="J518" s="3" t="s">
        <v>128</v>
      </c>
      <c r="K518" s="3">
        <v>30</v>
      </c>
      <c r="L518" s="3">
        <f>D518/K518</f>
        <v>11.866666666666667</v>
      </c>
      <c r="M518" s="6">
        <f>G520/D518</f>
        <v>16.092667134831458</v>
      </c>
    </row>
    <row r="519" spans="1:13" hidden="1">
      <c r="A519" s="2" t="s">
        <v>48</v>
      </c>
      <c r="B519" s="2"/>
      <c r="C519" s="3"/>
      <c r="D519" s="3"/>
      <c r="E519" s="3"/>
      <c r="F519" s="3"/>
      <c r="G519" s="20">
        <f>0+G517+H517</f>
        <v>3907.4470000000001</v>
      </c>
      <c r="H519" s="6"/>
      <c r="I519" s="3"/>
      <c r="J519" s="3"/>
      <c r="K519" s="3"/>
      <c r="L519" s="3"/>
      <c r="M519" s="3"/>
    </row>
    <row r="520" spans="1:13" hidden="1">
      <c r="A520" s="2" t="s">
        <v>12</v>
      </c>
      <c r="B520" s="4"/>
      <c r="C520" s="4"/>
      <c r="D520" s="2"/>
      <c r="E520" s="2"/>
      <c r="F520" s="2"/>
      <c r="G520" s="20">
        <f>G518+H518</f>
        <v>5728.9894999999997</v>
      </c>
      <c r="H520" s="7"/>
      <c r="I520" s="3"/>
      <c r="J520" s="3"/>
      <c r="K520" s="3"/>
      <c r="L520" s="3"/>
      <c r="M520" s="3"/>
    </row>
    <row r="521" spans="1:13" hidden="1">
      <c r="A521" s="2" t="s">
        <v>13</v>
      </c>
      <c r="B521" s="2"/>
      <c r="C521" s="2"/>
      <c r="D521" s="2"/>
      <c r="E521" s="2"/>
      <c r="F521" s="2"/>
      <c r="G521" s="7">
        <f>G519-G520</f>
        <v>-1821.5424999999996</v>
      </c>
      <c r="H521" s="7"/>
      <c r="I521" s="3"/>
      <c r="J521" s="3"/>
      <c r="K521" s="3"/>
      <c r="L521" s="3"/>
      <c r="M521" s="3"/>
    </row>
    <row r="522" spans="1:13" hidden="1"/>
    <row r="523" spans="1:13" hidden="1">
      <c r="A523" s="1">
        <v>45078</v>
      </c>
    </row>
    <row r="524" spans="1:13" hidden="1">
      <c r="A524" s="2" t="s">
        <v>1</v>
      </c>
      <c r="B524" s="2" t="s">
        <v>2</v>
      </c>
      <c r="C524" s="2" t="s">
        <v>3</v>
      </c>
      <c r="D524" s="2" t="s">
        <v>4</v>
      </c>
      <c r="E524" s="2" t="s">
        <v>15</v>
      </c>
      <c r="F524" s="2" t="s">
        <v>14</v>
      </c>
      <c r="G524" s="2" t="s">
        <v>5</v>
      </c>
      <c r="H524" s="2" t="s">
        <v>6</v>
      </c>
      <c r="I524" s="2" t="s">
        <v>16</v>
      </c>
      <c r="J524" s="2" t="s">
        <v>17</v>
      </c>
      <c r="K524" s="2" t="s">
        <v>18</v>
      </c>
      <c r="L524" s="2" t="s">
        <v>19</v>
      </c>
      <c r="M524" s="2" t="s">
        <v>20</v>
      </c>
    </row>
    <row r="525" spans="1:13" hidden="1">
      <c r="A525" s="3" t="s">
        <v>45</v>
      </c>
      <c r="B525" s="3">
        <f>C517</f>
        <v>23465</v>
      </c>
      <c r="C525" s="3">
        <v>23770</v>
      </c>
      <c r="D525" s="3">
        <f>C525-B525</f>
        <v>305</v>
      </c>
      <c r="E525" s="3">
        <f>21.38*1.15</f>
        <v>24.586999999999996</v>
      </c>
      <c r="F525" s="3"/>
      <c r="G525" s="8">
        <f>2765.97*1.15</f>
        <v>3180.8654999999994</v>
      </c>
      <c r="H525" s="3">
        <f>1019.1*1.15</f>
        <v>1171.9649999999999</v>
      </c>
      <c r="I525" s="3" t="s">
        <v>21</v>
      </c>
      <c r="J525" s="3" t="s">
        <v>129</v>
      </c>
      <c r="K525" s="3">
        <v>29</v>
      </c>
      <c r="L525" s="3">
        <f>D525/K525</f>
        <v>10.517241379310345</v>
      </c>
      <c r="M525" s="6">
        <f>G527/D525</f>
        <v>14.271575409836062</v>
      </c>
    </row>
    <row r="526" spans="1:13" hidden="1">
      <c r="A526" s="3" t="s">
        <v>10</v>
      </c>
      <c r="B526" s="3">
        <v>23087</v>
      </c>
      <c r="C526" s="3">
        <v>23678</v>
      </c>
      <c r="D526" s="3">
        <f>C526-B526</f>
        <v>591</v>
      </c>
      <c r="E526" s="3"/>
      <c r="F526" s="3"/>
      <c r="G526" s="19">
        <f>1772.37*1.15</f>
        <v>2038.2254999999998</v>
      </c>
      <c r="H526" s="6">
        <f>1091.1*1.15</f>
        <v>1254.7649999999999</v>
      </c>
      <c r="I526" s="3" t="s">
        <v>21</v>
      </c>
      <c r="J526" s="3" t="s">
        <v>130</v>
      </c>
      <c r="K526" s="3">
        <v>56</v>
      </c>
      <c r="L526" s="3">
        <f>D526/K526</f>
        <v>10.553571428571429</v>
      </c>
      <c r="M526" s="6">
        <f>G528/D526</f>
        <v>5.5718959390862945</v>
      </c>
    </row>
    <row r="527" spans="1:13" hidden="1">
      <c r="A527" s="2" t="s">
        <v>48</v>
      </c>
      <c r="B527" s="2"/>
      <c r="C527" s="3"/>
      <c r="D527" s="3"/>
      <c r="E527" s="3"/>
      <c r="F527" s="3"/>
      <c r="G527" s="20">
        <f>0+G525+H525</f>
        <v>4352.8304999999991</v>
      </c>
      <c r="H527" s="6"/>
      <c r="I527" s="3"/>
      <c r="J527" s="3"/>
      <c r="K527" s="3"/>
      <c r="L527" s="3"/>
      <c r="M527" s="3"/>
    </row>
    <row r="528" spans="1:13" hidden="1">
      <c r="A528" s="2" t="s">
        <v>12</v>
      </c>
      <c r="B528" s="4"/>
      <c r="C528" s="4"/>
      <c r="D528" s="2"/>
      <c r="E528" s="2"/>
      <c r="F528" s="2"/>
      <c r="G528" s="20">
        <f>G526+H526</f>
        <v>3292.9904999999999</v>
      </c>
      <c r="H528" s="7"/>
      <c r="I528" s="3"/>
      <c r="J528" s="3"/>
      <c r="K528" s="3"/>
      <c r="L528" s="3"/>
      <c r="M528" s="3"/>
    </row>
    <row r="529" spans="1:13" hidden="1">
      <c r="A529" s="2" t="s">
        <v>13</v>
      </c>
      <c r="B529" s="2"/>
      <c r="C529" s="2"/>
      <c r="D529" s="2"/>
      <c r="E529" s="2"/>
      <c r="F529" s="2"/>
      <c r="G529" s="7">
        <f>G527-G528</f>
        <v>1059.8399999999992</v>
      </c>
      <c r="H529" s="7"/>
      <c r="I529" s="3"/>
      <c r="J529" s="3"/>
      <c r="K529" s="3"/>
      <c r="L529" s="3"/>
      <c r="M529" s="3"/>
    </row>
    <row r="530" spans="1:13" hidden="1"/>
    <row r="531" spans="1:13" hidden="1">
      <c r="A531" s="1">
        <v>45108</v>
      </c>
    </row>
    <row r="532" spans="1:13" hidden="1">
      <c r="A532" s="2" t="s">
        <v>1</v>
      </c>
      <c r="B532" s="2" t="s">
        <v>2</v>
      </c>
      <c r="C532" s="2" t="s">
        <v>3</v>
      </c>
      <c r="D532" s="2" t="s">
        <v>4</v>
      </c>
      <c r="E532" s="2" t="s">
        <v>15</v>
      </c>
      <c r="F532" s="2" t="s">
        <v>14</v>
      </c>
      <c r="G532" s="2" t="s">
        <v>5</v>
      </c>
      <c r="H532" s="2" t="s">
        <v>6</v>
      </c>
      <c r="I532" s="2" t="s">
        <v>16</v>
      </c>
      <c r="J532" s="2" t="s">
        <v>17</v>
      </c>
      <c r="K532" s="2" t="s">
        <v>18</v>
      </c>
      <c r="L532" s="2" t="s">
        <v>19</v>
      </c>
      <c r="M532" s="2" t="s">
        <v>20</v>
      </c>
    </row>
    <row r="533" spans="1:13" hidden="1">
      <c r="A533" s="3" t="s">
        <v>45</v>
      </c>
      <c r="B533" s="3">
        <f>C525</f>
        <v>23770</v>
      </c>
      <c r="C533" s="3">
        <v>24153</v>
      </c>
      <c r="D533" s="3">
        <f>C533-B533</f>
        <v>383</v>
      </c>
      <c r="E533" s="3">
        <f>71.59*1.15</f>
        <v>82.328499999999991</v>
      </c>
      <c r="F533" s="3"/>
      <c r="G533" s="8">
        <f>4955.38*1.15</f>
        <v>5698.6869999999999</v>
      </c>
      <c r="H533" s="3">
        <f>1019.1*1.15</f>
        <v>1171.9649999999999</v>
      </c>
      <c r="I533" s="3" t="s">
        <v>21</v>
      </c>
      <c r="J533" s="3" t="s">
        <v>131</v>
      </c>
      <c r="K533" s="3">
        <v>35</v>
      </c>
      <c r="L533" s="3">
        <f>D533/K533</f>
        <v>10.942857142857143</v>
      </c>
      <c r="M533" s="6">
        <f>G535/D533</f>
        <v>17.939039164490861</v>
      </c>
    </row>
    <row r="534" spans="1:13" hidden="1">
      <c r="A534" s="3" t="s">
        <v>10</v>
      </c>
      <c r="B534" s="3">
        <f>C526</f>
        <v>23678</v>
      </c>
      <c r="C534" s="3">
        <v>24140</v>
      </c>
      <c r="D534" s="3">
        <f>C534-B534</f>
        <v>462</v>
      </c>
      <c r="E534" s="3"/>
      <c r="F534" s="3"/>
      <c r="G534" s="19">
        <f>(1083.86+3909.37)*1.15</f>
        <v>5742.2144999999991</v>
      </c>
      <c r="H534" s="6">
        <f>1091.1*1.15</f>
        <v>1254.7649999999999</v>
      </c>
      <c r="I534" s="3" t="s">
        <v>21</v>
      </c>
      <c r="J534" s="3" t="s">
        <v>132</v>
      </c>
      <c r="K534" s="3">
        <v>43</v>
      </c>
      <c r="L534" s="3">
        <f>D534/K534</f>
        <v>10.744186046511627</v>
      </c>
      <c r="M534" s="6">
        <f>G536/D534</f>
        <v>15.144977272727271</v>
      </c>
    </row>
    <row r="535" spans="1:13" hidden="1">
      <c r="A535" s="2" t="s">
        <v>48</v>
      </c>
      <c r="B535" s="2"/>
      <c r="C535" s="3"/>
      <c r="D535" s="3"/>
      <c r="E535" s="3"/>
      <c r="F535" s="3"/>
      <c r="G535" s="20">
        <f>0+G533+H533</f>
        <v>6870.652</v>
      </c>
      <c r="H535" s="6"/>
      <c r="I535" s="3"/>
      <c r="J535" s="3"/>
      <c r="K535" s="3"/>
      <c r="L535" s="3"/>
      <c r="M535" s="3"/>
    </row>
    <row r="536" spans="1:13" hidden="1">
      <c r="A536" s="2" t="s">
        <v>12</v>
      </c>
      <c r="B536" s="4"/>
      <c r="C536" s="4"/>
      <c r="D536" s="2"/>
      <c r="E536" s="2"/>
      <c r="F536" s="2"/>
      <c r="G536" s="20">
        <f>G534+H534</f>
        <v>6996.9794999999995</v>
      </c>
      <c r="H536" s="7"/>
      <c r="I536" s="3"/>
      <c r="J536" s="3"/>
      <c r="K536" s="3"/>
      <c r="L536" s="3"/>
      <c r="M536" s="3"/>
    </row>
    <row r="537" spans="1:13" hidden="1">
      <c r="A537" s="2" t="s">
        <v>13</v>
      </c>
      <c r="B537" s="2"/>
      <c r="C537" s="2"/>
      <c r="D537" s="2"/>
      <c r="E537" s="2"/>
      <c r="F537" s="2"/>
      <c r="G537" s="7">
        <f>G535-G536</f>
        <v>-126.32749999999942</v>
      </c>
      <c r="H537" s="7"/>
      <c r="I537" s="3"/>
      <c r="J537" s="3"/>
      <c r="K537" s="3"/>
      <c r="L537" s="3"/>
      <c r="M537" s="3"/>
    </row>
    <row r="538" spans="1:13" hidden="1"/>
    <row r="539" spans="1:13" hidden="1">
      <c r="A539" s="1">
        <v>45139</v>
      </c>
    </row>
    <row r="540" spans="1:13" hidden="1">
      <c r="A540" s="2" t="s">
        <v>1</v>
      </c>
      <c r="B540" s="2" t="s">
        <v>2</v>
      </c>
      <c r="C540" s="2" t="s">
        <v>3</v>
      </c>
      <c r="D540" s="2" t="s">
        <v>4</v>
      </c>
      <c r="E540" s="2" t="s">
        <v>15</v>
      </c>
      <c r="F540" s="2" t="s">
        <v>14</v>
      </c>
      <c r="G540" s="2" t="s">
        <v>5</v>
      </c>
      <c r="H540" s="2" t="s">
        <v>6</v>
      </c>
      <c r="I540" s="2" t="s">
        <v>16</v>
      </c>
      <c r="J540" s="2" t="s">
        <v>17</v>
      </c>
      <c r="K540" s="2" t="s">
        <v>18</v>
      </c>
      <c r="L540" s="2" t="s">
        <v>19</v>
      </c>
      <c r="M540" s="2" t="s">
        <v>20</v>
      </c>
    </row>
    <row r="541" spans="1:13" hidden="1">
      <c r="A541" s="3" t="s">
        <v>45</v>
      </c>
      <c r="B541" s="3">
        <f>C533</f>
        <v>24153</v>
      </c>
      <c r="C541" s="3">
        <v>24503</v>
      </c>
      <c r="D541" s="3">
        <f>C541-B541</f>
        <v>350</v>
      </c>
      <c r="E541" s="3">
        <v>0</v>
      </c>
      <c r="F541" s="3"/>
      <c r="G541" s="8">
        <f>4764.03*1.15</f>
        <v>5478.6344999999992</v>
      </c>
      <c r="H541" s="3">
        <f>1019.1*1.15</f>
        <v>1171.9649999999999</v>
      </c>
      <c r="I541" s="3" t="s">
        <v>21</v>
      </c>
      <c r="J541" s="3" t="s">
        <v>133</v>
      </c>
      <c r="K541" s="3">
        <v>28</v>
      </c>
      <c r="L541" s="3">
        <f>D541/K541</f>
        <v>12.5</v>
      </c>
      <c r="M541" s="6">
        <f>G543/D541</f>
        <v>19.001712857142856</v>
      </c>
    </row>
    <row r="542" spans="1:13" hidden="1">
      <c r="A542" s="3" t="s">
        <v>10</v>
      </c>
      <c r="B542" s="3">
        <f>C534</f>
        <v>24140</v>
      </c>
      <c r="C542" s="3">
        <v>24316</v>
      </c>
      <c r="D542" s="3">
        <f>C542-B542</f>
        <v>176</v>
      </c>
      <c r="E542" s="3"/>
      <c r="F542" s="3"/>
      <c r="G542" s="19">
        <f>2153.71*1.15</f>
        <v>2476.7664999999997</v>
      </c>
      <c r="H542" s="6">
        <f>1091.1*1.15</f>
        <v>1254.7649999999999</v>
      </c>
      <c r="I542" s="3" t="s">
        <v>21</v>
      </c>
      <c r="J542" s="3" t="s">
        <v>134</v>
      </c>
      <c r="K542" s="3">
        <v>15</v>
      </c>
      <c r="L542" s="3">
        <f>D542/K542</f>
        <v>11.733333333333333</v>
      </c>
      <c r="M542" s="6">
        <f>G544/D542</f>
        <v>21.201883522727272</v>
      </c>
    </row>
    <row r="543" spans="1:13" hidden="1">
      <c r="A543" s="2" t="s">
        <v>48</v>
      </c>
      <c r="B543" s="2"/>
      <c r="C543" s="3"/>
      <c r="D543" s="3"/>
      <c r="E543" s="3"/>
      <c r="F543" s="3"/>
      <c r="G543" s="20">
        <f>0+G541+H541</f>
        <v>6650.5994999999994</v>
      </c>
      <c r="H543" s="6"/>
      <c r="I543" s="3"/>
      <c r="J543" s="3"/>
      <c r="K543" s="3"/>
      <c r="L543" s="3"/>
      <c r="M543" s="3"/>
    </row>
    <row r="544" spans="1:13" hidden="1">
      <c r="A544" s="2" t="s">
        <v>12</v>
      </c>
      <c r="B544" s="4"/>
      <c r="C544" s="4"/>
      <c r="D544" s="2"/>
      <c r="E544" s="2"/>
      <c r="F544" s="2"/>
      <c r="G544" s="20">
        <f>G542+H542</f>
        <v>3731.5314999999996</v>
      </c>
      <c r="H544" s="7"/>
      <c r="I544" s="3"/>
      <c r="J544" s="3"/>
      <c r="K544" s="3"/>
      <c r="L544" s="3"/>
      <c r="M544" s="3"/>
    </row>
    <row r="545" spans="1:13" hidden="1">
      <c r="A545" s="2" t="s">
        <v>13</v>
      </c>
      <c r="B545" s="2"/>
      <c r="C545" s="2"/>
      <c r="D545" s="2"/>
      <c r="E545" s="2"/>
      <c r="F545" s="2"/>
      <c r="G545" s="7">
        <f>G543-G544</f>
        <v>2919.0679999999998</v>
      </c>
      <c r="H545" s="7"/>
      <c r="I545" s="3"/>
      <c r="J545" s="3"/>
      <c r="K545" s="3"/>
      <c r="L545" s="3"/>
      <c r="M545" s="3"/>
    </row>
    <row r="546" spans="1:13" hidden="1"/>
    <row r="547" spans="1:13" hidden="1">
      <c r="A547" s="1">
        <v>45170</v>
      </c>
    </row>
    <row r="548" spans="1:13" hidden="1">
      <c r="A548" s="2" t="s">
        <v>1</v>
      </c>
      <c r="B548" s="2" t="s">
        <v>2</v>
      </c>
      <c r="C548" s="2" t="s">
        <v>3</v>
      </c>
      <c r="D548" s="2" t="s">
        <v>4</v>
      </c>
      <c r="E548" s="2" t="s">
        <v>15</v>
      </c>
      <c r="F548" s="2" t="s">
        <v>14</v>
      </c>
      <c r="G548" s="2" t="s">
        <v>5</v>
      </c>
      <c r="H548" s="2" t="s">
        <v>6</v>
      </c>
      <c r="I548" s="2" t="s">
        <v>16</v>
      </c>
      <c r="J548" s="2" t="s">
        <v>17</v>
      </c>
      <c r="K548" s="2" t="s">
        <v>18</v>
      </c>
      <c r="L548" s="2" t="s">
        <v>19</v>
      </c>
      <c r="M548" s="2" t="s">
        <v>20</v>
      </c>
    </row>
    <row r="549" spans="1:13" hidden="1">
      <c r="A549" s="3" t="s">
        <v>45</v>
      </c>
      <c r="B549" s="3">
        <f>C541</f>
        <v>24503</v>
      </c>
      <c r="C549" s="3">
        <v>24874</v>
      </c>
      <c r="D549" s="3">
        <f>C549-B549</f>
        <v>371</v>
      </c>
      <c r="E549" s="3">
        <v>0</v>
      </c>
      <c r="F549" s="3"/>
      <c r="G549" s="8">
        <f>5224.71*1.15</f>
        <v>6008.4164999999994</v>
      </c>
      <c r="H549" s="29">
        <f>1019.1*1.15</f>
        <v>1171.9649999999999</v>
      </c>
      <c r="I549" s="3" t="s">
        <v>21</v>
      </c>
      <c r="J549" s="3" t="s">
        <v>135</v>
      </c>
      <c r="K549" s="3">
        <v>28</v>
      </c>
      <c r="L549" s="3">
        <f>D549/K549</f>
        <v>13.25</v>
      </c>
      <c r="M549" s="6">
        <f>G551/D549</f>
        <v>19.354128032345013</v>
      </c>
    </row>
    <row r="550" spans="1:13" hidden="1">
      <c r="A550" s="3" t="s">
        <v>10</v>
      </c>
      <c r="B550" s="3">
        <f>C542</f>
        <v>24316</v>
      </c>
      <c r="C550" s="3">
        <v>24864</v>
      </c>
      <c r="D550" s="3">
        <f>C550-B550</f>
        <v>548</v>
      </c>
      <c r="E550" s="3"/>
      <c r="F550" s="3"/>
      <c r="G550" s="19">
        <f>7586.21*1.15</f>
        <v>8724.1414999999997</v>
      </c>
      <c r="H550" s="29">
        <f>1091.1*1.15</f>
        <v>1254.7649999999999</v>
      </c>
      <c r="I550" s="3" t="s">
        <v>21</v>
      </c>
      <c r="J550" s="3" t="s">
        <v>136</v>
      </c>
      <c r="K550" s="3">
        <v>41</v>
      </c>
      <c r="L550" s="3">
        <f>D550/K550</f>
        <v>13.365853658536585</v>
      </c>
      <c r="M550" s="6">
        <f>G552/D550</f>
        <v>18.209683394160582</v>
      </c>
    </row>
    <row r="551" spans="1:13" hidden="1">
      <c r="A551" s="2" t="s">
        <v>48</v>
      </c>
      <c r="B551" s="2"/>
      <c r="C551" s="3"/>
      <c r="D551" s="3"/>
      <c r="E551" s="3"/>
      <c r="F551" s="3"/>
      <c r="G551" s="20">
        <f>0+G549+H549</f>
        <v>7180.3814999999995</v>
      </c>
      <c r="H551" s="29"/>
      <c r="I551" s="3"/>
      <c r="J551" s="3"/>
      <c r="K551" s="3"/>
      <c r="L551" s="3"/>
      <c r="M551" s="3"/>
    </row>
    <row r="552" spans="1:13" hidden="1">
      <c r="A552" s="2" t="s">
        <v>12</v>
      </c>
      <c r="B552" s="4"/>
      <c r="C552" s="4"/>
      <c r="D552" s="2"/>
      <c r="E552" s="2"/>
      <c r="F552" s="2"/>
      <c r="G552" s="20">
        <f>G550+H550</f>
        <v>9978.9064999999991</v>
      </c>
      <c r="H552" s="7"/>
      <c r="I552" s="3"/>
      <c r="J552" s="3"/>
      <c r="K552" s="3"/>
      <c r="L552" s="3"/>
      <c r="M552" s="3"/>
    </row>
    <row r="553" spans="1:13" hidden="1">
      <c r="A553" s="2" t="s">
        <v>13</v>
      </c>
      <c r="B553" s="2"/>
      <c r="C553" s="2"/>
      <c r="D553" s="2"/>
      <c r="E553" s="2"/>
      <c r="F553" s="2"/>
      <c r="G553" s="7">
        <f>G551-G552</f>
        <v>-2798.5249999999996</v>
      </c>
      <c r="H553" s="7"/>
      <c r="I553" s="3"/>
      <c r="J553" s="3"/>
      <c r="K553" s="3"/>
      <c r="L553" s="3"/>
      <c r="M553" s="3"/>
    </row>
    <row r="554" spans="1:13" hidden="1"/>
    <row r="555" spans="1:13" hidden="1">
      <c r="A555" s="1">
        <v>45222</v>
      </c>
    </row>
    <row r="556" spans="1:13" hidden="1">
      <c r="A556" s="26" t="s">
        <v>1</v>
      </c>
      <c r="B556" s="26" t="s">
        <v>2</v>
      </c>
      <c r="C556" s="26" t="s">
        <v>3</v>
      </c>
      <c r="D556" s="26" t="s">
        <v>4</v>
      </c>
      <c r="E556" s="26" t="s">
        <v>15</v>
      </c>
      <c r="F556" s="26" t="s">
        <v>14</v>
      </c>
      <c r="G556" s="26" t="s">
        <v>5</v>
      </c>
      <c r="H556" s="26" t="s">
        <v>6</v>
      </c>
      <c r="I556" s="26" t="s">
        <v>16</v>
      </c>
      <c r="J556" s="26" t="s">
        <v>17</v>
      </c>
      <c r="K556" s="26" t="s">
        <v>18</v>
      </c>
      <c r="L556" s="26" t="s">
        <v>19</v>
      </c>
      <c r="M556" s="26" t="s">
        <v>20</v>
      </c>
    </row>
    <row r="557" spans="1:13" hidden="1">
      <c r="A557" s="25" t="s">
        <v>45</v>
      </c>
      <c r="B557" s="25">
        <f>C549</f>
        <v>24874</v>
      </c>
      <c r="C557" s="25">
        <v>25352</v>
      </c>
      <c r="D557" s="25">
        <f>C557-B557</f>
        <v>478</v>
      </c>
      <c r="E557" s="25">
        <v>0</v>
      </c>
      <c r="F557" s="25"/>
      <c r="G557" s="27">
        <f>8391.96*1.15</f>
        <v>9650.753999999999</v>
      </c>
      <c r="H557" s="27">
        <f>1019.1*1.15</f>
        <v>1171.9649999999999</v>
      </c>
      <c r="I557" s="25" t="s">
        <v>21</v>
      </c>
      <c r="J557" s="25" t="s">
        <v>137</v>
      </c>
      <c r="K557" s="25">
        <v>33</v>
      </c>
      <c r="L557" s="25">
        <f>D557/K557</f>
        <v>14.484848484848484</v>
      </c>
      <c r="M557" s="27">
        <f>G559/D557</f>
        <v>22.641671548117152</v>
      </c>
    </row>
    <row r="558" spans="1:13" hidden="1">
      <c r="A558" s="25" t="s">
        <v>10</v>
      </c>
      <c r="B558" s="25">
        <f>C550</f>
        <v>24864</v>
      </c>
      <c r="C558" s="25">
        <v>25165</v>
      </c>
      <c r="D558" s="25">
        <f>C558-B558</f>
        <v>301</v>
      </c>
      <c r="E558" s="25"/>
      <c r="F558" s="25"/>
      <c r="G558" s="27">
        <f>4247.16*1.15</f>
        <v>4884.2339999999995</v>
      </c>
      <c r="H558" s="27">
        <f>1091.1*1.15</f>
        <v>1254.7649999999999</v>
      </c>
      <c r="I558" s="25" t="s">
        <v>21</v>
      </c>
      <c r="J558" s="25" t="s">
        <v>138</v>
      </c>
      <c r="K558" s="25">
        <v>22</v>
      </c>
      <c r="L558" s="25">
        <f>D558/K558</f>
        <v>13.681818181818182</v>
      </c>
      <c r="M558" s="27">
        <f>G560/D558</f>
        <v>20.395345514950165</v>
      </c>
    </row>
    <row r="559" spans="1:13" hidden="1">
      <c r="A559" s="25" t="s">
        <v>48</v>
      </c>
      <c r="B559" s="25"/>
      <c r="C559" s="25"/>
      <c r="D559" s="25"/>
      <c r="E559" s="25"/>
      <c r="F559" s="25"/>
      <c r="G559" s="27">
        <f>0+G557+H557</f>
        <v>10822.718999999999</v>
      </c>
      <c r="H559" s="27"/>
      <c r="I559" s="25"/>
      <c r="J559" s="25"/>
      <c r="K559" s="25"/>
      <c r="L559" s="25"/>
      <c r="M559" s="27"/>
    </row>
    <row r="560" spans="1:13" hidden="1">
      <c r="A560" s="25" t="s">
        <v>12</v>
      </c>
      <c r="B560" s="25"/>
      <c r="C560" s="25"/>
      <c r="D560" s="25"/>
      <c r="E560" s="25"/>
      <c r="F560" s="25"/>
      <c r="G560" s="27">
        <f>G558+H558</f>
        <v>6138.9989999999998</v>
      </c>
      <c r="H560" s="25"/>
      <c r="I560" s="25"/>
      <c r="J560" s="25"/>
      <c r="K560" s="25"/>
      <c r="L560" s="25"/>
      <c r="M560" s="25"/>
    </row>
    <row r="561" spans="1:13" hidden="1">
      <c r="A561" s="25" t="s">
        <v>13</v>
      </c>
      <c r="B561" s="25"/>
      <c r="C561" s="25"/>
      <c r="D561" s="25"/>
      <c r="E561" s="25"/>
      <c r="F561" s="25"/>
      <c r="G561" s="27">
        <f>G559-G560</f>
        <v>4683.7199999999993</v>
      </c>
      <c r="H561" s="25"/>
      <c r="I561" s="25"/>
      <c r="J561" s="25"/>
      <c r="K561" s="25"/>
      <c r="L561" s="25"/>
      <c r="M561" s="25"/>
    </row>
    <row r="562" spans="1:13" hidden="1"/>
    <row r="563" spans="1:13" hidden="1">
      <c r="A563" s="1">
        <v>45253</v>
      </c>
    </row>
    <row r="564" spans="1:13" hidden="1">
      <c r="A564" s="26" t="s">
        <v>1</v>
      </c>
      <c r="B564" s="26" t="s">
        <v>2</v>
      </c>
      <c r="C564" s="26" t="s">
        <v>3</v>
      </c>
      <c r="D564" s="26" t="s">
        <v>4</v>
      </c>
      <c r="E564" s="26" t="s">
        <v>15</v>
      </c>
      <c r="F564" s="26" t="s">
        <v>14</v>
      </c>
      <c r="G564" s="26" t="s">
        <v>5</v>
      </c>
      <c r="H564" s="26" t="s">
        <v>6</v>
      </c>
      <c r="I564" s="26" t="s">
        <v>16</v>
      </c>
      <c r="J564" s="26" t="s">
        <v>17</v>
      </c>
      <c r="K564" s="26" t="s">
        <v>18</v>
      </c>
      <c r="L564" s="26" t="s">
        <v>19</v>
      </c>
      <c r="M564" s="26" t="s">
        <v>20</v>
      </c>
    </row>
    <row r="565" spans="1:13" hidden="1">
      <c r="A565" s="25" t="s">
        <v>45</v>
      </c>
      <c r="B565" s="25">
        <f>C557</f>
        <v>25352</v>
      </c>
      <c r="C565" s="25">
        <v>25743</v>
      </c>
      <c r="D565" s="25">
        <f>C565-B565</f>
        <v>391</v>
      </c>
      <c r="E565" s="25">
        <f>655.01*1.15</f>
        <v>753.26149999999996</v>
      </c>
      <c r="F565" s="25"/>
      <c r="G565" s="27">
        <f>4575.08*1.15</f>
        <v>5261.3419999999996</v>
      </c>
      <c r="H565" s="27">
        <f>1019.1*1.15</f>
        <v>1171.9649999999999</v>
      </c>
      <c r="I565" s="25" t="s">
        <v>21</v>
      </c>
      <c r="J565" s="25" t="s">
        <v>139</v>
      </c>
      <c r="K565" s="25">
        <v>28</v>
      </c>
      <c r="L565" s="25">
        <f>D565/K565</f>
        <v>13.964285714285714</v>
      </c>
      <c r="M565" s="27">
        <f>G567/D565</f>
        <v>18.379970588235292</v>
      </c>
    </row>
    <row r="566" spans="1:13" hidden="1">
      <c r="A566" s="25" t="s">
        <v>10</v>
      </c>
      <c r="B566" s="25">
        <f>C558</f>
        <v>25165</v>
      </c>
      <c r="C566" s="25">
        <v>25640</v>
      </c>
      <c r="D566" s="25">
        <f>C566-B566</f>
        <v>475</v>
      </c>
      <c r="E566" s="25"/>
      <c r="F566" s="25"/>
      <c r="G566" s="27">
        <f>6813.04*1.15</f>
        <v>7834.9959999999992</v>
      </c>
      <c r="H566" s="27">
        <f>1091.1*1.15</f>
        <v>1254.7649999999999</v>
      </c>
      <c r="I566" s="25" t="s">
        <v>21</v>
      </c>
      <c r="J566" s="25" t="s">
        <v>140</v>
      </c>
      <c r="K566" s="25">
        <v>34</v>
      </c>
      <c r="L566" s="25">
        <f>D566/K566</f>
        <v>13.970588235294118</v>
      </c>
      <c r="M566" s="27">
        <f>G568/D566</f>
        <v>19.136338947368419</v>
      </c>
    </row>
    <row r="567" spans="1:13" hidden="1">
      <c r="A567" s="25" t="s">
        <v>48</v>
      </c>
      <c r="B567" s="25"/>
      <c r="C567" s="25"/>
      <c r="D567" s="25"/>
      <c r="E567" s="25"/>
      <c r="F567" s="25"/>
      <c r="G567" s="27">
        <f>E565+G565+H565</f>
        <v>7186.5684999999994</v>
      </c>
      <c r="H567" s="25"/>
      <c r="I567" s="25"/>
      <c r="J567" s="25"/>
      <c r="K567" s="25"/>
      <c r="L567" s="25"/>
      <c r="M567" s="27"/>
    </row>
    <row r="568" spans="1:13" hidden="1">
      <c r="A568" s="25" t="s">
        <v>12</v>
      </c>
      <c r="B568" s="25"/>
      <c r="C568" s="25"/>
      <c r="D568" s="25"/>
      <c r="E568" s="25"/>
      <c r="F568" s="25"/>
      <c r="G568" s="27">
        <f>G566+H566</f>
        <v>9089.7609999999986</v>
      </c>
      <c r="H568" s="25"/>
      <c r="I568" s="25"/>
      <c r="J568" s="25"/>
      <c r="K568" s="25"/>
      <c r="L568" s="25"/>
      <c r="M568" s="27"/>
    </row>
    <row r="569" spans="1:13" hidden="1">
      <c r="A569" s="25" t="s">
        <v>13</v>
      </c>
      <c r="B569" s="25"/>
      <c r="C569" s="25"/>
      <c r="D569" s="25"/>
      <c r="E569" s="25"/>
      <c r="F569" s="25"/>
      <c r="G569" s="27">
        <f>G567-G568</f>
        <v>-1903.1924999999992</v>
      </c>
      <c r="H569" s="25"/>
      <c r="I569" s="25"/>
      <c r="J569" s="25"/>
      <c r="K569" s="25"/>
      <c r="L569" s="25"/>
      <c r="M569" s="25"/>
    </row>
    <row r="570" spans="1:13" hidden="1"/>
    <row r="571" spans="1:13" hidden="1">
      <c r="A571" s="1">
        <v>45283</v>
      </c>
    </row>
    <row r="572" spans="1:13" hidden="1">
      <c r="A572" s="2" t="s">
        <v>1</v>
      </c>
      <c r="B572" s="2" t="s">
        <v>2</v>
      </c>
      <c r="C572" s="2" t="s">
        <v>3</v>
      </c>
      <c r="D572" s="2" t="s">
        <v>4</v>
      </c>
      <c r="E572" s="2" t="s">
        <v>15</v>
      </c>
      <c r="F572" s="2" t="s">
        <v>14</v>
      </c>
      <c r="G572" s="2" t="s">
        <v>5</v>
      </c>
      <c r="H572" s="2" t="s">
        <v>6</v>
      </c>
      <c r="I572" s="2" t="s">
        <v>16</v>
      </c>
      <c r="J572" s="2" t="s">
        <v>17</v>
      </c>
      <c r="K572" s="2" t="s">
        <v>18</v>
      </c>
      <c r="L572" s="2" t="s">
        <v>19</v>
      </c>
      <c r="M572" s="2" t="s">
        <v>20</v>
      </c>
    </row>
    <row r="573" spans="1:13" hidden="1">
      <c r="A573" s="3" t="s">
        <v>45</v>
      </c>
      <c r="B573" s="3">
        <f>C565</f>
        <v>25743</v>
      </c>
      <c r="C573" s="3">
        <v>26156</v>
      </c>
      <c r="D573" s="3">
        <f>C573-B573</f>
        <v>413</v>
      </c>
      <c r="E573" s="3">
        <v>0</v>
      </c>
      <c r="F573" s="3"/>
      <c r="G573" s="19">
        <f>5922.13*1.15</f>
        <v>6810.4494999999997</v>
      </c>
      <c r="H573" s="19">
        <f>1019.1*1.15</f>
        <v>1171.9649999999999</v>
      </c>
      <c r="I573" s="3" t="s">
        <v>21</v>
      </c>
      <c r="J573" s="3" t="s">
        <v>141</v>
      </c>
      <c r="K573" s="3">
        <v>35</v>
      </c>
      <c r="L573" s="3">
        <f>D573/K573</f>
        <v>11.8</v>
      </c>
      <c r="M573" s="19">
        <f>G575/D573</f>
        <v>19.327880145278449</v>
      </c>
    </row>
    <row r="574" spans="1:13" hidden="1">
      <c r="A574" s="3" t="s">
        <v>10</v>
      </c>
      <c r="B574" s="3">
        <f>C566</f>
        <v>25640</v>
      </c>
      <c r="C574" s="3">
        <v>25941</v>
      </c>
      <c r="D574" s="3">
        <f>C574-B574</f>
        <v>301</v>
      </c>
      <c r="E574" s="3"/>
      <c r="F574" s="3"/>
      <c r="G574" s="19">
        <f>4247.13*1.15</f>
        <v>4884.1994999999997</v>
      </c>
      <c r="H574" s="19">
        <f>1091.1*1.15</f>
        <v>1254.7649999999999</v>
      </c>
      <c r="I574" s="3" t="s">
        <v>21</v>
      </c>
      <c r="J574" s="3" t="s">
        <v>142</v>
      </c>
      <c r="K574" s="3">
        <v>22</v>
      </c>
      <c r="L574" s="34">
        <f>D574/K574</f>
        <v>13.681818181818182</v>
      </c>
      <c r="M574" s="19">
        <f>G576/D574</f>
        <v>20.395230897009966</v>
      </c>
    </row>
    <row r="575" spans="1:13" hidden="1">
      <c r="A575" s="2" t="s">
        <v>48</v>
      </c>
      <c r="B575" s="2"/>
      <c r="C575" s="2"/>
      <c r="D575" s="2"/>
      <c r="E575" s="2"/>
      <c r="F575" s="2"/>
      <c r="G575" s="30">
        <f>0+G573+H573</f>
        <v>7982.4144999999999</v>
      </c>
      <c r="H575" s="19"/>
      <c r="I575" s="3"/>
      <c r="J575" s="3"/>
      <c r="K575" s="3"/>
      <c r="L575" s="3"/>
      <c r="M575" s="19"/>
    </row>
    <row r="576" spans="1:13" hidden="1">
      <c r="A576" s="2" t="s">
        <v>12</v>
      </c>
      <c r="B576" s="2"/>
      <c r="C576" s="2"/>
      <c r="D576" s="2"/>
      <c r="E576" s="2"/>
      <c r="F576" s="2"/>
      <c r="G576" s="30">
        <f>G574+H574</f>
        <v>6138.9645</v>
      </c>
      <c r="H576" s="3"/>
      <c r="I576" s="3"/>
      <c r="J576" s="3"/>
      <c r="K576" s="3"/>
      <c r="L576" s="3"/>
      <c r="M576" s="3"/>
    </row>
    <row r="577" spans="1:13" hidden="1">
      <c r="A577" s="2" t="s">
        <v>13</v>
      </c>
      <c r="B577" s="2"/>
      <c r="C577" s="2"/>
      <c r="D577" s="2"/>
      <c r="E577" s="2"/>
      <c r="F577" s="2"/>
      <c r="G577" s="30">
        <f>G575-G576</f>
        <v>1843.4499999999998</v>
      </c>
      <c r="H577" s="3"/>
      <c r="I577" s="3"/>
      <c r="J577" s="3"/>
      <c r="K577" s="3"/>
      <c r="L577" s="3"/>
      <c r="M577" s="3"/>
    </row>
    <row r="579" spans="1:13">
      <c r="A579" s="16">
        <v>45292</v>
      </c>
    </row>
    <row r="580" spans="1:13">
      <c r="A580" s="3" t="s">
        <v>1</v>
      </c>
      <c r="B580" s="3" t="s">
        <v>2</v>
      </c>
      <c r="C580" s="3" t="s">
        <v>3</v>
      </c>
      <c r="D580" s="3" t="s">
        <v>4</v>
      </c>
      <c r="E580" s="3" t="s">
        <v>15</v>
      </c>
      <c r="F580" s="3" t="s">
        <v>14</v>
      </c>
      <c r="G580" s="3" t="s">
        <v>5</v>
      </c>
      <c r="H580" s="3" t="s">
        <v>6</v>
      </c>
      <c r="I580" s="3" t="s">
        <v>16</v>
      </c>
      <c r="J580" s="3" t="s">
        <v>17</v>
      </c>
      <c r="K580" s="3" t="s">
        <v>18</v>
      </c>
      <c r="L580" s="3" t="s">
        <v>19</v>
      </c>
      <c r="M580" s="3" t="s">
        <v>20</v>
      </c>
    </row>
    <row r="581" spans="1:13">
      <c r="A581" s="31" t="s">
        <v>45</v>
      </c>
      <c r="B581" s="31">
        <f>C573</f>
        <v>26156</v>
      </c>
      <c r="C581" s="31">
        <v>26476</v>
      </c>
      <c r="D581" s="31">
        <f>C581-B581</f>
        <v>320</v>
      </c>
      <c r="E581" s="31">
        <v>0</v>
      </c>
      <c r="F581" s="31"/>
      <c r="G581" s="32">
        <f>3571.94*1.15</f>
        <v>4107.7309999999998</v>
      </c>
      <c r="H581" s="32">
        <f>1019.1*1.15</f>
        <v>1171.9649999999999</v>
      </c>
      <c r="I581" s="31" t="s">
        <v>21</v>
      </c>
      <c r="J581" s="31" t="s">
        <v>143</v>
      </c>
      <c r="K581" s="31">
        <v>28</v>
      </c>
      <c r="L581" s="33">
        <f>D581/K581</f>
        <v>11.428571428571429</v>
      </c>
      <c r="M581" s="32">
        <f>G583/D581</f>
        <v>16.49905</v>
      </c>
    </row>
    <row r="582" spans="1:13">
      <c r="A582" s="3" t="s">
        <v>10</v>
      </c>
      <c r="B582" s="3">
        <f>C574</f>
        <v>25941</v>
      </c>
      <c r="C582" s="3">
        <v>26319</v>
      </c>
      <c r="D582" s="3">
        <f>C582-B582</f>
        <v>378</v>
      </c>
      <c r="E582" s="3"/>
      <c r="F582" s="3"/>
      <c r="G582" s="19">
        <f>4041.57*1.15</f>
        <v>4647.8054999999995</v>
      </c>
      <c r="H582" s="19">
        <f>1019.1*1.15</f>
        <v>1171.9649999999999</v>
      </c>
      <c r="I582" s="3" t="s">
        <v>21</v>
      </c>
      <c r="J582" s="31" t="s">
        <v>144</v>
      </c>
      <c r="K582" s="31">
        <v>36</v>
      </c>
      <c r="L582" s="31">
        <f>D582/K582</f>
        <v>10.5</v>
      </c>
      <c r="M582" s="32">
        <f>G584/D582</f>
        <v>15.396218253968254</v>
      </c>
    </row>
    <row r="583" spans="1:13">
      <c r="A583" s="2" t="s">
        <v>48</v>
      </c>
      <c r="B583" s="2"/>
      <c r="C583" s="2"/>
      <c r="D583" s="2"/>
      <c r="E583" s="2"/>
      <c r="F583" s="2"/>
      <c r="G583" s="30">
        <f>0+G581+H581</f>
        <v>5279.6959999999999</v>
      </c>
      <c r="H583" s="19"/>
      <c r="I583" s="3"/>
      <c r="J583" s="3"/>
      <c r="K583" s="3"/>
      <c r="L583" s="3"/>
      <c r="M583" s="19"/>
    </row>
    <row r="584" spans="1:13">
      <c r="A584" s="2" t="s">
        <v>12</v>
      </c>
      <c r="B584" s="2"/>
      <c r="C584" s="2"/>
      <c r="D584" s="2"/>
      <c r="E584" s="2"/>
      <c r="F584" s="2"/>
      <c r="G584" s="30">
        <f>G582+H582</f>
        <v>5819.7704999999996</v>
      </c>
      <c r="H584" s="19"/>
      <c r="I584" s="3"/>
      <c r="J584" s="3"/>
      <c r="K584" s="3"/>
      <c r="L584" s="3"/>
      <c r="M584" s="3"/>
    </row>
    <row r="585" spans="1:13">
      <c r="A585" s="2" t="s">
        <v>13</v>
      </c>
      <c r="B585" s="2"/>
      <c r="C585" s="2"/>
      <c r="D585" s="2"/>
      <c r="E585" s="2"/>
      <c r="F585" s="2"/>
      <c r="G585" s="30">
        <f>G583-G584</f>
        <v>-540.07449999999972</v>
      </c>
      <c r="H585" s="19"/>
      <c r="I585" s="3"/>
      <c r="J585" s="3"/>
      <c r="K585" s="3"/>
      <c r="L585" s="3"/>
      <c r="M585" s="3"/>
    </row>
    <row r="587" spans="1:13" ht="15">
      <c r="A587" s="1">
        <v>45323</v>
      </c>
    </row>
    <row r="588" spans="1:13">
      <c r="A588" s="3" t="s">
        <v>1</v>
      </c>
      <c r="B588" s="3" t="s">
        <v>2</v>
      </c>
      <c r="C588" s="3" t="s">
        <v>3</v>
      </c>
      <c r="D588" s="3" t="s">
        <v>4</v>
      </c>
      <c r="E588" s="3" t="s">
        <v>15</v>
      </c>
      <c r="F588" s="3" t="s">
        <v>14</v>
      </c>
      <c r="G588" s="3" t="s">
        <v>5</v>
      </c>
      <c r="H588" s="3" t="s">
        <v>6</v>
      </c>
      <c r="I588" s="3" t="s">
        <v>16</v>
      </c>
      <c r="J588" s="3" t="s">
        <v>17</v>
      </c>
      <c r="K588" s="3" t="s">
        <v>18</v>
      </c>
      <c r="L588" s="3" t="s">
        <v>19</v>
      </c>
      <c r="M588" s="3" t="s">
        <v>20</v>
      </c>
    </row>
    <row r="589" spans="1:13" ht="15">
      <c r="A589" s="31" t="s">
        <v>45</v>
      </c>
      <c r="B589" s="31">
        <f>C581</f>
        <v>26476</v>
      </c>
      <c r="C589" s="31">
        <v>26806</v>
      </c>
      <c r="D589" s="31">
        <f>C589-B589</f>
        <v>330</v>
      </c>
      <c r="E589" s="31">
        <v>0</v>
      </c>
      <c r="F589" s="31"/>
      <c r="G589" s="32">
        <f>4380.58*1.15</f>
        <v>5037.6669999999995</v>
      </c>
      <c r="H589" s="32">
        <f>1019.1*1.15</f>
        <v>1171.9649999999999</v>
      </c>
      <c r="I589" s="31" t="s">
        <v>21</v>
      </c>
      <c r="J589" s="31" t="s">
        <v>145</v>
      </c>
      <c r="K589" s="31">
        <v>29</v>
      </c>
      <c r="L589" s="33">
        <f>D589/K589</f>
        <v>11.379310344827585</v>
      </c>
      <c r="M589" s="32">
        <f>G591/D589</f>
        <v>18.817066666666665</v>
      </c>
    </row>
    <row r="590" spans="1:13" ht="15">
      <c r="A590" s="3" t="s">
        <v>10</v>
      </c>
      <c r="B590" s="3">
        <f>C582</f>
        <v>26319</v>
      </c>
      <c r="C590" s="3">
        <v>26671</v>
      </c>
      <c r="D590" s="3">
        <f>C590-B590</f>
        <v>352</v>
      </c>
      <c r="E590" s="3"/>
      <c r="F590" s="3"/>
      <c r="G590" s="19">
        <f>4308.39*1.15</f>
        <v>4954.6485000000002</v>
      </c>
      <c r="H590" s="19">
        <f>1019.1*1.15</f>
        <v>1171.9649999999999</v>
      </c>
      <c r="I590" s="3" t="s">
        <v>21</v>
      </c>
      <c r="J590" s="31" t="s">
        <v>146</v>
      </c>
      <c r="K590" s="31">
        <v>36</v>
      </c>
      <c r="L590" s="31">
        <f>D590/K590</f>
        <v>9.7777777777777786</v>
      </c>
      <c r="M590" s="32">
        <f>G592/D590</f>
        <v>17.405151988636366</v>
      </c>
    </row>
    <row r="591" spans="1:13" ht="15">
      <c r="A591" s="2" t="s">
        <v>48</v>
      </c>
      <c r="B591" s="2"/>
      <c r="C591" s="2"/>
      <c r="D591" s="2"/>
      <c r="E591" s="2"/>
      <c r="F591" s="2"/>
      <c r="G591" s="30">
        <f>0+G589+H589</f>
        <v>6209.6319999999996</v>
      </c>
      <c r="H591" s="19"/>
      <c r="I591" s="3"/>
      <c r="J591" s="3"/>
      <c r="K591" s="3"/>
      <c r="L591" s="3"/>
      <c r="M591" s="19"/>
    </row>
    <row r="592" spans="1:13" ht="15">
      <c r="A592" s="2" t="s">
        <v>12</v>
      </c>
      <c r="B592" s="2"/>
      <c r="C592" s="2"/>
      <c r="D592" s="2"/>
      <c r="E592" s="2"/>
      <c r="F592" s="2"/>
      <c r="G592" s="30">
        <f>G590+H590</f>
        <v>6126.6135000000004</v>
      </c>
      <c r="H592" s="19"/>
      <c r="I592" s="3"/>
      <c r="J592" s="3"/>
      <c r="K592" s="3"/>
      <c r="L592" s="3"/>
      <c r="M592" s="3"/>
    </row>
    <row r="593" spans="1:13" ht="15">
      <c r="A593" s="2" t="s">
        <v>13</v>
      </c>
      <c r="B593" s="2"/>
      <c r="C593" s="2"/>
      <c r="D593" s="2"/>
      <c r="E593" s="2"/>
      <c r="F593" s="2"/>
      <c r="G593" s="30">
        <f>G591-G592</f>
        <v>83.018499999999221</v>
      </c>
      <c r="H593" s="19"/>
      <c r="I593" s="3"/>
      <c r="J593" s="3"/>
      <c r="K593" s="3"/>
      <c r="L593" s="3"/>
      <c r="M593" s="3"/>
    </row>
    <row r="595" spans="1:13" ht="15">
      <c r="A595" s="1">
        <v>45352</v>
      </c>
    </row>
    <row r="596" spans="1:13">
      <c r="A596" s="3" t="s">
        <v>1</v>
      </c>
      <c r="B596" s="3" t="s">
        <v>2</v>
      </c>
      <c r="C596" s="3" t="s">
        <v>3</v>
      </c>
      <c r="D596" s="3" t="s">
        <v>4</v>
      </c>
      <c r="E596" s="3" t="s">
        <v>15</v>
      </c>
      <c r="F596" s="3" t="s">
        <v>14</v>
      </c>
      <c r="G596" s="3" t="s">
        <v>5</v>
      </c>
      <c r="H596" s="3" t="s">
        <v>6</v>
      </c>
      <c r="I596" s="3" t="s">
        <v>16</v>
      </c>
      <c r="J596" s="3" t="s">
        <v>17</v>
      </c>
      <c r="K596" s="3" t="s">
        <v>18</v>
      </c>
      <c r="L596" s="3" t="s">
        <v>19</v>
      </c>
      <c r="M596" s="3" t="s">
        <v>20</v>
      </c>
    </row>
    <row r="597" spans="1:13" ht="15">
      <c r="A597" s="31" t="s">
        <v>45</v>
      </c>
      <c r="B597" s="31">
        <f>C589</f>
        <v>26806</v>
      </c>
      <c r="C597" s="31">
        <v>27139</v>
      </c>
      <c r="D597" s="31">
        <f>C597-B597</f>
        <v>333</v>
      </c>
      <c r="E597" s="31">
        <v>0</v>
      </c>
      <c r="F597" s="31"/>
      <c r="G597" s="32">
        <f>3867.93*1.15</f>
        <v>4448.1194999999998</v>
      </c>
      <c r="H597" s="32">
        <f>1019.1*1.15</f>
        <v>1171.9649999999999</v>
      </c>
      <c r="I597" s="31" t="s">
        <v>21</v>
      </c>
      <c r="J597" s="31" t="s">
        <v>147</v>
      </c>
      <c r="K597" s="31">
        <v>28</v>
      </c>
      <c r="L597" s="33">
        <f>D597/K597</f>
        <v>11.892857142857142</v>
      </c>
      <c r="M597" s="32">
        <f>G599/D597</f>
        <v>16.877130630630631</v>
      </c>
    </row>
    <row r="598" spans="1:13" ht="15">
      <c r="A598" s="3" t="s">
        <v>10</v>
      </c>
      <c r="B598" s="3">
        <f>C590</f>
        <v>26671</v>
      </c>
      <c r="C598" s="3">
        <v>27109</v>
      </c>
      <c r="D598" s="3">
        <f>C598-B598</f>
        <v>438</v>
      </c>
      <c r="E598" s="3"/>
      <c r="F598" s="3"/>
      <c r="G598" s="19">
        <f>5564.97*1.15</f>
        <v>6399.7155000000002</v>
      </c>
      <c r="H598" s="19">
        <f>1019.1*1.15</f>
        <v>1171.9649999999999</v>
      </c>
      <c r="I598" s="3" t="s">
        <v>21</v>
      </c>
      <c r="J598" s="31" t="s">
        <v>148</v>
      </c>
      <c r="K598" s="31">
        <v>36</v>
      </c>
      <c r="L598" s="31">
        <f>D598/K598</f>
        <v>12.166666666666666</v>
      </c>
      <c r="M598" s="32">
        <f>G600/D598</f>
        <v>17.28694178082192</v>
      </c>
    </row>
    <row r="599" spans="1:13" ht="15">
      <c r="A599" s="2" t="s">
        <v>48</v>
      </c>
      <c r="B599" s="2"/>
      <c r="C599" s="2"/>
      <c r="D599" s="2"/>
      <c r="E599" s="2"/>
      <c r="F599" s="2"/>
      <c r="G599" s="30">
        <f>0+G597+H597</f>
        <v>5620.0844999999999</v>
      </c>
      <c r="H599" s="19"/>
      <c r="I599" s="3"/>
      <c r="J599" s="3"/>
      <c r="K599" s="3"/>
      <c r="L599" s="3"/>
      <c r="M599" s="19"/>
    </row>
    <row r="600" spans="1:13" ht="15">
      <c r="A600" s="2" t="s">
        <v>12</v>
      </c>
      <c r="B600" s="2"/>
      <c r="C600" s="2"/>
      <c r="D600" s="2"/>
      <c r="E600" s="2"/>
      <c r="F600" s="2"/>
      <c r="G600" s="30">
        <f>G598+H598</f>
        <v>7571.6805000000004</v>
      </c>
      <c r="H600" s="19"/>
      <c r="I600" s="3"/>
      <c r="J600" s="3"/>
      <c r="K600" s="3"/>
      <c r="L600" s="3"/>
      <c r="M600" s="3"/>
    </row>
    <row r="601" spans="1:13" ht="15">
      <c r="A601" s="2" t="s">
        <v>13</v>
      </c>
      <c r="B601" s="2"/>
      <c r="C601" s="2"/>
      <c r="D601" s="2"/>
      <c r="E601" s="2"/>
      <c r="F601" s="2"/>
      <c r="G601" s="30">
        <f>G599-G600</f>
        <v>-1951.5960000000005</v>
      </c>
      <c r="H601" s="19"/>
      <c r="I601" s="3"/>
      <c r="J601" s="3"/>
      <c r="K601" s="3"/>
      <c r="L601" s="3"/>
      <c r="M601" s="3"/>
    </row>
    <row r="603" spans="1:13" ht="15">
      <c r="A603" s="1">
        <v>45383</v>
      </c>
    </row>
    <row r="604" spans="1:13">
      <c r="A604" s="3" t="s">
        <v>1</v>
      </c>
      <c r="B604" s="3" t="s">
        <v>2</v>
      </c>
      <c r="C604" s="3" t="s">
        <v>3</v>
      </c>
      <c r="D604" s="3" t="s">
        <v>4</v>
      </c>
      <c r="E604" s="3" t="s">
        <v>15</v>
      </c>
      <c r="F604" s="3" t="s">
        <v>14</v>
      </c>
      <c r="G604" s="3" t="s">
        <v>5</v>
      </c>
      <c r="H604" s="3" t="s">
        <v>6</v>
      </c>
      <c r="I604" s="3" t="s">
        <v>16</v>
      </c>
      <c r="J604" s="3" t="s">
        <v>17</v>
      </c>
      <c r="K604" s="3" t="s">
        <v>18</v>
      </c>
      <c r="L604" s="3" t="s">
        <v>19</v>
      </c>
      <c r="M604" s="3" t="s">
        <v>20</v>
      </c>
    </row>
    <row r="605" spans="1:13" ht="15">
      <c r="A605" s="31" t="s">
        <v>45</v>
      </c>
      <c r="B605" s="31">
        <f>C597</f>
        <v>27139</v>
      </c>
      <c r="C605" s="31">
        <v>27545</v>
      </c>
      <c r="D605" s="31">
        <f>C605-B605</f>
        <v>406</v>
      </c>
      <c r="E605" s="31">
        <v>0</v>
      </c>
      <c r="F605" s="31"/>
      <c r="G605" s="32">
        <f>6100.94*1.15</f>
        <v>7016.0809999999992</v>
      </c>
      <c r="H605" s="32">
        <f>1019.1*1.15</f>
        <v>1171.9649999999999</v>
      </c>
      <c r="I605" s="31" t="s">
        <v>21</v>
      </c>
      <c r="J605" s="31" t="s">
        <v>149</v>
      </c>
      <c r="K605" s="31">
        <v>35</v>
      </c>
      <c r="L605" s="33">
        <f>D605/K605</f>
        <v>11.6</v>
      </c>
      <c r="M605" s="32">
        <f>G607/D605</f>
        <v>20.167600985221672</v>
      </c>
    </row>
    <row r="606" spans="1:13" ht="15">
      <c r="A606" s="3" t="s">
        <v>10</v>
      </c>
      <c r="B606" s="3">
        <f>C598</f>
        <v>27109</v>
      </c>
      <c r="C606" s="3">
        <v>27519</v>
      </c>
      <c r="D606" s="3">
        <f>C606-B606</f>
        <v>410</v>
      </c>
      <c r="E606" s="3"/>
      <c r="F606" s="3"/>
      <c r="G606" s="19">
        <f>4854.05*1.15</f>
        <v>5582.1574999999993</v>
      </c>
      <c r="H606" s="19">
        <f>1019.1*1.15</f>
        <v>1171.9649999999999</v>
      </c>
      <c r="I606" s="3" t="s">
        <v>21</v>
      </c>
      <c r="J606" s="31" t="s">
        <v>150</v>
      </c>
      <c r="K606" s="31">
        <v>36</v>
      </c>
      <c r="L606" s="31">
        <f>D606/K606</f>
        <v>11.388888888888889</v>
      </c>
      <c r="M606" s="32">
        <f>G608/D606</f>
        <v>16.47346951219512</v>
      </c>
    </row>
    <row r="607" spans="1:13" ht="15">
      <c r="A607" s="2" t="s">
        <v>48</v>
      </c>
      <c r="B607" s="2"/>
      <c r="C607" s="2"/>
      <c r="D607" s="2"/>
      <c r="E607" s="2"/>
      <c r="F607" s="2"/>
      <c r="G607" s="30">
        <f>0+G605+H605</f>
        <v>8188.0459999999994</v>
      </c>
      <c r="H607" s="19"/>
      <c r="I607" s="3"/>
      <c r="J607" s="3"/>
      <c r="K607" s="3"/>
      <c r="L607" s="3"/>
      <c r="M607" s="19"/>
    </row>
    <row r="608" spans="1:13" ht="15">
      <c r="A608" s="2" t="s">
        <v>12</v>
      </c>
      <c r="B608" s="2"/>
      <c r="C608" s="2"/>
      <c r="D608" s="2"/>
      <c r="E608" s="2"/>
      <c r="F608" s="2"/>
      <c r="G608" s="30">
        <f>G606+H606</f>
        <v>6754.1224999999995</v>
      </c>
      <c r="H608" s="19"/>
      <c r="I608" s="3"/>
      <c r="J608" s="3"/>
      <c r="K608" s="3"/>
      <c r="L608" s="3"/>
      <c r="M608" s="3"/>
    </row>
    <row r="609" spans="1:13" ht="15">
      <c r="A609" s="2" t="s">
        <v>13</v>
      </c>
      <c r="B609" s="2"/>
      <c r="C609" s="2"/>
      <c r="D609" s="2"/>
      <c r="E609" s="2"/>
      <c r="F609" s="2"/>
      <c r="G609" s="30">
        <f>G607-G608</f>
        <v>1433.9234999999999</v>
      </c>
      <c r="H609" s="19"/>
      <c r="I609" s="3"/>
      <c r="J609" s="3"/>
      <c r="K609" s="3"/>
      <c r="L609" s="3"/>
      <c r="M609" s="3"/>
    </row>
    <row r="611" spans="1:13" ht="15">
      <c r="A611" s="1">
        <v>45413</v>
      </c>
    </row>
    <row r="612" spans="1:13">
      <c r="A612" s="3" t="s">
        <v>1</v>
      </c>
      <c r="B612" s="3" t="s">
        <v>2</v>
      </c>
      <c r="C612" s="3" t="s">
        <v>3</v>
      </c>
      <c r="D612" s="3" t="s">
        <v>4</v>
      </c>
      <c r="E612" s="3" t="s">
        <v>15</v>
      </c>
      <c r="F612" s="3" t="s">
        <v>14</v>
      </c>
      <c r="G612" s="3" t="s">
        <v>5</v>
      </c>
      <c r="H612" s="3" t="s">
        <v>6</v>
      </c>
      <c r="I612" s="3" t="s">
        <v>16</v>
      </c>
      <c r="J612" s="3" t="s">
        <v>17</v>
      </c>
      <c r="K612" s="3" t="s">
        <v>18</v>
      </c>
      <c r="L612" s="3" t="s">
        <v>19</v>
      </c>
      <c r="M612" s="3" t="s">
        <v>20</v>
      </c>
    </row>
    <row r="613" spans="1:13" ht="15">
      <c r="A613" s="31" t="s">
        <v>45</v>
      </c>
      <c r="B613" s="31">
        <f>C605</f>
        <v>27545</v>
      </c>
      <c r="C613" s="31">
        <v>27884</v>
      </c>
      <c r="D613" s="31">
        <f>C613-B613</f>
        <v>339</v>
      </c>
      <c r="E613" s="31">
        <v>0</v>
      </c>
      <c r="F613" s="31"/>
      <c r="G613" s="32">
        <f>4221.02*1.15</f>
        <v>4854.1729999999998</v>
      </c>
      <c r="H613" s="32">
        <f>1019.1*1.15</f>
        <v>1171.9649999999999</v>
      </c>
      <c r="I613" s="31" t="s">
        <v>21</v>
      </c>
      <c r="J613" s="31" t="s">
        <v>151</v>
      </c>
      <c r="K613" s="31">
        <v>28</v>
      </c>
      <c r="L613" s="33">
        <f>D613/K613</f>
        <v>12.107142857142858</v>
      </c>
      <c r="M613" s="32">
        <f>G615/D613</f>
        <v>17.776218289085545</v>
      </c>
    </row>
    <row r="614" spans="1:13" ht="15">
      <c r="A614" s="3" t="s">
        <v>10</v>
      </c>
      <c r="B614" s="3">
        <f>C606</f>
        <v>27519</v>
      </c>
      <c r="C614" s="3">
        <v>27808</v>
      </c>
      <c r="D614" s="3">
        <f>C614-B614</f>
        <v>289</v>
      </c>
      <c r="E614" s="3"/>
      <c r="F614" s="3"/>
      <c r="G614" s="19">
        <f>3633.81*1.15</f>
        <v>4178.8814999999995</v>
      </c>
      <c r="H614" s="19">
        <f>1019.1*1.15</f>
        <v>1171.9649999999999</v>
      </c>
      <c r="I614" s="3" t="s">
        <v>21</v>
      </c>
      <c r="J614" s="31" t="s">
        <v>152</v>
      </c>
      <c r="K614" s="31">
        <v>24</v>
      </c>
      <c r="L614" s="31">
        <f>D614/K614</f>
        <v>12.041666666666666</v>
      </c>
      <c r="M614" s="32">
        <f>G616/D614</f>
        <v>18.51503979238754</v>
      </c>
    </row>
    <row r="615" spans="1:13" ht="15">
      <c r="A615" s="2" t="s">
        <v>48</v>
      </c>
      <c r="B615" s="2"/>
      <c r="C615" s="2"/>
      <c r="D615" s="2"/>
      <c r="E615" s="2"/>
      <c r="F615" s="2"/>
      <c r="G615" s="30">
        <f>0+G613+H613</f>
        <v>6026.1379999999999</v>
      </c>
      <c r="H615" s="19"/>
      <c r="I615" s="3"/>
      <c r="J615" s="3"/>
      <c r="K615" s="3"/>
      <c r="L615" s="3"/>
      <c r="M615" s="19"/>
    </row>
    <row r="616" spans="1:13" ht="15">
      <c r="A616" s="2" t="s">
        <v>12</v>
      </c>
      <c r="B616" s="2"/>
      <c r="C616" s="2"/>
      <c r="D616" s="2"/>
      <c r="E616" s="2"/>
      <c r="F616" s="2"/>
      <c r="G616" s="30">
        <f>G614+H614</f>
        <v>5350.8464999999997</v>
      </c>
      <c r="H616" s="19"/>
      <c r="I616" s="3"/>
      <c r="J616" s="3"/>
      <c r="K616" s="3"/>
      <c r="L616" s="3"/>
      <c r="M616" s="3"/>
    </row>
    <row r="617" spans="1:13" ht="15">
      <c r="A617" s="2" t="s">
        <v>13</v>
      </c>
      <c r="B617" s="2"/>
      <c r="C617" s="2"/>
      <c r="D617" s="2"/>
      <c r="E617" s="2"/>
      <c r="F617" s="2"/>
      <c r="G617" s="30">
        <f>G615-G616</f>
        <v>675.29150000000027</v>
      </c>
      <c r="H617" s="19"/>
      <c r="I617" s="3"/>
      <c r="J617" s="3"/>
      <c r="K617" s="3"/>
      <c r="L617" s="3"/>
      <c r="M617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63E77-BFBB-4390-A95A-0BEFEBADCB34}">
  <dimension ref="A1:AI21"/>
  <sheetViews>
    <sheetView topLeftCell="B1" workbookViewId="0">
      <selection activeCell="AG28" sqref="AG28"/>
    </sheetView>
  </sheetViews>
  <sheetFormatPr defaultRowHeight="14.45"/>
  <cols>
    <col min="13" max="14" width="11.5703125" hidden="1" customWidth="1"/>
    <col min="15" max="15" width="17.42578125" hidden="1" customWidth="1"/>
    <col min="17" max="18" width="11.5703125" hidden="1" customWidth="1"/>
    <col min="19" max="19" width="17.42578125" hidden="1" customWidth="1"/>
    <col min="21" max="22" width="11.7109375" hidden="1" customWidth="1"/>
    <col min="23" max="23" width="17.42578125" hidden="1" customWidth="1"/>
    <col min="25" max="26" width="12" hidden="1" customWidth="1"/>
    <col min="27" max="27" width="17.42578125" hidden="1" customWidth="1"/>
    <col min="29" max="30" width="12" hidden="1" customWidth="1"/>
    <col min="31" max="31" width="18" hidden="1" customWidth="1"/>
    <col min="33" max="34" width="12" bestFit="1" customWidth="1"/>
    <col min="35" max="35" width="18" bestFit="1" customWidth="1"/>
  </cols>
  <sheetData>
    <row r="1" spans="1:35" ht="18">
      <c r="A1" s="5" t="s">
        <v>153</v>
      </c>
    </row>
    <row r="2" spans="1:35" ht="30.75">
      <c r="L2" s="35" t="s">
        <v>154</v>
      </c>
      <c r="M2" t="s">
        <v>155</v>
      </c>
      <c r="N2" t="s">
        <v>156</v>
      </c>
      <c r="O2" t="s">
        <v>157</v>
      </c>
      <c r="P2" s="35" t="s">
        <v>154</v>
      </c>
      <c r="Q2" t="s">
        <v>155</v>
      </c>
      <c r="R2" t="s">
        <v>156</v>
      </c>
      <c r="S2" t="s">
        <v>157</v>
      </c>
      <c r="T2" s="35" t="s">
        <v>154</v>
      </c>
      <c r="U2" s="23" t="s">
        <v>155</v>
      </c>
      <c r="V2" s="23" t="s">
        <v>156</v>
      </c>
      <c r="W2" s="23" t="s">
        <v>157</v>
      </c>
      <c r="X2" s="35" t="s">
        <v>154</v>
      </c>
      <c r="Y2" s="23" t="s">
        <v>155</v>
      </c>
      <c r="Z2" s="23" t="s">
        <v>156</v>
      </c>
      <c r="AA2" s="23" t="s">
        <v>157</v>
      </c>
      <c r="AB2" s="35" t="s">
        <v>154</v>
      </c>
      <c r="AC2" s="23" t="s">
        <v>155</v>
      </c>
      <c r="AD2" s="23" t="s">
        <v>156</v>
      </c>
      <c r="AE2" s="23" t="s">
        <v>157</v>
      </c>
      <c r="AF2" s="35" t="s">
        <v>154</v>
      </c>
      <c r="AG2" s="23" t="s">
        <v>155</v>
      </c>
      <c r="AH2" s="23" t="s">
        <v>156</v>
      </c>
      <c r="AI2" s="23" t="s">
        <v>157</v>
      </c>
    </row>
    <row r="3" spans="1:35" ht="15">
      <c r="L3" s="1">
        <v>43466</v>
      </c>
      <c r="M3" s="8">
        <v>2533.3399999999992</v>
      </c>
      <c r="N3" s="8">
        <v>7753.0929999999989</v>
      </c>
      <c r="O3" s="12" t="s">
        <v>158</v>
      </c>
      <c r="P3" s="1">
        <v>43862</v>
      </c>
      <c r="Q3" s="18">
        <v>6075.5994999999994</v>
      </c>
      <c r="R3" s="18">
        <v>5061.6904999999997</v>
      </c>
      <c r="S3" s="12" t="s">
        <v>158</v>
      </c>
      <c r="T3" s="1">
        <v>44228</v>
      </c>
      <c r="U3" s="21">
        <v>5187.4889999999996</v>
      </c>
      <c r="V3" s="21">
        <v>3917.0725000000002</v>
      </c>
      <c r="W3" s="13" t="s">
        <v>158</v>
      </c>
      <c r="X3" s="1">
        <v>44593</v>
      </c>
      <c r="Y3" s="21">
        <v>4686.1579999999994</v>
      </c>
      <c r="Z3" s="21">
        <v>4767.4974999999995</v>
      </c>
      <c r="AA3" s="24" t="s">
        <v>158</v>
      </c>
      <c r="AB3" s="1">
        <v>44958</v>
      </c>
      <c r="AC3" s="21">
        <v>4250.9979999999996</v>
      </c>
      <c r="AD3" s="21">
        <v>5386.6689999999999</v>
      </c>
      <c r="AE3" s="24" t="s">
        <v>159</v>
      </c>
      <c r="AF3" s="1">
        <v>45323</v>
      </c>
      <c r="AG3" s="21">
        <v>6209.6319999999996</v>
      </c>
      <c r="AH3" s="21">
        <v>6126.6135000000004</v>
      </c>
      <c r="AI3" s="24" t="s">
        <v>158</v>
      </c>
    </row>
    <row r="4" spans="1:35" ht="15">
      <c r="L4" s="1">
        <v>43497</v>
      </c>
      <c r="M4" s="8">
        <v>3197.31</v>
      </c>
      <c r="N4" s="8">
        <v>4104.8099999999995</v>
      </c>
      <c r="O4" s="12" t="s">
        <v>158</v>
      </c>
      <c r="P4" s="1">
        <v>43891</v>
      </c>
      <c r="Q4" s="15">
        <v>6075.5994999999994</v>
      </c>
      <c r="R4" s="15">
        <v>4199.7884999999997</v>
      </c>
      <c r="S4" s="12" t="s">
        <v>158</v>
      </c>
      <c r="T4" s="1">
        <v>44256</v>
      </c>
      <c r="U4" s="21">
        <v>8714.9184999999998</v>
      </c>
      <c r="V4" s="21">
        <v>4401.1189999999997</v>
      </c>
      <c r="W4" s="13" t="s">
        <v>158</v>
      </c>
      <c r="X4" s="1">
        <v>44621</v>
      </c>
      <c r="Y4" s="21">
        <v>6283.2664999999997</v>
      </c>
      <c r="Z4" s="21">
        <v>5370.3274999999994</v>
      </c>
      <c r="AA4" s="24" t="s">
        <v>158</v>
      </c>
      <c r="AB4" s="1">
        <v>44986</v>
      </c>
      <c r="AC4" s="21">
        <v>5622.7064999999993</v>
      </c>
      <c r="AD4" s="21">
        <v>3046.1545000000001</v>
      </c>
      <c r="AE4" s="24" t="s">
        <v>160</v>
      </c>
      <c r="AF4" s="1">
        <v>45352</v>
      </c>
      <c r="AG4" s="21">
        <v>5620.0844999999999</v>
      </c>
      <c r="AH4" s="21">
        <v>7571.6805000000004</v>
      </c>
      <c r="AI4" s="24" t="s">
        <v>158</v>
      </c>
    </row>
    <row r="5" spans="1:35" ht="15">
      <c r="L5" s="1">
        <v>43525</v>
      </c>
      <c r="M5" s="8">
        <v>5167.18</v>
      </c>
      <c r="N5" s="8">
        <v>4930.625</v>
      </c>
      <c r="O5" s="12" t="s">
        <v>158</v>
      </c>
      <c r="P5" s="1">
        <v>43922</v>
      </c>
      <c r="Q5" s="15">
        <v>6325.2644999999984</v>
      </c>
      <c r="R5" s="15">
        <v>5392.9019999999991</v>
      </c>
      <c r="S5" s="12" t="s">
        <v>159</v>
      </c>
      <c r="T5" s="1">
        <v>44287</v>
      </c>
      <c r="U5" s="21">
        <v>8714.9184999999998</v>
      </c>
      <c r="V5" s="21">
        <v>4889.9955</v>
      </c>
      <c r="W5" s="13" t="s">
        <v>158</v>
      </c>
      <c r="X5" s="1">
        <v>44652</v>
      </c>
      <c r="Y5" s="21">
        <v>3897.4074999999998</v>
      </c>
      <c r="Z5" s="21">
        <v>4619.4924999999994</v>
      </c>
      <c r="AA5" s="24" t="s">
        <v>158</v>
      </c>
      <c r="AB5" s="1">
        <v>45017</v>
      </c>
      <c r="AC5" s="21">
        <v>6080.4179999999997</v>
      </c>
      <c r="AD5" s="21">
        <v>4769.9009999999998</v>
      </c>
      <c r="AE5" s="24" t="s">
        <v>158</v>
      </c>
      <c r="AF5" s="1">
        <v>45383</v>
      </c>
      <c r="AG5" s="21">
        <v>8188.0459999999994</v>
      </c>
      <c r="AH5" s="21">
        <v>6754.1224999999995</v>
      </c>
      <c r="AI5" s="24" t="s">
        <v>158</v>
      </c>
    </row>
    <row r="6" spans="1:35" ht="15">
      <c r="L6" s="1">
        <v>43556</v>
      </c>
      <c r="M6" s="8">
        <v>5009.55</v>
      </c>
      <c r="N6" s="8">
        <v>3875.7069999999999</v>
      </c>
      <c r="O6" s="12" t="s">
        <v>158</v>
      </c>
      <c r="P6" s="1">
        <v>43952</v>
      </c>
      <c r="Q6" s="15">
        <v>5119.4319999999998</v>
      </c>
      <c r="R6" s="15">
        <v>9078.2724999999991</v>
      </c>
      <c r="S6" s="12" t="s">
        <v>158</v>
      </c>
      <c r="T6" s="1">
        <v>44317</v>
      </c>
      <c r="U6" s="21">
        <v>4824.7099999999991</v>
      </c>
      <c r="V6" s="21">
        <v>5007.5599999999995</v>
      </c>
      <c r="W6" s="13" t="s">
        <v>158</v>
      </c>
      <c r="X6" s="1">
        <v>44682</v>
      </c>
      <c r="Y6" s="21">
        <v>5650.2834999999995</v>
      </c>
      <c r="Z6" s="21">
        <v>3775.1279999999997</v>
      </c>
      <c r="AA6" s="24" t="s">
        <v>158</v>
      </c>
      <c r="AB6" s="1">
        <v>45047</v>
      </c>
      <c r="AC6" s="21">
        <v>3907.4470000000001</v>
      </c>
      <c r="AD6" s="21">
        <v>5728.9894999999997</v>
      </c>
      <c r="AE6" s="24" t="s">
        <v>159</v>
      </c>
      <c r="AF6" s="1">
        <v>45413</v>
      </c>
      <c r="AG6" s="21">
        <v>6026.1379999999999</v>
      </c>
      <c r="AH6" s="21">
        <v>5350.8464999999997</v>
      </c>
      <c r="AI6" s="24" t="s">
        <v>158</v>
      </c>
    </row>
    <row r="7" spans="1:35" ht="15">
      <c r="L7" s="1">
        <v>43586</v>
      </c>
      <c r="M7" s="8">
        <v>4287.84</v>
      </c>
      <c r="N7" s="8">
        <v>4186.2070000000003</v>
      </c>
      <c r="O7" s="12" t="s">
        <v>158</v>
      </c>
      <c r="P7" s="1">
        <v>43983</v>
      </c>
      <c r="Q7" s="15">
        <v>5407.3959559999994</v>
      </c>
      <c r="R7" s="15">
        <v>4988.0559999999996</v>
      </c>
      <c r="S7" s="12" t="s">
        <v>158</v>
      </c>
      <c r="T7" s="1">
        <v>44348</v>
      </c>
      <c r="U7" s="21">
        <v>7049.4539999999997</v>
      </c>
      <c r="V7" s="21">
        <v>4731.3415000000005</v>
      </c>
      <c r="W7" s="13" t="s">
        <v>158</v>
      </c>
      <c r="X7" s="1">
        <v>44713</v>
      </c>
      <c r="Y7" s="21">
        <v>5853.9255000000003</v>
      </c>
      <c r="Z7" s="21">
        <v>5896.027</v>
      </c>
      <c r="AA7" s="24" t="s">
        <v>158</v>
      </c>
      <c r="AB7" s="1">
        <v>45078</v>
      </c>
      <c r="AC7" s="21">
        <v>4352.83</v>
      </c>
      <c r="AD7" s="21">
        <v>3292.99</v>
      </c>
      <c r="AE7" s="24" t="s">
        <v>160</v>
      </c>
      <c r="AF7" s="1">
        <v>45444</v>
      </c>
      <c r="AH7" s="21"/>
      <c r="AI7" s="24"/>
    </row>
    <row r="8" spans="1:35" ht="15">
      <c r="L8" s="1">
        <v>43617</v>
      </c>
      <c r="M8" s="8">
        <v>4368.1099999999997</v>
      </c>
      <c r="N8" s="8">
        <v>6193.7964999999995</v>
      </c>
      <c r="O8" s="12" t="s">
        <v>158</v>
      </c>
      <c r="P8" s="1">
        <v>44013</v>
      </c>
      <c r="Q8" s="15">
        <v>7063.1884499999987</v>
      </c>
      <c r="R8" s="15">
        <v>5163.6149999999989</v>
      </c>
      <c r="S8" s="12" t="s">
        <v>158</v>
      </c>
      <c r="T8" s="1">
        <v>44378</v>
      </c>
      <c r="U8" s="21">
        <v>5299.0044999999991</v>
      </c>
      <c r="V8" s="21">
        <v>5554.5459999999994</v>
      </c>
      <c r="W8" s="13" t="s">
        <v>158</v>
      </c>
      <c r="X8" s="1">
        <v>44743</v>
      </c>
      <c r="Y8" s="21">
        <v>5586.723</v>
      </c>
      <c r="Z8" s="21">
        <v>5519.4134999999997</v>
      </c>
      <c r="AA8" s="24" t="s">
        <v>158</v>
      </c>
      <c r="AB8" s="1">
        <v>45108</v>
      </c>
      <c r="AC8" s="21">
        <v>6870.652</v>
      </c>
      <c r="AD8" s="21">
        <v>6996.9794999999995</v>
      </c>
      <c r="AE8" s="24" t="s">
        <v>158</v>
      </c>
      <c r="AF8" s="1">
        <v>45474</v>
      </c>
      <c r="AG8" s="21"/>
      <c r="AH8" s="21"/>
      <c r="AI8" s="24"/>
    </row>
    <row r="9" spans="1:35" ht="15">
      <c r="L9" s="1">
        <v>43647</v>
      </c>
      <c r="M9" s="8">
        <v>4168.3</v>
      </c>
      <c r="N9" s="8">
        <v>4543.9374999999991</v>
      </c>
      <c r="O9" s="12" t="s">
        <v>158</v>
      </c>
      <c r="P9" s="1">
        <v>44044</v>
      </c>
      <c r="Q9" s="15">
        <v>5320.1989999999996</v>
      </c>
      <c r="R9" s="15">
        <v>5594.1864999999989</v>
      </c>
      <c r="S9" s="12" t="s">
        <v>158</v>
      </c>
      <c r="T9" s="1">
        <v>44409</v>
      </c>
      <c r="U9" s="21">
        <v>9879.2129999999997</v>
      </c>
      <c r="V9" s="21">
        <v>6293.5244999999995</v>
      </c>
      <c r="W9" s="13" t="s">
        <v>158</v>
      </c>
      <c r="X9" s="1">
        <v>44774</v>
      </c>
      <c r="Y9" s="21">
        <v>9312.4354999999978</v>
      </c>
      <c r="Z9" s="21">
        <v>6888.7184999999999</v>
      </c>
      <c r="AA9" s="24" t="s">
        <v>158</v>
      </c>
      <c r="AB9" s="1">
        <v>45139</v>
      </c>
      <c r="AC9" s="21">
        <v>6650.5994999999994</v>
      </c>
      <c r="AD9" s="21">
        <v>3731.5314999999996</v>
      </c>
      <c r="AE9" s="24" t="s">
        <v>158</v>
      </c>
      <c r="AF9" s="1">
        <v>45505</v>
      </c>
      <c r="AG9" s="21"/>
      <c r="AH9" s="21"/>
      <c r="AI9" s="24"/>
    </row>
    <row r="10" spans="1:35" ht="15">
      <c r="L10" s="1">
        <v>43678</v>
      </c>
      <c r="M10" s="8">
        <v>7062.18</v>
      </c>
      <c r="N10" s="8">
        <v>6806.3324999999986</v>
      </c>
      <c r="O10" s="12" t="s">
        <v>158</v>
      </c>
      <c r="P10" s="1">
        <v>44075</v>
      </c>
      <c r="Q10" s="15">
        <v>9415.6479999999992</v>
      </c>
      <c r="R10" s="15">
        <v>2758.7924999999996</v>
      </c>
      <c r="S10" s="12" t="s">
        <v>158</v>
      </c>
      <c r="T10" s="1">
        <v>44440</v>
      </c>
      <c r="U10" s="21">
        <v>7159.7044999999998</v>
      </c>
      <c r="V10" s="21">
        <v>7122.134</v>
      </c>
      <c r="W10" s="13" t="s">
        <v>158</v>
      </c>
      <c r="X10" s="1">
        <v>44805</v>
      </c>
      <c r="Y10" s="21">
        <v>8931.5324999999993</v>
      </c>
      <c r="Z10" s="21">
        <v>8666.0205000000005</v>
      </c>
      <c r="AA10" s="24" t="s">
        <v>158</v>
      </c>
      <c r="AB10" s="1">
        <v>45170</v>
      </c>
      <c r="AC10" s="21">
        <v>7180.3814999999995</v>
      </c>
      <c r="AD10" s="21">
        <v>9978.9064999999991</v>
      </c>
      <c r="AE10" s="24" t="s">
        <v>158</v>
      </c>
      <c r="AF10" s="1">
        <v>45536</v>
      </c>
      <c r="AG10" s="21"/>
      <c r="AH10" s="21"/>
      <c r="AI10" s="24"/>
    </row>
    <row r="11" spans="1:35" ht="15">
      <c r="L11" s="1">
        <v>43709</v>
      </c>
      <c r="M11" s="8">
        <v>7904.4893959999999</v>
      </c>
      <c r="N11" s="14">
        <v>6955.8209999999999</v>
      </c>
      <c r="O11" s="12" t="s">
        <v>158</v>
      </c>
      <c r="P11" s="1">
        <v>44105</v>
      </c>
      <c r="Q11" s="15">
        <v>6858.9794999999995</v>
      </c>
      <c r="R11" s="15">
        <v>5456.1979999999994</v>
      </c>
      <c r="S11" s="13" t="s">
        <v>158</v>
      </c>
      <c r="T11" s="1">
        <v>44470</v>
      </c>
      <c r="U11" s="21">
        <v>5845.0474999999988</v>
      </c>
      <c r="V11" s="21">
        <v>6128.9134999999997</v>
      </c>
      <c r="W11" s="13" t="s">
        <v>158</v>
      </c>
      <c r="X11" s="1">
        <v>44835</v>
      </c>
      <c r="Y11" s="21">
        <v>6175.4195</v>
      </c>
      <c r="Z11" s="21">
        <v>7081.9989999999998</v>
      </c>
      <c r="AA11" s="24" t="s">
        <v>158</v>
      </c>
      <c r="AB11" s="1">
        <v>45200</v>
      </c>
      <c r="AC11" s="28">
        <v>10822.718999999999</v>
      </c>
      <c r="AD11" s="21">
        <v>6138.9989999999998</v>
      </c>
      <c r="AE11" s="24" t="s">
        <v>158</v>
      </c>
      <c r="AF11" s="1">
        <v>45566</v>
      </c>
      <c r="AG11" s="28"/>
      <c r="AH11" s="21"/>
      <c r="AI11" s="24"/>
    </row>
    <row r="12" spans="1:35" ht="15">
      <c r="L12" s="1">
        <v>43739</v>
      </c>
      <c r="M12" s="8">
        <v>10502.355404</v>
      </c>
      <c r="N12" s="14">
        <v>6955.8209999999999</v>
      </c>
      <c r="O12" s="13" t="s">
        <v>158</v>
      </c>
      <c r="P12" s="1">
        <v>44136</v>
      </c>
      <c r="Q12" s="15">
        <v>6333.376484999998</v>
      </c>
      <c r="R12" s="15">
        <v>4192.4054999999989</v>
      </c>
      <c r="S12" s="13" t="s">
        <v>158</v>
      </c>
      <c r="T12" s="1">
        <v>44501</v>
      </c>
      <c r="U12" s="21">
        <v>6995.7949999999992</v>
      </c>
      <c r="V12" s="21">
        <v>5039.1849999999995</v>
      </c>
      <c r="W12" s="13" t="s">
        <v>158</v>
      </c>
      <c r="X12" s="1">
        <v>44866</v>
      </c>
      <c r="Y12" s="21">
        <v>6361.4435000000003</v>
      </c>
      <c r="Z12" s="21">
        <v>4722.7510000000002</v>
      </c>
      <c r="AA12" s="24" t="s">
        <v>158</v>
      </c>
      <c r="AB12" s="1">
        <v>45231</v>
      </c>
      <c r="AC12" s="21">
        <v>7186.5684999999994</v>
      </c>
      <c r="AD12" s="21">
        <v>9089.7609999999986</v>
      </c>
      <c r="AE12" s="24" t="s">
        <v>158</v>
      </c>
      <c r="AF12" s="1">
        <v>45597</v>
      </c>
      <c r="AG12" s="21"/>
      <c r="AH12" s="21"/>
      <c r="AI12" s="24"/>
    </row>
    <row r="13" spans="1:35" ht="15">
      <c r="L13" s="1">
        <v>43770</v>
      </c>
      <c r="M13" s="15">
        <v>5419.5932239999993</v>
      </c>
      <c r="N13" s="8">
        <v>5887.8849999999993</v>
      </c>
      <c r="O13" s="13" t="s">
        <v>158</v>
      </c>
      <c r="P13" s="1">
        <v>44166</v>
      </c>
      <c r="Q13" s="15">
        <v>8607.0071689999986</v>
      </c>
      <c r="R13" s="15">
        <v>3664.5439999999999</v>
      </c>
      <c r="S13" s="13" t="s">
        <v>158</v>
      </c>
      <c r="T13" s="1">
        <v>44531</v>
      </c>
      <c r="U13" s="21">
        <v>6505.665</v>
      </c>
      <c r="V13" s="21">
        <v>4363.3069999999998</v>
      </c>
      <c r="W13" s="13" t="s">
        <v>158</v>
      </c>
      <c r="X13" s="1">
        <v>44896</v>
      </c>
      <c r="Y13" s="21">
        <v>5373.0069999999996</v>
      </c>
      <c r="Z13" s="21">
        <v>5464.4780000000001</v>
      </c>
      <c r="AA13" s="24" t="s">
        <v>158</v>
      </c>
      <c r="AB13" s="1">
        <v>45261</v>
      </c>
      <c r="AC13" s="21">
        <v>7982.4144999999999</v>
      </c>
      <c r="AD13" s="21">
        <v>6138.9645</v>
      </c>
      <c r="AE13" s="24" t="s">
        <v>158</v>
      </c>
      <c r="AF13" s="1">
        <v>45627</v>
      </c>
      <c r="AG13" s="21"/>
      <c r="AH13" s="21"/>
      <c r="AI13" s="24"/>
    </row>
    <row r="14" spans="1:35" ht="15">
      <c r="L14" s="1">
        <v>43800</v>
      </c>
      <c r="M14" s="8">
        <v>5741.9727239999993</v>
      </c>
      <c r="N14" s="8">
        <v>4872.0554999999995</v>
      </c>
      <c r="O14" s="13" t="s">
        <v>158</v>
      </c>
      <c r="P14" s="1">
        <v>44197</v>
      </c>
      <c r="Q14" s="21">
        <v>5554.8909999999996</v>
      </c>
      <c r="R14" s="21">
        <v>3754.3359999999998</v>
      </c>
      <c r="S14" s="13" t="s">
        <v>158</v>
      </c>
      <c r="T14" s="1">
        <v>44562</v>
      </c>
      <c r="U14" s="21">
        <v>2621.5284999999999</v>
      </c>
      <c r="V14" s="21">
        <v>5937.1970000000001</v>
      </c>
      <c r="W14" s="24" t="s">
        <v>158</v>
      </c>
      <c r="X14" s="1">
        <v>44927</v>
      </c>
      <c r="Y14" s="21">
        <v>5693.5810000000001</v>
      </c>
      <c r="Z14" s="21">
        <v>7973.2029999999995</v>
      </c>
      <c r="AA14" s="24" t="s">
        <v>159</v>
      </c>
      <c r="AB14" s="1">
        <v>45292</v>
      </c>
      <c r="AC14" s="21">
        <v>5279.6959999999999</v>
      </c>
      <c r="AD14" s="15">
        <v>5819.7704999999996</v>
      </c>
      <c r="AE14" s="24" t="s">
        <v>158</v>
      </c>
      <c r="AF14" s="1">
        <v>45658</v>
      </c>
      <c r="AG14" s="21"/>
      <c r="AH14" s="15"/>
      <c r="AI14" s="24"/>
    </row>
    <row r="15" spans="1:35" ht="15">
      <c r="L15" s="1">
        <v>43831</v>
      </c>
      <c r="M15" s="8">
        <v>3753.0365000000002</v>
      </c>
      <c r="N15" s="8">
        <v>4028.5649999999996</v>
      </c>
      <c r="O15" s="12" t="s">
        <v>158</v>
      </c>
      <c r="Q15" s="9">
        <f>SUM(Q3:Q14)</f>
        <v>78156.581060000011</v>
      </c>
      <c r="R15" s="9">
        <f>SUM(R3:R14)</f>
        <v>59304.786999999997</v>
      </c>
      <c r="S15" s="9">
        <f>Q15-R15</f>
        <v>18851.794060000015</v>
      </c>
      <c r="U15" s="9">
        <f>SUM(U3:U14)</f>
        <v>78797.448000000004</v>
      </c>
      <c r="V15" s="9">
        <f>SUM(V3:V14)</f>
        <v>63385.895499999999</v>
      </c>
      <c r="W15" s="9">
        <f>U15-V15</f>
        <v>15411.552500000005</v>
      </c>
      <c r="Y15" s="9">
        <f>SUM(Y3:Y14)</f>
        <v>73805.183000000019</v>
      </c>
      <c r="Z15" s="9">
        <f>SUM(Z3:Z14)</f>
        <v>70745.055999999997</v>
      </c>
      <c r="AA15" s="9">
        <f>Y15-Z15</f>
        <v>3060.1270000000222</v>
      </c>
      <c r="AC15" s="9">
        <f>SUM(AC3:AC14)</f>
        <v>76187.430500000002</v>
      </c>
      <c r="AD15" s="9">
        <f>SUM(AD3:AD14)</f>
        <v>70119.616499999989</v>
      </c>
      <c r="AE15" s="9">
        <f>AC15-AD15</f>
        <v>6067.814000000013</v>
      </c>
      <c r="AG15" s="9">
        <f>SUM(AG3:AG14)</f>
        <v>26043.900499999996</v>
      </c>
      <c r="AH15" s="9">
        <f>SUM(AH3:AH14)</f>
        <v>25803.262999999999</v>
      </c>
      <c r="AI15" s="9">
        <f>AG15-AH15</f>
        <v>240.63749999999709</v>
      </c>
    </row>
    <row r="16" spans="1:35">
      <c r="M16" s="9">
        <f>SUM(M3:M14)</f>
        <v>65362.220747999992</v>
      </c>
      <c r="N16" s="9">
        <f>SUM(N3:N14)</f>
        <v>67066.090999999986</v>
      </c>
      <c r="O16" s="9">
        <f>M16-N16</f>
        <v>-1703.8702519999933</v>
      </c>
    </row>
    <row r="18" spans="12:12" ht="21">
      <c r="L18" s="10" t="s">
        <v>161</v>
      </c>
    </row>
    <row r="19" spans="12:12">
      <c r="L19" t="s">
        <v>162</v>
      </c>
    </row>
    <row r="20" spans="12:12">
      <c r="L20" t="s">
        <v>163</v>
      </c>
    </row>
    <row r="21" spans="12:12">
      <c r="L21" t="s">
        <v>164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B8E9-E989-4DC5-9FCE-96FA71F07DBE}">
  <dimension ref="A1:AC36"/>
  <sheetViews>
    <sheetView workbookViewId="0">
      <selection activeCell="AC27" sqref="AC27"/>
    </sheetView>
  </sheetViews>
  <sheetFormatPr defaultRowHeight="14.45"/>
  <cols>
    <col min="13" max="14" width="9.140625" hidden="1" customWidth="1"/>
    <col min="16" max="17" width="9.140625" hidden="1" customWidth="1"/>
    <col min="19" max="20" width="9.140625" hidden="1" customWidth="1"/>
    <col min="22" max="23" width="0" hidden="1" customWidth="1"/>
    <col min="25" max="26" width="0" hidden="1" customWidth="1"/>
  </cols>
  <sheetData>
    <row r="1" spans="1:29" ht="18">
      <c r="A1" s="5" t="s">
        <v>165</v>
      </c>
    </row>
    <row r="2" spans="1:29" ht="15">
      <c r="M2" t="s">
        <v>155</v>
      </c>
      <c r="N2" t="s">
        <v>156</v>
      </c>
      <c r="P2" t="s">
        <v>155</v>
      </c>
      <c r="Q2" t="s">
        <v>156</v>
      </c>
      <c r="S2" s="23" t="s">
        <v>155</v>
      </c>
      <c r="T2" s="23" t="s">
        <v>156</v>
      </c>
      <c r="V2" s="23" t="s">
        <v>155</v>
      </c>
      <c r="W2" s="23" t="s">
        <v>156</v>
      </c>
      <c r="Y2" s="23" t="s">
        <v>155</v>
      </c>
      <c r="Z2" s="23" t="s">
        <v>156</v>
      </c>
      <c r="AB2" s="23" t="s">
        <v>155</v>
      </c>
      <c r="AC2" s="23" t="s">
        <v>156</v>
      </c>
    </row>
    <row r="3" spans="1:29" ht="15">
      <c r="L3" s="1">
        <v>43466</v>
      </c>
      <c r="M3">
        <v>177</v>
      </c>
      <c r="N3">
        <v>584</v>
      </c>
      <c r="O3" s="1">
        <v>43862</v>
      </c>
      <c r="P3">
        <v>315</v>
      </c>
      <c r="Q3">
        <v>363</v>
      </c>
      <c r="R3" s="1">
        <v>44228</v>
      </c>
      <c r="S3">
        <v>256</v>
      </c>
      <c r="T3">
        <v>308</v>
      </c>
      <c r="U3" s="1">
        <v>44593</v>
      </c>
      <c r="V3">
        <v>320</v>
      </c>
      <c r="W3">
        <v>332</v>
      </c>
      <c r="X3" s="1">
        <v>44958</v>
      </c>
      <c r="Y3">
        <v>304</v>
      </c>
      <c r="Z3" s="11">
        <v>326</v>
      </c>
      <c r="AA3" s="1">
        <v>45323</v>
      </c>
      <c r="AB3">
        <v>330</v>
      </c>
      <c r="AC3" s="11">
        <v>352</v>
      </c>
    </row>
    <row r="4" spans="1:29" ht="15">
      <c r="L4" s="1">
        <v>43497</v>
      </c>
      <c r="M4">
        <v>413</v>
      </c>
      <c r="N4">
        <v>304</v>
      </c>
      <c r="O4" s="1">
        <v>43891</v>
      </c>
      <c r="P4">
        <v>324</v>
      </c>
      <c r="Q4">
        <v>279</v>
      </c>
      <c r="R4" s="1">
        <v>44256</v>
      </c>
      <c r="S4">
        <v>404</v>
      </c>
      <c r="T4">
        <v>311</v>
      </c>
      <c r="U4" s="1">
        <v>44621</v>
      </c>
      <c r="V4">
        <v>403</v>
      </c>
      <c r="W4">
        <v>375</v>
      </c>
      <c r="X4" s="1">
        <v>44986</v>
      </c>
      <c r="Y4" s="11">
        <v>329</v>
      </c>
      <c r="Z4">
        <v>1059</v>
      </c>
      <c r="AA4" s="1">
        <v>45352</v>
      </c>
      <c r="AB4" s="11">
        <v>333</v>
      </c>
      <c r="AC4">
        <v>438</v>
      </c>
    </row>
    <row r="5" spans="1:29" ht="15">
      <c r="L5" s="1">
        <v>43525</v>
      </c>
      <c r="M5">
        <v>343</v>
      </c>
      <c r="N5">
        <v>369</v>
      </c>
      <c r="O5" s="1">
        <v>43922</v>
      </c>
      <c r="P5">
        <v>352</v>
      </c>
      <c r="Q5">
        <v>367</v>
      </c>
      <c r="R5" s="1">
        <v>44287</v>
      </c>
      <c r="S5">
        <v>343</v>
      </c>
      <c r="T5">
        <v>375</v>
      </c>
      <c r="U5" s="1">
        <v>44652</v>
      </c>
      <c r="V5">
        <v>305</v>
      </c>
      <c r="W5">
        <v>332</v>
      </c>
      <c r="X5" s="1">
        <v>45017</v>
      </c>
      <c r="Y5">
        <v>366</v>
      </c>
      <c r="Z5">
        <v>339</v>
      </c>
      <c r="AA5" s="1">
        <v>45383</v>
      </c>
      <c r="AB5">
        <v>406</v>
      </c>
      <c r="AC5">
        <v>410</v>
      </c>
    </row>
    <row r="6" spans="1:29" ht="15">
      <c r="L6" s="1">
        <v>43556</v>
      </c>
      <c r="M6">
        <v>383</v>
      </c>
      <c r="N6">
        <v>295</v>
      </c>
      <c r="O6" s="1">
        <v>43952</v>
      </c>
      <c r="P6">
        <v>306</v>
      </c>
      <c r="Q6">
        <v>362</v>
      </c>
      <c r="R6" s="1">
        <v>44317</v>
      </c>
      <c r="S6">
        <v>323</v>
      </c>
      <c r="T6">
        <v>368</v>
      </c>
      <c r="U6" s="1">
        <v>44682</v>
      </c>
      <c r="V6">
        <v>377</v>
      </c>
      <c r="W6">
        <v>273</v>
      </c>
      <c r="X6" s="1">
        <v>45047</v>
      </c>
      <c r="Y6">
        <v>279</v>
      </c>
      <c r="Z6">
        <v>356</v>
      </c>
      <c r="AA6" s="1">
        <v>45413</v>
      </c>
      <c r="AB6">
        <v>339</v>
      </c>
      <c r="AC6">
        <v>289</v>
      </c>
    </row>
    <row r="7" spans="1:29" ht="15">
      <c r="L7" s="1">
        <v>43586</v>
      </c>
      <c r="M7">
        <v>342</v>
      </c>
      <c r="N7">
        <v>313</v>
      </c>
      <c r="O7" s="1">
        <v>43983</v>
      </c>
      <c r="P7">
        <v>326</v>
      </c>
      <c r="Q7">
        <v>339</v>
      </c>
      <c r="R7" s="1">
        <v>44348</v>
      </c>
      <c r="S7">
        <v>411</v>
      </c>
      <c r="T7">
        <v>341</v>
      </c>
      <c r="U7" s="1">
        <v>44713</v>
      </c>
      <c r="V7">
        <v>336</v>
      </c>
      <c r="W7">
        <v>417</v>
      </c>
      <c r="X7" s="1">
        <v>45078</v>
      </c>
      <c r="Y7">
        <v>305</v>
      </c>
      <c r="Z7">
        <v>591</v>
      </c>
      <c r="AA7" s="1">
        <v>45444</v>
      </c>
    </row>
    <row r="8" spans="1:29" ht="15">
      <c r="L8" s="1">
        <v>43617</v>
      </c>
      <c r="M8">
        <v>343</v>
      </c>
      <c r="N8">
        <v>472</v>
      </c>
      <c r="O8" s="1">
        <v>44013</v>
      </c>
      <c r="P8">
        <v>411</v>
      </c>
      <c r="Q8">
        <v>313</v>
      </c>
      <c r="R8" s="1">
        <v>44378</v>
      </c>
      <c r="S8">
        <v>332</v>
      </c>
      <c r="T8">
        <v>405</v>
      </c>
      <c r="U8" s="1">
        <v>44743</v>
      </c>
      <c r="V8">
        <v>354</v>
      </c>
      <c r="W8">
        <v>341</v>
      </c>
      <c r="X8" s="1">
        <v>45108</v>
      </c>
      <c r="Y8">
        <v>383</v>
      </c>
      <c r="Z8" s="11">
        <v>462</v>
      </c>
      <c r="AA8" s="1">
        <v>45474</v>
      </c>
      <c r="AC8" s="11"/>
    </row>
    <row r="9" spans="1:29" ht="15">
      <c r="L9" s="1">
        <v>43647</v>
      </c>
      <c r="M9">
        <v>441</v>
      </c>
      <c r="N9">
        <v>305</v>
      </c>
      <c r="O9" s="1">
        <v>44044</v>
      </c>
      <c r="P9">
        <v>335</v>
      </c>
      <c r="Q9">
        <v>491</v>
      </c>
      <c r="R9" s="1">
        <v>44409</v>
      </c>
      <c r="S9">
        <v>474</v>
      </c>
      <c r="T9">
        <v>419</v>
      </c>
      <c r="U9" s="1">
        <v>44774</v>
      </c>
      <c r="V9">
        <v>481</v>
      </c>
      <c r="W9">
        <v>394</v>
      </c>
      <c r="X9" s="1">
        <v>45139</v>
      </c>
      <c r="Y9" s="11">
        <v>350</v>
      </c>
      <c r="Z9" s="11">
        <v>176</v>
      </c>
      <c r="AA9" s="1">
        <v>45505</v>
      </c>
      <c r="AB9" s="11"/>
      <c r="AC9" s="11"/>
    </row>
    <row r="10" spans="1:29" ht="15">
      <c r="L10" s="1">
        <v>43678</v>
      </c>
      <c r="M10">
        <v>408</v>
      </c>
      <c r="N10">
        <v>455</v>
      </c>
      <c r="O10" s="1">
        <v>44075</v>
      </c>
      <c r="P10">
        <v>424</v>
      </c>
      <c r="Q10">
        <v>166</v>
      </c>
      <c r="R10" s="1">
        <v>44440</v>
      </c>
      <c r="S10">
        <v>439</v>
      </c>
      <c r="T10">
        <v>403</v>
      </c>
      <c r="U10" s="1">
        <v>44805</v>
      </c>
      <c r="V10">
        <v>424</v>
      </c>
      <c r="W10">
        <v>497</v>
      </c>
      <c r="X10" s="1">
        <v>45170</v>
      </c>
      <c r="Y10" s="11">
        <v>371</v>
      </c>
      <c r="Z10" s="11">
        <v>548</v>
      </c>
      <c r="AA10" s="1">
        <v>45536</v>
      </c>
      <c r="AB10" s="11"/>
      <c r="AC10" s="11"/>
    </row>
    <row r="11" spans="1:29" ht="15">
      <c r="L11" s="1">
        <v>43709</v>
      </c>
      <c r="M11">
        <v>414</v>
      </c>
      <c r="N11">
        <v>448</v>
      </c>
      <c r="O11" s="1">
        <v>44105</v>
      </c>
      <c r="P11">
        <v>326</v>
      </c>
      <c r="Q11">
        <v>412</v>
      </c>
      <c r="R11" s="1">
        <v>44470</v>
      </c>
      <c r="S11">
        <v>385</v>
      </c>
      <c r="T11">
        <v>394</v>
      </c>
      <c r="U11" s="1">
        <v>44835</v>
      </c>
      <c r="V11">
        <v>356</v>
      </c>
      <c r="W11">
        <v>383</v>
      </c>
      <c r="X11" s="1">
        <v>45200</v>
      </c>
      <c r="Y11">
        <v>478</v>
      </c>
      <c r="Z11">
        <v>301</v>
      </c>
      <c r="AA11" s="1">
        <v>45566</v>
      </c>
    </row>
    <row r="12" spans="1:29" ht="15">
      <c r="L12" s="1">
        <v>43739</v>
      </c>
      <c r="M12">
        <v>531</v>
      </c>
      <c r="N12">
        <v>448</v>
      </c>
      <c r="O12" s="1">
        <v>44136</v>
      </c>
      <c r="P12">
        <v>304</v>
      </c>
      <c r="Q12">
        <v>314</v>
      </c>
      <c r="R12" s="1">
        <v>44501</v>
      </c>
      <c r="S12">
        <v>362</v>
      </c>
      <c r="T12">
        <v>331</v>
      </c>
      <c r="U12" s="1">
        <v>44866</v>
      </c>
      <c r="V12">
        <v>383</v>
      </c>
      <c r="W12">
        <v>319</v>
      </c>
      <c r="X12" s="1">
        <v>45231</v>
      </c>
      <c r="Y12" s="11">
        <v>391</v>
      </c>
      <c r="Z12" s="11">
        <v>475</v>
      </c>
      <c r="AA12" s="1">
        <v>45597</v>
      </c>
      <c r="AB12" s="11"/>
      <c r="AC12" s="11"/>
    </row>
    <row r="13" spans="1:29" ht="15">
      <c r="L13" s="1">
        <v>43770</v>
      </c>
      <c r="M13">
        <v>328</v>
      </c>
      <c r="N13">
        <v>398</v>
      </c>
      <c r="O13" s="1">
        <v>44166</v>
      </c>
      <c r="P13">
        <v>390</v>
      </c>
      <c r="Q13">
        <v>303</v>
      </c>
      <c r="R13" s="1">
        <v>44531</v>
      </c>
      <c r="S13">
        <v>387</v>
      </c>
      <c r="T13">
        <v>285</v>
      </c>
      <c r="U13" s="1">
        <v>44896</v>
      </c>
      <c r="V13">
        <v>346</v>
      </c>
      <c r="W13">
        <v>365</v>
      </c>
      <c r="X13" s="1">
        <v>45261</v>
      </c>
      <c r="Y13" s="11">
        <v>413</v>
      </c>
      <c r="Z13" s="11">
        <v>301</v>
      </c>
      <c r="AA13" s="1">
        <v>45627</v>
      </c>
      <c r="AB13" s="11"/>
      <c r="AC13" s="11"/>
    </row>
    <row r="14" spans="1:29" ht="15">
      <c r="L14" s="1">
        <v>43800</v>
      </c>
      <c r="M14">
        <v>405</v>
      </c>
      <c r="N14">
        <v>353</v>
      </c>
      <c r="O14" s="1">
        <v>44197</v>
      </c>
      <c r="P14">
        <v>266</v>
      </c>
      <c r="Q14">
        <v>337</v>
      </c>
      <c r="R14" s="1">
        <v>44562</v>
      </c>
      <c r="S14">
        <v>244</v>
      </c>
      <c r="T14">
        <v>453</v>
      </c>
      <c r="U14" s="1">
        <v>44927</v>
      </c>
      <c r="V14">
        <v>358</v>
      </c>
      <c r="W14">
        <v>525</v>
      </c>
      <c r="X14" s="1">
        <v>45292</v>
      </c>
      <c r="Y14" s="11">
        <v>320</v>
      </c>
      <c r="Z14" s="11">
        <v>378</v>
      </c>
      <c r="AA14" s="1">
        <v>45658</v>
      </c>
      <c r="AB14" s="11"/>
      <c r="AC14" s="11"/>
    </row>
    <row r="15" spans="1:29">
      <c r="L15" s="1">
        <v>43831</v>
      </c>
      <c r="M15">
        <v>224</v>
      </c>
      <c r="N15">
        <v>296</v>
      </c>
    </row>
    <row r="22" spans="12:29">
      <c r="L22" s="17" t="s">
        <v>166</v>
      </c>
    </row>
    <row r="23" spans="12:29" ht="15">
      <c r="M23" t="s">
        <v>155</v>
      </c>
      <c r="N23" t="s">
        <v>156</v>
      </c>
      <c r="P23" t="s">
        <v>155</v>
      </c>
      <c r="Q23" t="s">
        <v>156</v>
      </c>
      <c r="S23" s="23" t="s">
        <v>155</v>
      </c>
      <c r="T23" s="23" t="s">
        <v>156</v>
      </c>
      <c r="V23" s="23" t="s">
        <v>155</v>
      </c>
      <c r="W23" s="23" t="s">
        <v>156</v>
      </c>
      <c r="Y23" s="23" t="s">
        <v>155</v>
      </c>
      <c r="Z23" s="23" t="s">
        <v>156</v>
      </c>
      <c r="AB23" s="23" t="s">
        <v>155</v>
      </c>
      <c r="AC23" s="23" t="s">
        <v>156</v>
      </c>
    </row>
    <row r="24" spans="12:29" ht="15">
      <c r="L24" s="1">
        <v>43466</v>
      </c>
      <c r="M24" s="11">
        <v>12.642857142857142</v>
      </c>
      <c r="N24">
        <v>13</v>
      </c>
      <c r="O24" s="1">
        <v>43862</v>
      </c>
      <c r="P24">
        <v>11</v>
      </c>
      <c r="Q24">
        <v>11</v>
      </c>
      <c r="R24" s="1">
        <v>44228</v>
      </c>
      <c r="S24" s="11">
        <v>9.1428571428571423</v>
      </c>
      <c r="T24" s="11">
        <v>10.620689655172415</v>
      </c>
      <c r="U24" s="1">
        <v>44593</v>
      </c>
      <c r="V24">
        <v>11</v>
      </c>
      <c r="W24">
        <v>11</v>
      </c>
      <c r="X24" s="1">
        <v>44958</v>
      </c>
      <c r="Y24" s="11">
        <v>10.482758620689655</v>
      </c>
      <c r="Z24" s="11">
        <v>12.074074074074074</v>
      </c>
      <c r="AA24" s="1">
        <v>45323</v>
      </c>
      <c r="AB24" s="11">
        <v>11.379310344827585</v>
      </c>
      <c r="AC24" s="11">
        <v>9.7777777777777786</v>
      </c>
    </row>
    <row r="25" spans="12:29" ht="15">
      <c r="L25" s="1">
        <v>43497</v>
      </c>
      <c r="M25" s="11">
        <v>12.147058823529411</v>
      </c>
      <c r="N25">
        <v>11</v>
      </c>
      <c r="O25" s="1">
        <v>43891</v>
      </c>
      <c r="P25" s="11">
        <v>11.571428571428571</v>
      </c>
      <c r="Q25" s="11">
        <v>11.625</v>
      </c>
      <c r="R25" s="1">
        <v>44256</v>
      </c>
      <c r="S25" s="22">
        <v>12.242424242424242</v>
      </c>
      <c r="T25" s="22">
        <v>11.961538461538462</v>
      </c>
      <c r="U25" s="1">
        <v>44621</v>
      </c>
      <c r="V25" s="11">
        <v>11.514285714285714</v>
      </c>
      <c r="W25" s="11">
        <v>11.71875</v>
      </c>
      <c r="X25" s="1">
        <v>44986</v>
      </c>
      <c r="Y25" s="11">
        <v>11.75</v>
      </c>
      <c r="Z25" s="11">
        <v>11.387096774193548</v>
      </c>
      <c r="AA25" s="1">
        <v>45352</v>
      </c>
      <c r="AB25" s="11">
        <v>11.892857142857142</v>
      </c>
      <c r="AC25" s="11">
        <v>12.166666666666666</v>
      </c>
    </row>
    <row r="26" spans="12:29" ht="15">
      <c r="L26" s="1">
        <v>43525</v>
      </c>
      <c r="M26" s="11">
        <v>11.064516129032258</v>
      </c>
      <c r="N26">
        <v>12</v>
      </c>
      <c r="O26" s="1">
        <v>43922</v>
      </c>
      <c r="P26">
        <v>10</v>
      </c>
      <c r="Q26" s="11">
        <v>12.233333333333333</v>
      </c>
      <c r="R26" s="1">
        <v>44287</v>
      </c>
      <c r="S26" s="11">
        <v>11.827586206896552</v>
      </c>
      <c r="T26" s="11">
        <v>11.363636363636363</v>
      </c>
      <c r="U26" s="1">
        <v>44652</v>
      </c>
      <c r="V26">
        <v>11</v>
      </c>
      <c r="W26">
        <v>11</v>
      </c>
      <c r="X26" s="1">
        <v>45017</v>
      </c>
      <c r="Y26" s="11">
        <v>10.457142857142857</v>
      </c>
      <c r="Z26" s="11">
        <v>10.272727272727273</v>
      </c>
      <c r="AA26" s="1">
        <v>45383</v>
      </c>
      <c r="AB26" s="11">
        <v>11.6</v>
      </c>
      <c r="AC26" s="11">
        <v>11.388888888888889</v>
      </c>
    </row>
    <row r="27" spans="12:29" ht="15">
      <c r="L27" s="1">
        <v>43556</v>
      </c>
      <c r="M27" s="11">
        <v>11.96875</v>
      </c>
      <c r="N27">
        <v>10</v>
      </c>
      <c r="O27" s="1">
        <v>43952</v>
      </c>
      <c r="P27">
        <v>11</v>
      </c>
      <c r="Q27">
        <v>5</v>
      </c>
      <c r="R27" s="1">
        <v>44317</v>
      </c>
      <c r="S27" s="11">
        <v>11.535714285714286</v>
      </c>
      <c r="T27" s="11">
        <v>11.870967741935484</v>
      </c>
      <c r="U27" s="1">
        <v>44682</v>
      </c>
      <c r="V27">
        <v>11</v>
      </c>
      <c r="W27">
        <v>11</v>
      </c>
      <c r="X27" s="1">
        <v>45047</v>
      </c>
      <c r="Y27">
        <v>10</v>
      </c>
      <c r="Z27">
        <v>12</v>
      </c>
      <c r="AA27" s="1">
        <v>45413</v>
      </c>
      <c r="AB27" s="11">
        <v>12.107142857142858</v>
      </c>
      <c r="AC27" s="11">
        <v>12.041666666666666</v>
      </c>
    </row>
    <row r="28" spans="12:29" ht="15">
      <c r="L28" s="1">
        <v>43586</v>
      </c>
      <c r="M28" s="11">
        <v>12.214285714285714</v>
      </c>
      <c r="N28">
        <v>11</v>
      </c>
      <c r="O28" s="1">
        <v>43983</v>
      </c>
      <c r="P28">
        <v>11</v>
      </c>
      <c r="Q28">
        <v>12</v>
      </c>
      <c r="R28" s="1">
        <v>44348</v>
      </c>
      <c r="S28" s="11">
        <v>12.088235294117647</v>
      </c>
      <c r="T28" s="11">
        <v>11.758620689655173</v>
      </c>
      <c r="U28" s="1">
        <v>44713</v>
      </c>
      <c r="V28">
        <v>12</v>
      </c>
      <c r="W28">
        <v>12</v>
      </c>
      <c r="X28" s="1">
        <v>45078</v>
      </c>
      <c r="Y28" s="11">
        <v>10.942857142857143</v>
      </c>
      <c r="Z28" s="11">
        <v>10.744186046511627</v>
      </c>
      <c r="AA28" s="1">
        <v>45444</v>
      </c>
    </row>
    <row r="29" spans="12:29" ht="15">
      <c r="L29" s="1">
        <v>43617</v>
      </c>
      <c r="M29" s="11">
        <v>12.25</v>
      </c>
      <c r="N29">
        <v>12</v>
      </c>
      <c r="O29" s="1">
        <v>44013</v>
      </c>
      <c r="P29" s="11">
        <v>11.416666666666666</v>
      </c>
      <c r="Q29" s="11">
        <v>14.904761904761905</v>
      </c>
      <c r="R29" s="1">
        <v>44378</v>
      </c>
      <c r="S29" s="11">
        <v>12</v>
      </c>
      <c r="T29" s="11">
        <v>12</v>
      </c>
      <c r="U29" s="1">
        <v>44743</v>
      </c>
      <c r="V29">
        <v>13</v>
      </c>
      <c r="W29">
        <v>12</v>
      </c>
      <c r="X29" s="1">
        <v>45108</v>
      </c>
      <c r="Y29" s="11">
        <v>10.942857142857143</v>
      </c>
      <c r="Z29" s="11">
        <v>10.744186046511627</v>
      </c>
      <c r="AA29" s="1">
        <v>45474</v>
      </c>
      <c r="AC29" s="11"/>
    </row>
    <row r="30" spans="12:29" ht="15">
      <c r="L30" s="1">
        <v>43647</v>
      </c>
      <c r="M30" s="11">
        <v>12.970588235294118</v>
      </c>
      <c r="N30">
        <v>12</v>
      </c>
      <c r="O30" s="1">
        <v>44044</v>
      </c>
      <c r="P30" s="11">
        <v>12.407407407407407</v>
      </c>
      <c r="Q30" s="11">
        <v>10.446808510638299</v>
      </c>
      <c r="R30" s="1">
        <v>44409</v>
      </c>
      <c r="S30" s="11">
        <v>13.542857142857143</v>
      </c>
      <c r="T30" s="11">
        <v>12.696969696969697</v>
      </c>
      <c r="U30" s="1">
        <v>44774</v>
      </c>
      <c r="V30" s="11">
        <v>13.742857142857142</v>
      </c>
      <c r="W30" s="11">
        <v>13.586206896551724</v>
      </c>
      <c r="X30" s="1">
        <v>45139</v>
      </c>
      <c r="Y30" s="11">
        <v>13</v>
      </c>
      <c r="Z30" s="11">
        <v>12</v>
      </c>
      <c r="AA30" s="1">
        <v>45505</v>
      </c>
      <c r="AB30" s="11"/>
      <c r="AC30" s="11"/>
    </row>
    <row r="31" spans="12:29" ht="15">
      <c r="L31" s="1">
        <v>43678</v>
      </c>
      <c r="M31" s="11">
        <v>14.068965517241379</v>
      </c>
      <c r="N31">
        <v>13</v>
      </c>
      <c r="O31" s="1">
        <v>44075</v>
      </c>
      <c r="P31">
        <v>13</v>
      </c>
      <c r="Q31" s="11">
        <v>12</v>
      </c>
      <c r="R31" s="1">
        <v>44440</v>
      </c>
      <c r="S31" s="11">
        <v>16</v>
      </c>
      <c r="T31" s="11">
        <v>16</v>
      </c>
      <c r="U31" s="1">
        <v>44805</v>
      </c>
      <c r="V31" s="11">
        <v>15</v>
      </c>
      <c r="W31" s="11">
        <v>14</v>
      </c>
      <c r="X31" s="1">
        <v>45170</v>
      </c>
      <c r="Y31" s="11">
        <v>13.25</v>
      </c>
      <c r="Z31" s="11">
        <v>13.365853658536585</v>
      </c>
      <c r="AA31" s="1">
        <v>45536</v>
      </c>
      <c r="AB31" s="11"/>
      <c r="AC31" s="11"/>
    </row>
    <row r="32" spans="12:29" ht="15">
      <c r="L32" s="1">
        <v>43709</v>
      </c>
      <c r="M32" s="11">
        <v>14.785714285714286</v>
      </c>
      <c r="N32">
        <v>15</v>
      </c>
      <c r="O32" s="1">
        <v>44105</v>
      </c>
      <c r="P32">
        <v>11</v>
      </c>
      <c r="Q32" s="11">
        <v>12</v>
      </c>
      <c r="R32" s="1">
        <v>44470</v>
      </c>
      <c r="S32" s="11">
        <v>14</v>
      </c>
      <c r="T32" s="11">
        <v>13</v>
      </c>
      <c r="U32" s="1">
        <v>44835</v>
      </c>
      <c r="V32" s="11">
        <v>13</v>
      </c>
      <c r="W32" s="11">
        <v>15</v>
      </c>
      <c r="X32" s="1">
        <v>45200</v>
      </c>
      <c r="Y32" s="11">
        <v>14.484848484848484</v>
      </c>
      <c r="Z32" s="11">
        <v>13.681818181818182</v>
      </c>
      <c r="AA32" s="1">
        <v>45566</v>
      </c>
    </row>
    <row r="33" spans="12:29" ht="15">
      <c r="L33" s="1">
        <v>43739</v>
      </c>
      <c r="M33">
        <v>16</v>
      </c>
      <c r="N33">
        <v>15</v>
      </c>
      <c r="O33" s="1">
        <v>44136</v>
      </c>
      <c r="P33" s="11">
        <v>10.857142857142858</v>
      </c>
      <c r="Q33" s="11">
        <v>11.214285714285714</v>
      </c>
      <c r="R33" s="1">
        <v>44501</v>
      </c>
      <c r="S33" s="11">
        <v>10.342857142857143</v>
      </c>
      <c r="T33" s="11">
        <v>12.25925925925926</v>
      </c>
      <c r="U33" s="1">
        <v>44866</v>
      </c>
      <c r="V33" s="11">
        <v>11.264705882352942</v>
      </c>
      <c r="W33" s="11">
        <v>10.633333333333333</v>
      </c>
      <c r="X33" s="1">
        <v>45231</v>
      </c>
      <c r="Y33" s="11">
        <v>13.964285714285714</v>
      </c>
      <c r="Z33" s="11">
        <v>13.970588235294118</v>
      </c>
      <c r="AA33" s="1">
        <v>45597</v>
      </c>
      <c r="AB33" s="11"/>
      <c r="AC33" s="11"/>
    </row>
    <row r="34" spans="12:29" ht="15">
      <c r="L34" s="1">
        <v>43770</v>
      </c>
      <c r="M34" s="11">
        <v>11</v>
      </c>
      <c r="N34">
        <v>13</v>
      </c>
      <c r="O34" s="1">
        <v>44166</v>
      </c>
      <c r="P34" s="11">
        <v>10</v>
      </c>
      <c r="Q34" s="11">
        <v>10</v>
      </c>
      <c r="R34" s="1">
        <v>44531</v>
      </c>
      <c r="S34" s="11">
        <v>11.057142857142857</v>
      </c>
      <c r="T34" s="11">
        <v>11.875</v>
      </c>
      <c r="U34" s="1">
        <v>44896</v>
      </c>
      <c r="V34" s="11">
        <v>9.6111111111111107</v>
      </c>
      <c r="W34" s="11">
        <v>11.060606060606061</v>
      </c>
      <c r="X34" s="1">
        <v>45261</v>
      </c>
      <c r="Y34" s="11">
        <v>11.8</v>
      </c>
      <c r="Z34" s="11">
        <v>13.681818181818182</v>
      </c>
      <c r="AA34" s="1">
        <v>45627</v>
      </c>
      <c r="AB34" s="11"/>
      <c r="AC34" s="11"/>
    </row>
    <row r="35" spans="12:29" ht="15">
      <c r="L35" s="1">
        <v>43800</v>
      </c>
      <c r="M35" s="11">
        <v>10</v>
      </c>
      <c r="N35">
        <v>11</v>
      </c>
      <c r="O35" s="1">
        <v>44197</v>
      </c>
      <c r="P35" s="11">
        <v>12.090909090909092</v>
      </c>
      <c r="Q35" s="11">
        <v>9.6285714285714281</v>
      </c>
      <c r="R35" s="1">
        <v>44562</v>
      </c>
      <c r="S35">
        <v>11</v>
      </c>
      <c r="T35">
        <v>19</v>
      </c>
      <c r="U35" s="1">
        <v>44927</v>
      </c>
      <c r="V35" s="11">
        <v>13</v>
      </c>
      <c r="W35" s="11">
        <v>12</v>
      </c>
      <c r="X35" s="1">
        <v>45292</v>
      </c>
      <c r="Y35" s="11">
        <v>11.428571428571429</v>
      </c>
      <c r="Z35" s="11">
        <v>10.5</v>
      </c>
      <c r="AA35" s="1">
        <v>45658</v>
      </c>
      <c r="AB35" s="11"/>
      <c r="AC35" s="11"/>
    </row>
    <row r="36" spans="12:29">
      <c r="L36" s="1">
        <v>43831</v>
      </c>
      <c r="M36">
        <v>6</v>
      </c>
      <c r="N36">
        <v>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DFA5-A3C0-4254-BC96-1559ED0B5DE0}">
  <dimension ref="A1:AA15"/>
  <sheetViews>
    <sheetView workbookViewId="0">
      <selection activeCell="AA6" sqref="AA6"/>
    </sheetView>
  </sheetViews>
  <sheetFormatPr defaultRowHeight="14.45"/>
  <cols>
    <col min="11" max="12" width="9.140625" hidden="1" customWidth="1"/>
    <col min="14" max="15" width="9.140625" hidden="1" customWidth="1"/>
    <col min="17" max="18" width="9.140625" hidden="1" customWidth="1"/>
    <col min="20" max="21" width="0" hidden="1" customWidth="1"/>
    <col min="23" max="24" width="9.28515625" bestFit="1" customWidth="1"/>
  </cols>
  <sheetData>
    <row r="1" spans="1:27" ht="18">
      <c r="A1" s="5" t="s">
        <v>167</v>
      </c>
    </row>
    <row r="2" spans="1:27" ht="15">
      <c r="K2" t="s">
        <v>155</v>
      </c>
      <c r="L2" t="s">
        <v>168</v>
      </c>
      <c r="N2" t="s">
        <v>155</v>
      </c>
      <c r="O2" t="s">
        <v>168</v>
      </c>
      <c r="Q2" s="23" t="s">
        <v>155</v>
      </c>
      <c r="R2" s="23" t="s">
        <v>156</v>
      </c>
      <c r="T2" s="23" t="s">
        <v>155</v>
      </c>
      <c r="U2" s="23" t="s">
        <v>156</v>
      </c>
      <c r="W2" s="23" t="s">
        <v>155</v>
      </c>
      <c r="X2" s="23" t="s">
        <v>156</v>
      </c>
      <c r="Z2" s="23" t="s">
        <v>155</v>
      </c>
      <c r="AA2" s="23" t="s">
        <v>156</v>
      </c>
    </row>
    <row r="3" spans="1:27" ht="15">
      <c r="J3" s="1">
        <v>43466</v>
      </c>
      <c r="K3" s="8">
        <v>15.637901234567888</v>
      </c>
      <c r="L3" s="8">
        <v>13.27584417808219</v>
      </c>
      <c r="M3" s="1">
        <v>43862</v>
      </c>
      <c r="N3" s="15">
        <v>19.28761746031746</v>
      </c>
      <c r="O3" s="8">
        <v>13.944050964187326</v>
      </c>
      <c r="P3" s="1">
        <v>44228</v>
      </c>
      <c r="Q3" s="21">
        <v>20.263628906249998</v>
      </c>
      <c r="R3" s="21">
        <v>12.717767857142858</v>
      </c>
      <c r="S3" s="1">
        <v>44593</v>
      </c>
      <c r="T3" s="21">
        <v>14.644243749999998</v>
      </c>
      <c r="U3" s="21">
        <v>14.35993222891566</v>
      </c>
      <c r="V3" s="1">
        <v>44958</v>
      </c>
      <c r="W3" s="21">
        <v>13.983546052631578</v>
      </c>
      <c r="X3" s="21">
        <v>16.5235245398773</v>
      </c>
      <c r="Y3" s="1">
        <v>45323</v>
      </c>
      <c r="Z3" s="21">
        <v>18.817066666666665</v>
      </c>
      <c r="AA3" s="21">
        <v>17.405151988636366</v>
      </c>
    </row>
    <row r="4" spans="1:27" ht="15">
      <c r="J4" s="1">
        <v>43497</v>
      </c>
      <c r="K4" s="8">
        <v>15.351694915254235</v>
      </c>
      <c r="L4" s="8">
        <v>13.502664473684209</v>
      </c>
      <c r="M4" s="1">
        <v>43891</v>
      </c>
      <c r="N4" s="15">
        <v>18.751850308641973</v>
      </c>
      <c r="O4" s="8">
        <v>15.053005376344085</v>
      </c>
      <c r="P4" s="1">
        <v>44256</v>
      </c>
      <c r="Q4" s="21">
        <v>21.571580445544555</v>
      </c>
      <c r="R4" s="21">
        <v>14.151508038585208</v>
      </c>
      <c r="S4" s="1">
        <v>44621</v>
      </c>
      <c r="T4" s="21">
        <v>15.591232009925557</v>
      </c>
      <c r="U4" s="21">
        <v>14.320873333333331</v>
      </c>
      <c r="V4" s="1">
        <v>44986</v>
      </c>
      <c r="W4" s="21">
        <v>17.090293313069907</v>
      </c>
      <c r="X4" s="21">
        <v>2.8764442870632672</v>
      </c>
      <c r="Y4" s="1">
        <v>45352</v>
      </c>
      <c r="Z4" s="21">
        <v>16.877130630630631</v>
      </c>
      <c r="AA4" s="21">
        <v>17.28694178082192</v>
      </c>
    </row>
    <row r="5" spans="1:27" ht="15">
      <c r="J5" s="1">
        <v>43525</v>
      </c>
      <c r="K5" s="8">
        <v>16.008396501457725</v>
      </c>
      <c r="L5" s="8">
        <v>13.362127371273713</v>
      </c>
      <c r="M5" s="1">
        <v>43922</v>
      </c>
      <c r="N5" s="15">
        <v>17.969501420454542</v>
      </c>
      <c r="O5" s="8">
        <v>14.694555858310624</v>
      </c>
      <c r="P5" s="1">
        <v>44287</v>
      </c>
      <c r="Q5" s="21">
        <v>25.407925655976676</v>
      </c>
      <c r="R5" s="21">
        <v>13.039987999999999</v>
      </c>
      <c r="S5" s="1">
        <v>44652</v>
      </c>
      <c r="T5" s="21">
        <v>12.778385245901639</v>
      </c>
      <c r="U5" s="21">
        <v>13.914134036144576</v>
      </c>
      <c r="V5" s="1">
        <v>45017</v>
      </c>
      <c r="W5" s="21">
        <v>16.613163934426229</v>
      </c>
      <c r="X5" s="21">
        <v>14.070504424778761</v>
      </c>
      <c r="Y5" s="1">
        <v>45383</v>
      </c>
      <c r="Z5" s="21">
        <v>20.167600985221672</v>
      </c>
      <c r="AA5" s="21">
        <v>16.47346951219512</v>
      </c>
    </row>
    <row r="6" spans="1:27" ht="15">
      <c r="J6" s="1">
        <v>43556</v>
      </c>
      <c r="K6" s="8">
        <v>13.079880689295042</v>
      </c>
      <c r="L6" s="8">
        <v>13.137989830508474</v>
      </c>
      <c r="M6" s="1">
        <v>43952</v>
      </c>
      <c r="N6" s="8">
        <v>16.730169934640521</v>
      </c>
      <c r="O6" s="8">
        <v>25.07810082872928</v>
      </c>
      <c r="P6" s="1">
        <v>44317</v>
      </c>
      <c r="Q6" s="21">
        <v>14.937182662538698</v>
      </c>
      <c r="R6" s="21">
        <v>13.607499999999998</v>
      </c>
      <c r="S6" s="1">
        <v>44682</v>
      </c>
      <c r="T6" s="21">
        <v>14.987489389920423</v>
      </c>
      <c r="U6" s="21">
        <v>13.828307692307691</v>
      </c>
      <c r="V6" s="1">
        <v>45047</v>
      </c>
      <c r="W6" s="21">
        <v>14.005186379928316</v>
      </c>
      <c r="X6" s="21">
        <v>16.092667134831458</v>
      </c>
      <c r="Y6" s="1">
        <v>45413</v>
      </c>
      <c r="Z6" s="21">
        <v>17.776218289085545</v>
      </c>
      <c r="AA6" s="21">
        <v>18.51503979238754</v>
      </c>
    </row>
    <row r="7" spans="1:27" ht="15">
      <c r="J7" s="1">
        <v>43586</v>
      </c>
      <c r="K7" s="8">
        <v>12.537543859649123</v>
      </c>
      <c r="L7" s="8">
        <v>13.374463258785944</v>
      </c>
      <c r="M7" s="1">
        <v>43983</v>
      </c>
      <c r="N7" s="8">
        <v>16.59</v>
      </c>
      <c r="O7" s="8">
        <v>14.714029498525072</v>
      </c>
      <c r="P7" s="1">
        <v>44348</v>
      </c>
      <c r="Q7" s="21">
        <v>17.151956204379562</v>
      </c>
      <c r="R7" s="21">
        <v>13.874901759530793</v>
      </c>
      <c r="S7" s="1">
        <v>44713</v>
      </c>
      <c r="T7" s="21">
        <v>17.422397321428573</v>
      </c>
      <c r="U7" s="21">
        <v>14.139153477218226</v>
      </c>
      <c r="V7" s="1">
        <v>45078</v>
      </c>
      <c r="W7" s="21">
        <v>14.271575409836062</v>
      </c>
      <c r="X7" s="21">
        <v>5.5718959390862945</v>
      </c>
      <c r="Y7" s="1">
        <v>45444</v>
      </c>
      <c r="AA7" s="21"/>
    </row>
    <row r="8" spans="1:27" ht="15">
      <c r="J8" s="1">
        <v>43617</v>
      </c>
      <c r="K8" s="8">
        <v>12.735014577259474</v>
      </c>
      <c r="L8" s="8">
        <v>13.122450211864406</v>
      </c>
      <c r="M8" s="1">
        <v>44013</v>
      </c>
      <c r="N8" s="8">
        <v>17.185373357664229</v>
      </c>
      <c r="O8" s="8">
        <v>16.497172523961659</v>
      </c>
      <c r="P8" s="1">
        <v>44378</v>
      </c>
      <c r="Q8" s="21">
        <v>15.960856927710841</v>
      </c>
      <c r="R8" s="21">
        <v>13.714928395061726</v>
      </c>
      <c r="S8" s="1">
        <v>44743</v>
      </c>
      <c r="T8" s="21">
        <v>15.781703389830508</v>
      </c>
      <c r="U8" s="21">
        <v>16.185963343108504</v>
      </c>
      <c r="V8" s="1">
        <v>45108</v>
      </c>
      <c r="W8" s="21">
        <v>17.939039164490861</v>
      </c>
      <c r="X8" s="21">
        <v>15.144977272727271</v>
      </c>
      <c r="Y8" s="1">
        <v>45474</v>
      </c>
      <c r="Z8" s="21"/>
      <c r="AA8" s="21"/>
    </row>
    <row r="9" spans="1:27" ht="15">
      <c r="J9" s="1">
        <v>43647</v>
      </c>
      <c r="K9" s="8">
        <v>17.753151927437642</v>
      </c>
      <c r="L9" s="8">
        <v>14.898155737704915</v>
      </c>
      <c r="M9" s="1">
        <v>44044</v>
      </c>
      <c r="N9" s="15">
        <v>15.881191044776118</v>
      </c>
      <c r="O9" s="8">
        <v>11.393455193482685</v>
      </c>
      <c r="P9" s="1">
        <v>44409</v>
      </c>
      <c r="Q9" s="21">
        <v>20.842221518987341</v>
      </c>
      <c r="R9" s="21">
        <v>15.020344868735082</v>
      </c>
      <c r="S9" s="1">
        <v>44774</v>
      </c>
      <c r="T9" s="21">
        <v>19.36057276507276</v>
      </c>
      <c r="U9" s="21">
        <v>17.484057106598986</v>
      </c>
      <c r="V9" s="1">
        <v>45139</v>
      </c>
      <c r="W9" s="21">
        <v>19.001712857142856</v>
      </c>
      <c r="X9" s="21">
        <v>21.201883522727272</v>
      </c>
      <c r="Y9" s="1">
        <v>45505</v>
      </c>
      <c r="Z9" s="21"/>
      <c r="AA9" s="21"/>
    </row>
    <row r="10" spans="1:27" ht="15">
      <c r="J10" s="1">
        <v>43678</v>
      </c>
      <c r="K10" s="8">
        <v>17.309264705882352</v>
      </c>
      <c r="L10" s="8">
        <v>14.958972527472524</v>
      </c>
      <c r="M10" s="1">
        <v>44075</v>
      </c>
      <c r="N10" s="15">
        <v>22.206716981132075</v>
      </c>
      <c r="O10" s="8">
        <v>16.619231927710842</v>
      </c>
      <c r="P10" s="1">
        <v>44440</v>
      </c>
      <c r="Q10" s="21">
        <v>16.309121867881547</v>
      </c>
      <c r="R10" s="21">
        <v>17.672789081885856</v>
      </c>
      <c r="S10" s="1">
        <v>44805</v>
      </c>
      <c r="T10" s="21">
        <v>21.064935141509434</v>
      </c>
      <c r="U10" s="21">
        <v>17.436660965794768</v>
      </c>
      <c r="V10" s="1">
        <v>45170</v>
      </c>
      <c r="W10" s="21">
        <v>19.354128032345013</v>
      </c>
      <c r="X10" s="21">
        <v>18.209683394160582</v>
      </c>
      <c r="Y10" s="1">
        <v>45536</v>
      </c>
      <c r="Z10" s="21"/>
      <c r="AA10" s="21"/>
    </row>
    <row r="11" spans="1:27" ht="15">
      <c r="J11" s="1">
        <v>43709</v>
      </c>
      <c r="K11" s="8">
        <v>19.092969555555555</v>
      </c>
      <c r="L11" s="8">
        <v>15.526386160714285</v>
      </c>
      <c r="M11" s="1">
        <v>44105</v>
      </c>
      <c r="N11" s="15">
        <v>21.04</v>
      </c>
      <c r="O11" s="8">
        <v>13.04</v>
      </c>
      <c r="P11" s="1">
        <v>44470</v>
      </c>
      <c r="Q11" s="21">
        <v>15.181941558441554</v>
      </c>
      <c r="R11" s="21">
        <v>15.555618020304568</v>
      </c>
      <c r="S11" s="1">
        <v>44835</v>
      </c>
      <c r="T11" s="21">
        <v>17.346683988764045</v>
      </c>
      <c r="U11" s="21">
        <v>18.490859007832899</v>
      </c>
      <c r="V11" s="1">
        <v>45200</v>
      </c>
      <c r="W11" s="21">
        <v>22.641671548117152</v>
      </c>
      <c r="X11" s="21">
        <v>20.395345514950165</v>
      </c>
      <c r="Y11" s="1">
        <v>45566</v>
      </c>
      <c r="Z11" s="21"/>
      <c r="AA11" s="21"/>
    </row>
    <row r="12" spans="1:27" ht="15">
      <c r="J12" s="1">
        <v>43739</v>
      </c>
      <c r="K12" s="8">
        <v>19.778447088512241</v>
      </c>
      <c r="L12" s="8">
        <v>15.526386160714285</v>
      </c>
      <c r="M12" s="1">
        <v>44136</v>
      </c>
      <c r="N12" s="8">
        <v>20.833475279605256</v>
      </c>
      <c r="O12" s="8">
        <v>13.351609872611462</v>
      </c>
      <c r="P12" s="1">
        <v>44501</v>
      </c>
      <c r="Q12" s="21">
        <v>19.325400552486187</v>
      </c>
      <c r="R12" s="21">
        <v>15.224123867069485</v>
      </c>
      <c r="S12" s="1">
        <v>44866</v>
      </c>
      <c r="T12" s="21">
        <v>16.609513054830288</v>
      </c>
      <c r="U12" s="21">
        <v>14.804862068965518</v>
      </c>
      <c r="V12" s="1">
        <v>45231</v>
      </c>
      <c r="W12" s="21">
        <v>18.379970588235292</v>
      </c>
      <c r="X12" s="21">
        <v>19.136338947368419</v>
      </c>
      <c r="Y12" s="1">
        <v>45597</v>
      </c>
      <c r="Z12" s="21"/>
      <c r="AA12" s="21"/>
    </row>
    <row r="13" spans="1:27" ht="15">
      <c r="J13" s="1">
        <v>43770</v>
      </c>
      <c r="K13" s="8">
        <v>16.523150073170729</v>
      </c>
      <c r="L13" s="8">
        <v>14.793680904522612</v>
      </c>
      <c r="M13" s="1">
        <v>44166</v>
      </c>
      <c r="N13" s="15">
        <v>22.069249151282047</v>
      </c>
      <c r="O13" s="15">
        <v>12.094204620462046</v>
      </c>
      <c r="P13" s="1">
        <v>44531</v>
      </c>
      <c r="Q13" s="21">
        <v>16.81050387596899</v>
      </c>
      <c r="R13" s="21">
        <v>15.309849122807016</v>
      </c>
      <c r="S13" s="1">
        <v>44896</v>
      </c>
      <c r="T13" s="21">
        <v>15.528921965317918</v>
      </c>
      <c r="U13" s="21">
        <v>14.971172602739726</v>
      </c>
      <c r="V13" s="1">
        <v>45261</v>
      </c>
      <c r="W13" s="21">
        <v>19.327880145278449</v>
      </c>
      <c r="X13" s="21">
        <v>20.395230897009966</v>
      </c>
      <c r="Y13" s="1">
        <v>45627</v>
      </c>
      <c r="Z13" s="21"/>
      <c r="AA13" s="21"/>
    </row>
    <row r="14" spans="1:27" ht="15">
      <c r="J14" s="1">
        <v>43800</v>
      </c>
      <c r="K14" s="8">
        <v>14.177710429629627</v>
      </c>
      <c r="L14" s="8">
        <v>13.8</v>
      </c>
      <c r="M14" s="1">
        <v>44197</v>
      </c>
      <c r="N14" s="21">
        <v>20.883048872180449</v>
      </c>
      <c r="O14" s="21">
        <v>11.14046290801187</v>
      </c>
      <c r="P14" s="1">
        <v>44562</v>
      </c>
      <c r="Q14" s="21">
        <v>10.743969262295082</v>
      </c>
      <c r="R14" s="21">
        <v>13.106395143487859</v>
      </c>
      <c r="S14" s="1">
        <v>44927</v>
      </c>
      <c r="T14" s="21">
        <v>15.903857541899441</v>
      </c>
      <c r="U14">
        <v>15.187053333333333</v>
      </c>
      <c r="V14" s="1">
        <v>45292</v>
      </c>
      <c r="W14" s="21">
        <v>16.49905</v>
      </c>
      <c r="X14" s="15">
        <v>15.615265873015872</v>
      </c>
      <c r="Y14" s="1">
        <v>45658</v>
      </c>
      <c r="Z14" s="21"/>
      <c r="AA14" s="15"/>
    </row>
    <row r="15" spans="1:27">
      <c r="J15" s="1">
        <v>43831</v>
      </c>
      <c r="K15" s="8">
        <v>16.754627232142859</v>
      </c>
      <c r="L15" s="8">
        <v>13.61001689189189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2E7F-901B-4B8D-B985-F64749D3903B}">
  <dimension ref="K2:R15"/>
  <sheetViews>
    <sheetView workbookViewId="0">
      <selection activeCell="K2" sqref="K2"/>
    </sheetView>
  </sheetViews>
  <sheetFormatPr defaultRowHeight="15"/>
  <cols>
    <col min="12" max="13" width="12" hidden="1" customWidth="1"/>
    <col min="14" max="14" width="18" hidden="1" customWidth="1"/>
    <col min="16" max="17" width="12" bestFit="1" customWidth="1"/>
    <col min="18" max="18" width="18" bestFit="1" customWidth="1"/>
  </cols>
  <sheetData>
    <row r="2" spans="11:18" ht="30.75">
      <c r="K2" s="35" t="s">
        <v>169</v>
      </c>
      <c r="L2" s="23" t="s">
        <v>155</v>
      </c>
      <c r="M2" s="23" t="s">
        <v>156</v>
      </c>
      <c r="N2" s="23" t="s">
        <v>157</v>
      </c>
      <c r="O2" s="35" t="s">
        <v>169</v>
      </c>
      <c r="P2" s="23" t="s">
        <v>155</v>
      </c>
      <c r="Q2" s="23" t="s">
        <v>156</v>
      </c>
      <c r="R2" s="23" t="s">
        <v>157</v>
      </c>
    </row>
    <row r="3" spans="11:18">
      <c r="K3" s="1">
        <v>44986</v>
      </c>
      <c r="L3" s="21">
        <v>5861.42</v>
      </c>
      <c r="M3" s="21">
        <v>5386.6689999999999</v>
      </c>
      <c r="N3" s="24" t="s">
        <v>159</v>
      </c>
      <c r="O3" s="1">
        <v>45352</v>
      </c>
      <c r="P3" s="21">
        <v>5279.71</v>
      </c>
      <c r="Q3" s="21">
        <v>6125.46</v>
      </c>
      <c r="R3" s="24" t="s">
        <v>158</v>
      </c>
    </row>
    <row r="4" spans="11:18">
      <c r="K4" s="1">
        <v>45017</v>
      </c>
      <c r="L4" s="21">
        <v>4251.0200000000004</v>
      </c>
      <c r="M4" s="21">
        <v>3046.1545000000001</v>
      </c>
      <c r="N4" s="24" t="s">
        <v>160</v>
      </c>
      <c r="O4" s="1">
        <v>45383</v>
      </c>
      <c r="P4" s="21">
        <v>6209.66</v>
      </c>
      <c r="Q4" s="21">
        <v>7571.6805000000004</v>
      </c>
      <c r="R4" s="24" t="s">
        <v>158</v>
      </c>
    </row>
    <row r="5" spans="11:18">
      <c r="K5" s="1">
        <v>45047</v>
      </c>
      <c r="L5" s="21">
        <v>4020.78</v>
      </c>
      <c r="M5" s="21">
        <v>4769.9009999999998</v>
      </c>
      <c r="N5" s="24" t="s">
        <v>158</v>
      </c>
      <c r="O5" s="1">
        <v>45413</v>
      </c>
      <c r="P5" s="21">
        <v>5620.1</v>
      </c>
      <c r="Q5" s="21">
        <v>6754.12</v>
      </c>
      <c r="R5" s="24" t="s">
        <v>158</v>
      </c>
    </row>
    <row r="6" spans="11:18">
      <c r="K6" s="1">
        <v>45078</v>
      </c>
      <c r="L6" s="21">
        <v>6080.4179999999997</v>
      </c>
      <c r="M6" s="21">
        <v>5728.9894999999997</v>
      </c>
      <c r="N6" s="24" t="s">
        <v>159</v>
      </c>
      <c r="O6" s="1">
        <v>45444</v>
      </c>
      <c r="P6" s="21">
        <v>8188.08</v>
      </c>
      <c r="Q6" s="21">
        <v>5350.85</v>
      </c>
      <c r="R6" s="24" t="s">
        <v>158</v>
      </c>
    </row>
    <row r="7" spans="11:18">
      <c r="K7" s="1">
        <v>45108</v>
      </c>
      <c r="L7" s="21">
        <v>3907.42</v>
      </c>
      <c r="M7" s="21">
        <v>3210.19</v>
      </c>
      <c r="N7" s="24" t="s">
        <v>160</v>
      </c>
      <c r="O7" s="1">
        <v>45474</v>
      </c>
      <c r="P7" s="21">
        <v>6026.16</v>
      </c>
      <c r="Q7" s="21"/>
      <c r="R7" s="24"/>
    </row>
    <row r="8" spans="11:18">
      <c r="K8" s="1">
        <v>45139</v>
      </c>
      <c r="L8" s="21">
        <v>4377.46</v>
      </c>
      <c r="M8" s="21">
        <v>6914.18</v>
      </c>
      <c r="N8" s="24" t="s">
        <v>158</v>
      </c>
      <c r="O8" s="1">
        <v>45505</v>
      </c>
      <c r="P8" s="21"/>
      <c r="Q8" s="21"/>
      <c r="R8" s="24"/>
    </row>
    <row r="9" spans="11:18">
      <c r="K9" s="1">
        <v>45170</v>
      </c>
      <c r="L9" s="21">
        <v>6952.99</v>
      </c>
      <c r="M9" s="21">
        <v>3648.73</v>
      </c>
      <c r="N9" s="24" t="s">
        <v>158</v>
      </c>
      <c r="O9" s="1">
        <v>45536</v>
      </c>
      <c r="P9" s="21"/>
      <c r="Q9" s="21"/>
      <c r="R9" s="24"/>
    </row>
    <row r="10" spans="11:18">
      <c r="K10" s="1">
        <v>45200</v>
      </c>
      <c r="L10" s="21">
        <v>6650.61</v>
      </c>
      <c r="M10" s="21">
        <v>9896.11</v>
      </c>
      <c r="N10" s="24" t="s">
        <v>158</v>
      </c>
      <c r="O10" s="1">
        <v>45566</v>
      </c>
      <c r="P10" s="21"/>
      <c r="Q10" s="21"/>
      <c r="R10" s="24"/>
    </row>
    <row r="11" spans="11:18">
      <c r="K11" s="1">
        <v>45231</v>
      </c>
      <c r="L11" s="21">
        <v>7180.41</v>
      </c>
      <c r="M11" s="21">
        <v>6056.16</v>
      </c>
      <c r="N11" s="24" t="s">
        <v>158</v>
      </c>
      <c r="O11" s="1">
        <v>45597</v>
      </c>
      <c r="P11" s="28"/>
      <c r="Q11" s="21"/>
      <c r="R11" s="24"/>
    </row>
    <row r="12" spans="11:18">
      <c r="K12" s="1">
        <v>45261</v>
      </c>
      <c r="L12" s="28">
        <v>10822.74</v>
      </c>
      <c r="M12" s="21">
        <v>9006.9599999999991</v>
      </c>
      <c r="N12" s="24" t="s">
        <v>158</v>
      </c>
      <c r="O12" s="1">
        <v>45627</v>
      </c>
      <c r="P12" s="21"/>
      <c r="Q12" s="21"/>
      <c r="R12" s="24"/>
    </row>
    <row r="13" spans="11:18">
      <c r="K13" s="1">
        <v>45292</v>
      </c>
      <c r="L13" s="21">
        <v>7186.5685000000003</v>
      </c>
      <c r="M13" s="21">
        <v>6056.16</v>
      </c>
      <c r="N13" s="24" t="s">
        <v>158</v>
      </c>
      <c r="O13" s="1">
        <v>45658</v>
      </c>
      <c r="P13" s="21"/>
      <c r="Q13" s="21"/>
      <c r="R13" s="24"/>
    </row>
    <row r="14" spans="11:18">
      <c r="K14" s="1">
        <v>45323</v>
      </c>
      <c r="L14" s="21">
        <v>7982.45</v>
      </c>
      <c r="M14" s="21">
        <v>5819.77</v>
      </c>
      <c r="N14" s="24" t="s">
        <v>158</v>
      </c>
      <c r="O14" s="1">
        <v>45689</v>
      </c>
      <c r="P14" s="21"/>
      <c r="Q14" s="15"/>
      <c r="R14" s="24"/>
    </row>
    <row r="15" spans="11:18">
      <c r="L15" s="9">
        <f>SUM(L3:L14)</f>
        <v>75274.286499999987</v>
      </c>
      <c r="M15" s="9">
        <f>SUM(M3:M14)</f>
        <v>69539.974000000002</v>
      </c>
      <c r="N15" s="9">
        <f>L15-M15</f>
        <v>5734.3124999999854</v>
      </c>
      <c r="P15" s="9">
        <f>SUM(P3:P14)</f>
        <v>31323.710000000003</v>
      </c>
      <c r="Q15" s="9">
        <f>SUM(Q3:Q14)</f>
        <v>25802.110500000003</v>
      </c>
      <c r="R15" s="9">
        <f>P15-Q15</f>
        <v>5521.5995000000003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81cd01-18d3-4d99-9da7-104aa7df8d71">
      <Terms xmlns="http://schemas.microsoft.com/office/infopath/2007/PartnerControls"/>
    </lcf76f155ced4ddcb4097134ff3c332f>
    <TaxCatchAll xmlns="22a0b230-faea-41c6-942e-118daf6c53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2A19C09597A4FB0ECB8D3006DEC5B" ma:contentTypeVersion="17" ma:contentTypeDescription="Create a new document." ma:contentTypeScope="" ma:versionID="295cc371d64fe7a09f66e12b7a044a98">
  <xsd:schema xmlns:xsd="http://www.w3.org/2001/XMLSchema" xmlns:xs="http://www.w3.org/2001/XMLSchema" xmlns:p="http://schemas.microsoft.com/office/2006/metadata/properties" xmlns:ns2="4d81cd01-18d3-4d99-9da7-104aa7df8d71" xmlns:ns3="22a0b230-faea-41c6-942e-118daf6c53c7" targetNamespace="http://schemas.microsoft.com/office/2006/metadata/properties" ma:root="true" ma:fieldsID="44237ddf2954c1c60c1f83c4e8162a02" ns2:_="" ns3:_="">
    <xsd:import namespace="4d81cd01-18d3-4d99-9da7-104aa7df8d71"/>
    <xsd:import namespace="22a0b230-faea-41c6-942e-118daf6c53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1cd01-18d3-4d99-9da7-104aa7df8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0fb1f15-508e-4435-a559-3077e579f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0b230-faea-41c6-942e-118daf6c53c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16fc043-e475-4f71-8898-77370e45b749}" ma:internalName="TaxCatchAll" ma:showField="CatchAllData" ma:web="22a0b230-faea-41c6-942e-118daf6c53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F8E604-FE6A-4587-A570-6448E6574BC4}"/>
</file>

<file path=customXml/itemProps2.xml><?xml version="1.0" encoding="utf-8"?>
<ds:datastoreItem xmlns:ds="http://schemas.openxmlformats.org/officeDocument/2006/customXml" ds:itemID="{562DB651-D8A3-4512-8459-0B5B993C7658}"/>
</file>

<file path=customXml/itemProps3.xml><?xml version="1.0" encoding="utf-8"?>
<ds:datastoreItem xmlns:ds="http://schemas.openxmlformats.org/officeDocument/2006/customXml" ds:itemID="{027FD3CA-A37B-4398-8E2A-0B89519B4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Zerilda .</dc:creator>
  <cp:keywords/>
  <dc:description/>
  <cp:lastModifiedBy>Zerilda</cp:lastModifiedBy>
  <cp:revision/>
  <dcterms:created xsi:type="dcterms:W3CDTF">2019-05-25T07:40:13Z</dcterms:created>
  <dcterms:modified xsi:type="dcterms:W3CDTF">2024-06-26T10:38:22Z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0x010100C2C2A19C09597A4FB0ECB8D3006DEC5B</vt:lpwstr>
  </property>
  <property fmtid="{D5CDD505-2E9C-101B-9397-08002B2CF9AE}" pid="3" name="MediaServiceImageTags">
    <vt:lpwstr/>
  </property>
</Properties>
</file>