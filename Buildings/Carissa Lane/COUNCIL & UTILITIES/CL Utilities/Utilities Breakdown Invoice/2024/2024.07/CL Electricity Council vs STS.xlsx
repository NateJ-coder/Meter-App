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ziopro-my.sharepoint.com/personal/calla_sectionalts_co/Documents/Desktop/STS vs Council Accounts/"/>
    </mc:Choice>
  </mc:AlternateContent>
  <xr:revisionPtr revIDLastSave="1138" documentId="13_ncr:1_{36FB82E0-A0FC-4699-B457-61DF5331FBF8}" xr6:coauthVersionLast="47" xr6:coauthVersionMax="47" xr10:uidLastSave="{F3D3B603-FB23-4CCC-AFC7-1D2BD79F9AF4}"/>
  <bookViews>
    <workbookView xWindow="28680" yWindow="-120" windowWidth="29040" windowHeight="15990" firstSheet="5" activeTab="5" xr2:uid="{D87B9598-FE51-4ECF-B614-A4F3A4AF485F}"/>
  </bookViews>
  <sheets>
    <sheet name="Data" sheetId="1" r:id="rId1"/>
    <sheet name="Graph" sheetId="2" r:id="rId2"/>
    <sheet name="Cons Graph" sheetId="3" r:id="rId3"/>
    <sheet name="Rates Graph" sheetId="4" r:id="rId4"/>
    <sheet name="ComP Graph" sheetId="6" state="hidden" r:id="rId5"/>
    <sheet name="WCU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5" i="1" l="1"/>
  <c r="F614" i="1"/>
  <c r="E614" i="1"/>
  <c r="H615" i="1"/>
  <c r="G615" i="1"/>
  <c r="B615" i="1"/>
  <c r="D615" i="1" s="1"/>
  <c r="M615" i="1" s="1"/>
  <c r="H614" i="1"/>
  <c r="G614" i="1"/>
  <c r="B614" i="1"/>
  <c r="D614" i="1" s="1"/>
  <c r="N4" i="5"/>
  <c r="N5" i="5"/>
  <c r="N6" i="5"/>
  <c r="N7" i="5"/>
  <c r="N8" i="5"/>
  <c r="N9" i="5"/>
  <c r="N10" i="5"/>
  <c r="N11" i="5"/>
  <c r="N12" i="5"/>
  <c r="N13" i="5"/>
  <c r="N14" i="5"/>
  <c r="N3" i="5"/>
  <c r="R15" i="5"/>
  <c r="Q15" i="5"/>
  <c r="M15" i="5"/>
  <c r="L15" i="5"/>
  <c r="E606" i="1"/>
  <c r="F606" i="1"/>
  <c r="E607" i="1"/>
  <c r="H607" i="1"/>
  <c r="G607" i="1"/>
  <c r="F598" i="1"/>
  <c r="B607" i="1"/>
  <c r="D607" i="1" s="1"/>
  <c r="M607" i="1" s="1"/>
  <c r="H606" i="1"/>
  <c r="G606" i="1"/>
  <c r="B606" i="1"/>
  <c r="D606" i="1" s="1"/>
  <c r="B19" i="6"/>
  <c r="C5" i="6"/>
  <c r="C6" i="6"/>
  <c r="C7" i="6"/>
  <c r="C8" i="6"/>
  <c r="C10" i="6"/>
  <c r="C11" i="6"/>
  <c r="C12" i="6"/>
  <c r="C13" i="6"/>
  <c r="C14" i="6"/>
  <c r="C15" i="6"/>
  <c r="C16" i="6"/>
  <c r="C17" i="6"/>
  <c r="C9" i="6"/>
  <c r="S15" i="5"/>
  <c r="O15" i="5"/>
  <c r="E599" i="1"/>
  <c r="E598" i="1"/>
  <c r="B599" i="1"/>
  <c r="B598" i="1"/>
  <c r="H599" i="1"/>
  <c r="G599" i="1"/>
  <c r="D599" i="1"/>
  <c r="M599" i="1" s="1"/>
  <c r="H598" i="1"/>
  <c r="G598" i="1"/>
  <c r="D598" i="1"/>
  <c r="AI15" i="2"/>
  <c r="AH15" i="2"/>
  <c r="AJ15" i="2" s="1"/>
  <c r="E591" i="1"/>
  <c r="B591" i="1"/>
  <c r="F590" i="1"/>
  <c r="E590" i="1"/>
  <c r="B590" i="1"/>
  <c r="H591" i="1"/>
  <c r="G591" i="1"/>
  <c r="D591" i="1"/>
  <c r="M591" i="1" s="1"/>
  <c r="H590" i="1"/>
  <c r="G590" i="1"/>
  <c r="D590" i="1"/>
  <c r="F581" i="1"/>
  <c r="E581" i="1"/>
  <c r="D618" i="1" l="1"/>
  <c r="M614" i="1"/>
  <c r="E616" i="1"/>
  <c r="K614" i="1"/>
  <c r="E617" i="1"/>
  <c r="K615" i="1"/>
  <c r="D610" i="1"/>
  <c r="M606" i="1"/>
  <c r="E608" i="1"/>
  <c r="K606" i="1"/>
  <c r="E609" i="1"/>
  <c r="K607" i="1"/>
  <c r="C19" i="6"/>
  <c r="D602" i="1"/>
  <c r="M598" i="1"/>
  <c r="E600" i="1"/>
  <c r="K598" i="1"/>
  <c r="E601" i="1"/>
  <c r="K599" i="1"/>
  <c r="D594" i="1"/>
  <c r="M590" i="1"/>
  <c r="E592" i="1"/>
  <c r="K590" i="1"/>
  <c r="E593" i="1"/>
  <c r="K591" i="1"/>
  <c r="E582" i="1"/>
  <c r="H582" i="1"/>
  <c r="G582" i="1"/>
  <c r="B582" i="1"/>
  <c r="D582" i="1" s="1"/>
  <c r="H581" i="1"/>
  <c r="G581" i="1"/>
  <c r="E583" i="1"/>
  <c r="B581" i="1"/>
  <c r="D581" i="1" s="1"/>
  <c r="F573" i="1"/>
  <c r="F565" i="1"/>
  <c r="E573" i="1"/>
  <c r="E574" i="1"/>
  <c r="B573" i="1"/>
  <c r="E618" i="1" l="1"/>
  <c r="E610" i="1"/>
  <c r="E602" i="1"/>
  <c r="E594" i="1"/>
  <c r="K581" i="1"/>
  <c r="E584" i="1"/>
  <c r="E585" i="1" s="1"/>
  <c r="M582" i="1"/>
  <c r="K582" i="1"/>
  <c r="D585" i="1"/>
  <c r="M581" i="1"/>
  <c r="H574" i="1"/>
  <c r="G574" i="1"/>
  <c r="B574" i="1"/>
  <c r="D574" i="1" s="1"/>
  <c r="M574" i="1" s="1"/>
  <c r="H573" i="1"/>
  <c r="G573" i="1"/>
  <c r="D573" i="1"/>
  <c r="E565" i="1"/>
  <c r="E566" i="1"/>
  <c r="H566" i="1"/>
  <c r="G566" i="1"/>
  <c r="B566" i="1"/>
  <c r="D566" i="1" s="1"/>
  <c r="M566" i="1" s="1"/>
  <c r="H565" i="1"/>
  <c r="G565" i="1"/>
  <c r="B565" i="1"/>
  <c r="D565" i="1" s="1"/>
  <c r="E558" i="1"/>
  <c r="F557" i="1"/>
  <c r="E557" i="1"/>
  <c r="B558" i="1"/>
  <c r="H558" i="1"/>
  <c r="G558" i="1"/>
  <c r="D558" i="1"/>
  <c r="M558" i="1" s="1"/>
  <c r="H557" i="1"/>
  <c r="G557" i="1"/>
  <c r="B557" i="1"/>
  <c r="D557" i="1" s="1"/>
  <c r="E550" i="1"/>
  <c r="F549" i="1"/>
  <c r="E549" i="1"/>
  <c r="H550" i="1"/>
  <c r="G550" i="1"/>
  <c r="B550" i="1"/>
  <c r="D550" i="1" s="1"/>
  <c r="M550" i="1" s="1"/>
  <c r="H549" i="1"/>
  <c r="G549" i="1"/>
  <c r="B549" i="1"/>
  <c r="D549" i="1" s="1"/>
  <c r="F541" i="1"/>
  <c r="E541" i="1"/>
  <c r="E542" i="1"/>
  <c r="H542" i="1"/>
  <c r="G542" i="1"/>
  <c r="B542" i="1"/>
  <c r="D542" i="1" s="1"/>
  <c r="M542" i="1" s="1"/>
  <c r="H541" i="1"/>
  <c r="G541" i="1"/>
  <c r="B541" i="1"/>
  <c r="D541" i="1" s="1"/>
  <c r="K534" i="1"/>
  <c r="F533" i="1"/>
  <c r="E533" i="1"/>
  <c r="E534" i="1"/>
  <c r="H534" i="1"/>
  <c r="G534" i="1"/>
  <c r="B534" i="1"/>
  <c r="D534" i="1" s="1"/>
  <c r="M534" i="1" s="1"/>
  <c r="H533" i="1"/>
  <c r="G533" i="1"/>
  <c r="B533" i="1"/>
  <c r="D533" i="1" s="1"/>
  <c r="H526" i="1"/>
  <c r="G526" i="1"/>
  <c r="E526" i="1"/>
  <c r="H525" i="1"/>
  <c r="G525" i="1"/>
  <c r="F525" i="1"/>
  <c r="E525" i="1"/>
  <c r="B526" i="1"/>
  <c r="D526" i="1" s="1"/>
  <c r="M526" i="1" s="1"/>
  <c r="B525" i="1"/>
  <c r="D525" i="1" s="1"/>
  <c r="F517" i="1"/>
  <c r="E517" i="1"/>
  <c r="E518" i="1"/>
  <c r="H518" i="1"/>
  <c r="G518" i="1"/>
  <c r="B518" i="1"/>
  <c r="D518" i="1" s="1"/>
  <c r="M518" i="1" s="1"/>
  <c r="H517" i="1"/>
  <c r="G517" i="1"/>
  <c r="B517" i="1"/>
  <c r="D517" i="1" s="1"/>
  <c r="E510" i="1"/>
  <c r="F509" i="1"/>
  <c r="E509" i="1"/>
  <c r="H510" i="1"/>
  <c r="G510" i="1"/>
  <c r="B510" i="1"/>
  <c r="D510" i="1" s="1"/>
  <c r="M510" i="1" s="1"/>
  <c r="H509" i="1"/>
  <c r="G509" i="1"/>
  <c r="B509" i="1"/>
  <c r="D509" i="1" s="1"/>
  <c r="E502" i="1"/>
  <c r="F501" i="1"/>
  <c r="E501" i="1"/>
  <c r="H502" i="1"/>
  <c r="G502" i="1"/>
  <c r="B502" i="1"/>
  <c r="D502" i="1" s="1"/>
  <c r="M502" i="1" s="1"/>
  <c r="H501" i="1"/>
  <c r="G501" i="1"/>
  <c r="B501" i="1"/>
  <c r="D501" i="1" s="1"/>
  <c r="E494" i="1"/>
  <c r="F493" i="1"/>
  <c r="E493" i="1"/>
  <c r="D493" i="1"/>
  <c r="G493" i="1"/>
  <c r="H493" i="1"/>
  <c r="K493" i="1"/>
  <c r="M493" i="1"/>
  <c r="D494" i="1"/>
  <c r="G494" i="1"/>
  <c r="H494" i="1"/>
  <c r="K494" i="1"/>
  <c r="M494" i="1"/>
  <c r="E495" i="1"/>
  <c r="E496" i="1"/>
  <c r="D497" i="1"/>
  <c r="E497" i="1"/>
  <c r="B494" i="1"/>
  <c r="B493" i="1"/>
  <c r="AE15" i="2"/>
  <c r="AD15" i="2"/>
  <c r="E486" i="1"/>
  <c r="F485" i="1"/>
  <c r="E485" i="1"/>
  <c r="H486" i="1"/>
  <c r="G486" i="1"/>
  <c r="B486" i="1"/>
  <c r="D486" i="1" s="1"/>
  <c r="M486" i="1" s="1"/>
  <c r="H485" i="1"/>
  <c r="G485" i="1"/>
  <c r="B485" i="1"/>
  <c r="D485" i="1" s="1"/>
  <c r="E478" i="1"/>
  <c r="F477" i="1"/>
  <c r="E477" i="1"/>
  <c r="H478" i="1"/>
  <c r="G478" i="1"/>
  <c r="B478" i="1"/>
  <c r="D478" i="1" s="1"/>
  <c r="M478" i="1" s="1"/>
  <c r="H477" i="1"/>
  <c r="G477" i="1"/>
  <c r="B477" i="1"/>
  <c r="D477" i="1" s="1"/>
  <c r="E470" i="1"/>
  <c r="F469" i="1"/>
  <c r="E469" i="1"/>
  <c r="H470" i="1"/>
  <c r="G470" i="1"/>
  <c r="B470" i="1"/>
  <c r="D470" i="1" s="1"/>
  <c r="M470" i="1" s="1"/>
  <c r="H469" i="1"/>
  <c r="G469" i="1"/>
  <c r="B469" i="1"/>
  <c r="D469" i="1" s="1"/>
  <c r="M461" i="1"/>
  <c r="M462" i="1"/>
  <c r="E462" i="1"/>
  <c r="F461" i="1"/>
  <c r="E461" i="1"/>
  <c r="H462" i="1"/>
  <c r="G462" i="1"/>
  <c r="B462" i="1"/>
  <c r="D462" i="1" s="1"/>
  <c r="H461" i="1"/>
  <c r="G461" i="1"/>
  <c r="B461" i="1"/>
  <c r="D461" i="1" s="1"/>
  <c r="E454" i="1"/>
  <c r="F453" i="1"/>
  <c r="E453" i="1"/>
  <c r="H454" i="1"/>
  <c r="G454" i="1"/>
  <c r="B454" i="1"/>
  <c r="D454" i="1" s="1"/>
  <c r="M454" i="1" s="1"/>
  <c r="H453" i="1"/>
  <c r="G453" i="1"/>
  <c r="B453" i="1"/>
  <c r="D453" i="1" s="1"/>
  <c r="E446" i="1"/>
  <c r="H445" i="1"/>
  <c r="E445" i="1"/>
  <c r="H446" i="1"/>
  <c r="G446" i="1"/>
  <c r="B446" i="1"/>
  <c r="D446" i="1" s="1"/>
  <c r="M446" i="1" s="1"/>
  <c r="G445" i="1"/>
  <c r="B445" i="1"/>
  <c r="D445" i="1" s="1"/>
  <c r="H438" i="1"/>
  <c r="E438" i="1"/>
  <c r="E437" i="1"/>
  <c r="G438" i="1"/>
  <c r="B438" i="1"/>
  <c r="D438" i="1" s="1"/>
  <c r="M438" i="1" s="1"/>
  <c r="H437" i="1"/>
  <c r="G437" i="1"/>
  <c r="B437" i="1"/>
  <c r="D437" i="1" s="1"/>
  <c r="K430" i="1"/>
  <c r="H430" i="1"/>
  <c r="G430" i="1"/>
  <c r="E430" i="1"/>
  <c r="H429" i="1"/>
  <c r="G429" i="1"/>
  <c r="F429" i="1"/>
  <c r="E429" i="1"/>
  <c r="B430" i="1"/>
  <c r="D430" i="1" s="1"/>
  <c r="M430" i="1" s="1"/>
  <c r="B429" i="1"/>
  <c r="D429" i="1" s="1"/>
  <c r="F413" i="1"/>
  <c r="E413" i="1"/>
  <c r="E422" i="1"/>
  <c r="F421" i="1"/>
  <c r="E421" i="1"/>
  <c r="H422" i="1"/>
  <c r="G422" i="1"/>
  <c r="B422" i="1"/>
  <c r="D422" i="1" s="1"/>
  <c r="M422" i="1" s="1"/>
  <c r="H421" i="1"/>
  <c r="G421" i="1"/>
  <c r="E423" i="1" s="1"/>
  <c r="B421" i="1"/>
  <c r="D421" i="1" s="1"/>
  <c r="E414" i="1"/>
  <c r="H414" i="1"/>
  <c r="G414" i="1"/>
  <c r="B414" i="1"/>
  <c r="D414" i="1" s="1"/>
  <c r="M414" i="1" s="1"/>
  <c r="H413" i="1"/>
  <c r="G413" i="1"/>
  <c r="B413" i="1"/>
  <c r="D413" i="1" s="1"/>
  <c r="E406" i="1"/>
  <c r="E405" i="1"/>
  <c r="F405" i="1"/>
  <c r="H406" i="1"/>
  <c r="G406" i="1"/>
  <c r="B406" i="1"/>
  <c r="D406" i="1" s="1"/>
  <c r="M406" i="1" s="1"/>
  <c r="H405" i="1"/>
  <c r="G405" i="1"/>
  <c r="B405" i="1"/>
  <c r="D405" i="1" s="1"/>
  <c r="AA15" i="2"/>
  <c r="Z15" i="2"/>
  <c r="W15" i="2"/>
  <c r="V15" i="2"/>
  <c r="S15" i="2"/>
  <c r="R15" i="2"/>
  <c r="E398" i="1"/>
  <c r="F397" i="1"/>
  <c r="H398" i="1"/>
  <c r="G398" i="1"/>
  <c r="B398" i="1"/>
  <c r="D398" i="1" s="1"/>
  <c r="M398" i="1" s="1"/>
  <c r="H397" i="1"/>
  <c r="G397" i="1"/>
  <c r="B397" i="1"/>
  <c r="D397" i="1" s="1"/>
  <c r="K390" i="1"/>
  <c r="E390" i="1"/>
  <c r="K389" i="1"/>
  <c r="F389" i="1"/>
  <c r="H390" i="1"/>
  <c r="G390" i="1"/>
  <c r="B390" i="1"/>
  <c r="D390" i="1" s="1"/>
  <c r="H389" i="1"/>
  <c r="G389" i="1"/>
  <c r="B389" i="1"/>
  <c r="D389" i="1" s="1"/>
  <c r="E382" i="1"/>
  <c r="F381" i="1"/>
  <c r="H382" i="1"/>
  <c r="G382" i="1"/>
  <c r="E384" i="1" s="1"/>
  <c r="B382" i="1"/>
  <c r="D382" i="1" s="1"/>
  <c r="H381" i="1"/>
  <c r="G381" i="1"/>
  <c r="B381" i="1"/>
  <c r="D381" i="1" s="1"/>
  <c r="K381" i="1" s="1"/>
  <c r="E374" i="1"/>
  <c r="F373" i="1"/>
  <c r="H374" i="1"/>
  <c r="G374" i="1"/>
  <c r="B374" i="1"/>
  <c r="D374" i="1" s="1"/>
  <c r="H373" i="1"/>
  <c r="G373" i="1"/>
  <c r="B373" i="1"/>
  <c r="D373" i="1" s="1"/>
  <c r="E366" i="1"/>
  <c r="F365" i="1"/>
  <c r="H366" i="1"/>
  <c r="G366" i="1"/>
  <c r="B366" i="1"/>
  <c r="D366" i="1" s="1"/>
  <c r="H365" i="1"/>
  <c r="G365" i="1"/>
  <c r="B365" i="1"/>
  <c r="D365" i="1" s="1"/>
  <c r="E358" i="1"/>
  <c r="F357" i="1"/>
  <c r="H358" i="1"/>
  <c r="G358" i="1"/>
  <c r="B358" i="1"/>
  <c r="D358" i="1" s="1"/>
  <c r="M358" i="1" s="1"/>
  <c r="H357" i="1"/>
  <c r="G357" i="1"/>
  <c r="E359" i="1"/>
  <c r="B357" i="1"/>
  <c r="D357" i="1" s="1"/>
  <c r="E350" i="1"/>
  <c r="F349" i="1"/>
  <c r="H350" i="1"/>
  <c r="G350" i="1"/>
  <c r="E352" i="1" s="1"/>
  <c r="B350" i="1"/>
  <c r="D350" i="1" s="1"/>
  <c r="K350" i="1" s="1"/>
  <c r="H349" i="1"/>
  <c r="G349" i="1"/>
  <c r="E351" i="1" s="1"/>
  <c r="B349" i="1"/>
  <c r="D349" i="1" s="1"/>
  <c r="K349" i="1" s="1"/>
  <c r="E343" i="1"/>
  <c r="H341" i="1"/>
  <c r="G341" i="1"/>
  <c r="H342" i="1"/>
  <c r="G342" i="1"/>
  <c r="B342" i="1"/>
  <c r="D342" i="1" s="1"/>
  <c r="M342" i="1" s="1"/>
  <c r="B341" i="1"/>
  <c r="D341" i="1" s="1"/>
  <c r="K341" i="1" s="1"/>
  <c r="H334" i="1"/>
  <c r="G334" i="1"/>
  <c r="E334" i="1"/>
  <c r="F333" i="1"/>
  <c r="K573" i="1" l="1"/>
  <c r="M573" i="1"/>
  <c r="AF15" i="2"/>
  <c r="D577" i="1"/>
  <c r="E575" i="1"/>
  <c r="E576" i="1"/>
  <c r="K574" i="1"/>
  <c r="D569" i="1"/>
  <c r="M565" i="1"/>
  <c r="E567" i="1"/>
  <c r="K565" i="1"/>
  <c r="E568" i="1"/>
  <c r="K566" i="1"/>
  <c r="D561" i="1"/>
  <c r="M557" i="1"/>
  <c r="E559" i="1"/>
  <c r="K557" i="1"/>
  <c r="E560" i="1"/>
  <c r="K558" i="1"/>
  <c r="D553" i="1"/>
  <c r="M549" i="1"/>
  <c r="E551" i="1"/>
  <c r="K549" i="1"/>
  <c r="E552" i="1"/>
  <c r="K550" i="1"/>
  <c r="D545" i="1"/>
  <c r="M541" i="1"/>
  <c r="E543" i="1"/>
  <c r="K541" i="1"/>
  <c r="E544" i="1"/>
  <c r="K542" i="1"/>
  <c r="D537" i="1"/>
  <c r="M533" i="1"/>
  <c r="E535" i="1"/>
  <c r="K533" i="1"/>
  <c r="E536" i="1"/>
  <c r="D529" i="1"/>
  <c r="M525" i="1"/>
  <c r="E527" i="1"/>
  <c r="K525" i="1"/>
  <c r="E528" i="1"/>
  <c r="K526" i="1"/>
  <c r="D521" i="1"/>
  <c r="M517" i="1"/>
  <c r="E519" i="1"/>
  <c r="K517" i="1"/>
  <c r="E520" i="1"/>
  <c r="K518" i="1"/>
  <c r="D513" i="1"/>
  <c r="M509" i="1"/>
  <c r="E511" i="1"/>
  <c r="K509" i="1"/>
  <c r="E512" i="1"/>
  <c r="K510" i="1"/>
  <c r="D505" i="1"/>
  <c r="M501" i="1"/>
  <c r="E503" i="1"/>
  <c r="K501" i="1"/>
  <c r="E504" i="1"/>
  <c r="K502" i="1"/>
  <c r="D489" i="1"/>
  <c r="M485" i="1"/>
  <c r="E487" i="1"/>
  <c r="K485" i="1"/>
  <c r="E488" i="1"/>
  <c r="K486" i="1"/>
  <c r="D481" i="1"/>
  <c r="M477" i="1"/>
  <c r="E479" i="1"/>
  <c r="K477" i="1"/>
  <c r="E480" i="1"/>
  <c r="K478" i="1"/>
  <c r="D473" i="1"/>
  <c r="M469" i="1"/>
  <c r="E471" i="1"/>
  <c r="K469" i="1"/>
  <c r="E472" i="1"/>
  <c r="K470" i="1"/>
  <c r="D465" i="1"/>
  <c r="E463" i="1"/>
  <c r="K461" i="1"/>
  <c r="E464" i="1"/>
  <c r="K462" i="1"/>
  <c r="D457" i="1"/>
  <c r="M453" i="1"/>
  <c r="E455" i="1"/>
  <c r="K453" i="1"/>
  <c r="E456" i="1"/>
  <c r="K454" i="1"/>
  <c r="D449" i="1"/>
  <c r="M445" i="1"/>
  <c r="E447" i="1"/>
  <c r="K445" i="1"/>
  <c r="E448" i="1"/>
  <c r="K446" i="1"/>
  <c r="D441" i="1"/>
  <c r="M437" i="1"/>
  <c r="E439" i="1"/>
  <c r="K437" i="1"/>
  <c r="E440" i="1"/>
  <c r="K438" i="1"/>
  <c r="D433" i="1"/>
  <c r="M429" i="1"/>
  <c r="E431" i="1"/>
  <c r="K429" i="1"/>
  <c r="E432" i="1"/>
  <c r="D425" i="1"/>
  <c r="M421" i="1"/>
  <c r="K421" i="1"/>
  <c r="E424" i="1"/>
  <c r="E425" i="1" s="1"/>
  <c r="K422" i="1"/>
  <c r="D417" i="1"/>
  <c r="M413" i="1"/>
  <c r="E415" i="1"/>
  <c r="K413" i="1"/>
  <c r="E416" i="1"/>
  <c r="K414" i="1"/>
  <c r="D409" i="1"/>
  <c r="M405" i="1"/>
  <c r="E407" i="1"/>
  <c r="K405" i="1"/>
  <c r="E408" i="1"/>
  <c r="K406" i="1"/>
  <c r="D401" i="1"/>
  <c r="M397" i="1"/>
  <c r="E399" i="1"/>
  <c r="K397" i="1"/>
  <c r="E400" i="1"/>
  <c r="K398" i="1"/>
  <c r="AB15" i="2"/>
  <c r="E392" i="1"/>
  <c r="D361" i="1"/>
  <c r="K357" i="1"/>
  <c r="K342" i="1"/>
  <c r="D393" i="1"/>
  <c r="M389" i="1"/>
  <c r="M390" i="1"/>
  <c r="E391" i="1"/>
  <c r="E393" i="1" s="1"/>
  <c r="M381" i="1"/>
  <c r="D385" i="1"/>
  <c r="M382" i="1"/>
  <c r="K382" i="1"/>
  <c r="E383" i="1"/>
  <c r="E385" i="1" s="1"/>
  <c r="E376" i="1"/>
  <c r="D377" i="1"/>
  <c r="M373" i="1"/>
  <c r="M374" i="1"/>
  <c r="K374" i="1"/>
  <c r="K373" i="1"/>
  <c r="E375" i="1"/>
  <c r="E368" i="1"/>
  <c r="K365" i="1"/>
  <c r="M365" i="1"/>
  <c r="D369" i="1"/>
  <c r="M366" i="1"/>
  <c r="K366" i="1"/>
  <c r="E367" i="1"/>
  <c r="E369" i="1" s="1"/>
  <c r="K358" i="1"/>
  <c r="M357" i="1"/>
  <c r="E360" i="1"/>
  <c r="E361" i="1" s="1"/>
  <c r="E353" i="1"/>
  <c r="D353" i="1"/>
  <c r="M349" i="1"/>
  <c r="M350" i="1"/>
  <c r="D345" i="1"/>
  <c r="M341" i="1"/>
  <c r="E344" i="1"/>
  <c r="E345" i="1" s="1"/>
  <c r="E336" i="1"/>
  <c r="E335" i="1"/>
  <c r="B334" i="1"/>
  <c r="D334" i="1" s="1"/>
  <c r="B333" i="1"/>
  <c r="D333" i="1" s="1"/>
  <c r="E577" i="1" l="1"/>
  <c r="E569" i="1"/>
  <c r="E561" i="1"/>
  <c r="E553" i="1"/>
  <c r="E545" i="1"/>
  <c r="E537" i="1"/>
  <c r="E529" i="1"/>
  <c r="E521" i="1"/>
  <c r="E513" i="1"/>
  <c r="E505" i="1"/>
  <c r="E489" i="1"/>
  <c r="E481" i="1"/>
  <c r="E473" i="1"/>
  <c r="E465" i="1"/>
  <c r="E457" i="1"/>
  <c r="E449" i="1"/>
  <c r="E441" i="1"/>
  <c r="E433" i="1"/>
  <c r="E417" i="1"/>
  <c r="E409" i="1"/>
  <c r="E401" i="1"/>
  <c r="E377" i="1"/>
  <c r="E337" i="1"/>
  <c r="D337" i="1"/>
  <c r="M333" i="1"/>
  <c r="K333" i="1"/>
  <c r="M334" i="1"/>
  <c r="K334" i="1"/>
  <c r="E326" i="1"/>
  <c r="E327" i="1" l="1"/>
  <c r="H326" i="1"/>
  <c r="G326" i="1"/>
  <c r="E328" i="1" s="1"/>
  <c r="B326" i="1"/>
  <c r="D326" i="1" s="1"/>
  <c r="K326" i="1" s="1"/>
  <c r="B325" i="1"/>
  <c r="D325" i="1" s="1"/>
  <c r="E318" i="1"/>
  <c r="K325" i="1" l="1"/>
  <c r="D329" i="1"/>
  <c r="M325" i="1"/>
  <c r="M326" i="1"/>
  <c r="E329" i="1"/>
  <c r="E319" i="1"/>
  <c r="H318" i="1"/>
  <c r="G318" i="1"/>
  <c r="E320" i="1" s="1"/>
  <c r="B318" i="1"/>
  <c r="D318" i="1" s="1"/>
  <c r="B317" i="1"/>
  <c r="D317" i="1" s="1"/>
  <c r="E310" i="1"/>
  <c r="K317" i="1" l="1"/>
  <c r="M317" i="1"/>
  <c r="D321" i="1"/>
  <c r="M318" i="1"/>
  <c r="K318" i="1"/>
  <c r="E321" i="1"/>
  <c r="E311" i="1" l="1"/>
  <c r="H310" i="1"/>
  <c r="G310" i="1"/>
  <c r="E312" i="1" s="1"/>
  <c r="B310" i="1"/>
  <c r="D310" i="1" s="1"/>
  <c r="M310" i="1" s="1"/>
  <c r="B309" i="1"/>
  <c r="D309" i="1" s="1"/>
  <c r="K310" i="1" l="1"/>
  <c r="K309" i="1"/>
  <c r="D313" i="1"/>
  <c r="M309" i="1"/>
  <c r="E313" i="1"/>
  <c r="E302" i="1" l="1"/>
  <c r="E303" i="1"/>
  <c r="H302" i="1"/>
  <c r="G302" i="1"/>
  <c r="B302" i="1"/>
  <c r="D302" i="1" s="1"/>
  <c r="M302" i="1" s="1"/>
  <c r="B301" i="1"/>
  <c r="D301" i="1" s="1"/>
  <c r="E294" i="1"/>
  <c r="X15" i="2" l="1"/>
  <c r="K301" i="1"/>
  <c r="M301" i="1"/>
  <c r="D305" i="1"/>
  <c r="K302" i="1"/>
  <c r="E304" i="1"/>
  <c r="E305" i="1" s="1"/>
  <c r="E295" i="1" l="1"/>
  <c r="H294" i="1"/>
  <c r="E296" i="1" s="1"/>
  <c r="G294" i="1"/>
  <c r="B294" i="1"/>
  <c r="D294" i="1" s="1"/>
  <c r="B293" i="1"/>
  <c r="D293" i="1" s="1"/>
  <c r="E286" i="1"/>
  <c r="E297" i="1" l="1"/>
  <c r="M293" i="1"/>
  <c r="K293" i="1"/>
  <c r="D297" i="1"/>
  <c r="M294" i="1"/>
  <c r="K294" i="1"/>
  <c r="E287" i="1"/>
  <c r="H286" i="1"/>
  <c r="E288" i="1" s="1"/>
  <c r="G286" i="1"/>
  <c r="B286" i="1"/>
  <c r="D286" i="1" s="1"/>
  <c r="B285" i="1"/>
  <c r="D285" i="1" s="1"/>
  <c r="K278" i="1"/>
  <c r="E278" i="1"/>
  <c r="E279" i="1"/>
  <c r="H278" i="1"/>
  <c r="G278" i="1"/>
  <c r="E280" i="1" s="1"/>
  <c r="B278" i="1"/>
  <c r="D278" i="1" s="1"/>
  <c r="M278" i="1" s="1"/>
  <c r="B277" i="1"/>
  <c r="D277" i="1" s="1"/>
  <c r="K277" i="1" s="1"/>
  <c r="E289" i="1" l="1"/>
  <c r="M285" i="1"/>
  <c r="K285" i="1"/>
  <c r="D289" i="1"/>
  <c r="M286" i="1"/>
  <c r="K286" i="1"/>
  <c r="D281" i="1"/>
  <c r="M277" i="1"/>
  <c r="E281" i="1"/>
  <c r="H270" i="1"/>
  <c r="E272" i="1"/>
  <c r="E270" i="1"/>
  <c r="B270" i="1"/>
  <c r="E271" i="1"/>
  <c r="G270" i="1"/>
  <c r="D270" i="1"/>
  <c r="B269" i="1"/>
  <c r="D269" i="1" s="1"/>
  <c r="E273" i="1" l="1"/>
  <c r="K270" i="1"/>
  <c r="D273" i="1"/>
  <c r="M270" i="1"/>
  <c r="K269" i="1"/>
  <c r="M269" i="1"/>
  <c r="E262" i="1"/>
  <c r="E263" i="1"/>
  <c r="H262" i="1"/>
  <c r="G262" i="1"/>
  <c r="D262" i="1"/>
  <c r="M262" i="1" s="1"/>
  <c r="B261" i="1"/>
  <c r="D261" i="1" s="1"/>
  <c r="K262" i="1" l="1"/>
  <c r="D265" i="1"/>
  <c r="M261" i="1"/>
  <c r="K261" i="1"/>
  <c r="E265" i="1"/>
  <c r="E256" i="1"/>
  <c r="H254" i="1"/>
  <c r="E254" i="1"/>
  <c r="E255" i="1"/>
  <c r="G254" i="1"/>
  <c r="D254" i="1"/>
  <c r="D253" i="1"/>
  <c r="B253" i="1"/>
  <c r="E257" i="1" l="1"/>
  <c r="K254" i="1"/>
  <c r="D257" i="1"/>
  <c r="M254" i="1"/>
  <c r="K253" i="1"/>
  <c r="M253" i="1"/>
  <c r="K246" i="1"/>
  <c r="H246" i="1"/>
  <c r="G246" i="1"/>
  <c r="E246" i="1"/>
  <c r="H238" i="1"/>
  <c r="G238" i="1"/>
  <c r="E238" i="1"/>
  <c r="E247" i="1"/>
  <c r="D246" i="1"/>
  <c r="M246" i="1" s="1"/>
  <c r="B245" i="1"/>
  <c r="D245" i="1" s="1"/>
  <c r="E249" i="1" l="1"/>
  <c r="K245" i="1"/>
  <c r="D249" i="1"/>
  <c r="M245" i="1"/>
  <c r="E239" i="1"/>
  <c r="E240" i="1"/>
  <c r="B238" i="1"/>
  <c r="D238" i="1" s="1"/>
  <c r="M238" i="1" s="1"/>
  <c r="B237" i="1"/>
  <c r="D237" i="1" s="1"/>
  <c r="K238" i="1" l="1"/>
  <c r="K237" i="1"/>
  <c r="E241" i="1"/>
  <c r="M237" i="1"/>
  <c r="D241" i="1"/>
  <c r="F230" i="1"/>
  <c r="E232" i="1" s="1"/>
  <c r="E230" i="1"/>
  <c r="H230" i="1"/>
  <c r="G230" i="1"/>
  <c r="B230" i="1"/>
  <c r="D230" i="1" s="1"/>
  <c r="M230" i="1" s="1"/>
  <c r="E231" i="1"/>
  <c r="B229" i="1"/>
  <c r="D229" i="1" s="1"/>
  <c r="K229" i="1" l="1"/>
  <c r="D233" i="1"/>
  <c r="M229" i="1"/>
  <c r="E233" i="1"/>
  <c r="F222" i="1"/>
  <c r="E222" i="1"/>
  <c r="F221" i="1" l="1"/>
  <c r="H222" i="1"/>
  <c r="G222" i="1"/>
  <c r="E224" i="1"/>
  <c r="B222" i="1"/>
  <c r="D222" i="1" s="1"/>
  <c r="M222" i="1" s="1"/>
  <c r="E223" i="1"/>
  <c r="B221" i="1"/>
  <c r="D221" i="1" s="1"/>
  <c r="M221" i="1" s="1"/>
  <c r="E225" i="1" l="1"/>
  <c r="D225" i="1"/>
  <c r="K221" i="1"/>
  <c r="E214" i="1"/>
  <c r="E206" i="1" l="1"/>
  <c r="B214" i="1"/>
  <c r="D214" i="1" s="1"/>
  <c r="M214" i="1" s="1"/>
  <c r="B206" i="1"/>
  <c r="F213" i="1"/>
  <c r="E215" i="1" s="1"/>
  <c r="F205" i="1"/>
  <c r="H214" i="1"/>
  <c r="G214" i="1"/>
  <c r="E216" i="1"/>
  <c r="B213" i="1"/>
  <c r="D213" i="1" s="1"/>
  <c r="K213" i="1" s="1"/>
  <c r="E207" i="1"/>
  <c r="H206" i="1"/>
  <c r="G206" i="1"/>
  <c r="E208" i="1"/>
  <c r="D206" i="1"/>
  <c r="M206" i="1" s="1"/>
  <c r="B205" i="1"/>
  <c r="D205" i="1" s="1"/>
  <c r="E209" i="1" l="1"/>
  <c r="E217" i="1"/>
  <c r="M213" i="1"/>
  <c r="D217" i="1"/>
  <c r="K205" i="1"/>
  <c r="D209" i="1"/>
  <c r="M205" i="1"/>
  <c r="E198" i="1"/>
  <c r="E200" i="1" s="1"/>
  <c r="E199" i="1"/>
  <c r="H198" i="1"/>
  <c r="G198" i="1"/>
  <c r="D198" i="1"/>
  <c r="M198" i="1" s="1"/>
  <c r="B197" i="1"/>
  <c r="D197" i="1" s="1"/>
  <c r="K197" i="1" s="1"/>
  <c r="T15" i="2" l="1"/>
  <c r="D201" i="1"/>
  <c r="E201" i="1"/>
  <c r="M197" i="1"/>
  <c r="E190" i="1"/>
  <c r="E192" i="1" s="1"/>
  <c r="H190" i="1"/>
  <c r="G190" i="1"/>
  <c r="D190" i="1"/>
  <c r="M190" i="1" s="1"/>
  <c r="E191" i="1"/>
  <c r="B189" i="1"/>
  <c r="D189" i="1" s="1"/>
  <c r="K189" i="1" l="1"/>
  <c r="D193" i="1"/>
  <c r="M189" i="1"/>
  <c r="E193" i="1"/>
  <c r="F181" i="1"/>
  <c r="E182" i="1" l="1"/>
  <c r="E183" i="1"/>
  <c r="H182" i="1"/>
  <c r="G182" i="1"/>
  <c r="E184" i="1" s="1"/>
  <c r="D182" i="1"/>
  <c r="M182" i="1" s="1"/>
  <c r="B181" i="1"/>
  <c r="D181" i="1" s="1"/>
  <c r="E185" i="1" l="1"/>
  <c r="M181" i="1"/>
  <c r="D185" i="1"/>
  <c r="K181" i="1"/>
  <c r="E174" i="1"/>
  <c r="E175" i="1"/>
  <c r="H174" i="1"/>
  <c r="G174" i="1"/>
  <c r="B174" i="1"/>
  <c r="D174" i="1" s="1"/>
  <c r="M174" i="1" s="1"/>
  <c r="E176" i="1" l="1"/>
  <c r="E177" i="1"/>
  <c r="E167" i="1"/>
  <c r="N16" i="2" l="1"/>
  <c r="O16" i="2"/>
  <c r="P16" i="2" l="1"/>
  <c r="E166" i="1"/>
  <c r="E168" i="1" s="1"/>
  <c r="M166" i="1"/>
  <c r="H166" i="1"/>
  <c r="G166" i="1"/>
  <c r="B166" i="1"/>
  <c r="B165" i="1"/>
  <c r="C165" i="1" l="1"/>
  <c r="B173" i="1" s="1"/>
  <c r="D173" i="1" s="1"/>
  <c r="E169" i="1"/>
  <c r="K125" i="1"/>
  <c r="K117" i="1"/>
  <c r="K109" i="1"/>
  <c r="K101" i="1"/>
  <c r="D177" i="1" l="1"/>
  <c r="M173" i="1"/>
  <c r="K173" i="1"/>
  <c r="D165" i="1"/>
  <c r="D105" i="1"/>
  <c r="D113" i="1"/>
  <c r="D121" i="1"/>
  <c r="D129" i="1"/>
  <c r="M150" i="1"/>
  <c r="M142" i="1"/>
  <c r="M134" i="1"/>
  <c r="M126" i="1"/>
  <c r="M125" i="1"/>
  <c r="M118" i="1"/>
  <c r="M117" i="1"/>
  <c r="M110" i="1"/>
  <c r="M109" i="1"/>
  <c r="M102" i="1"/>
  <c r="M101" i="1"/>
  <c r="K165" i="1" l="1"/>
  <c r="M165" i="1"/>
  <c r="D169" i="1"/>
  <c r="D157" i="1"/>
  <c r="D149" i="1"/>
  <c r="D141" i="1"/>
  <c r="D133" i="1"/>
  <c r="K133" i="1" l="1"/>
  <c r="D137" i="1"/>
  <c r="M133" i="1"/>
  <c r="K141" i="1"/>
  <c r="M141" i="1"/>
  <c r="D145" i="1"/>
  <c r="K149" i="1"/>
  <c r="M149" i="1"/>
  <c r="D153" i="1"/>
  <c r="K157" i="1"/>
  <c r="M157" i="1"/>
  <c r="H158" i="1"/>
  <c r="G158" i="1"/>
  <c r="E158" i="1"/>
  <c r="B158" i="1"/>
  <c r="D158" i="1" s="1"/>
  <c r="M158" i="1" s="1"/>
  <c r="B150" i="1"/>
  <c r="H150" i="1"/>
  <c r="G150" i="1"/>
  <c r="F150" i="1"/>
  <c r="E150" i="1"/>
  <c r="B142" i="1"/>
  <c r="H142" i="1"/>
  <c r="G142" i="1"/>
  <c r="F142" i="1"/>
  <c r="E142" i="1"/>
  <c r="H134" i="1"/>
  <c r="G134" i="1"/>
  <c r="E136" i="1" s="1"/>
  <c r="E137" i="1" s="1"/>
  <c r="E134" i="1"/>
  <c r="E159" i="1"/>
  <c r="E161" i="1" s="1"/>
  <c r="E151" i="1"/>
  <c r="E153" i="1" s="1"/>
  <c r="E143" i="1"/>
  <c r="E145" i="1" s="1"/>
  <c r="E127" i="1"/>
  <c r="E129" i="1" s="1"/>
  <c r="D161" i="1" l="1"/>
</calcChain>
</file>

<file path=xl/sharedStrings.xml><?xml version="1.0" encoding="utf-8"?>
<sst xmlns="http://schemas.openxmlformats.org/spreadsheetml/2006/main" count="1752" uniqueCount="177">
  <si>
    <t>Carissa Lane STS vs. Council Electricity Detailed</t>
  </si>
  <si>
    <t>Unit No</t>
  </si>
  <si>
    <t>Opening Reading</t>
  </si>
  <si>
    <t>Closing Reading</t>
  </si>
  <si>
    <t>Cons</t>
  </si>
  <si>
    <t>Elec Amount</t>
  </si>
  <si>
    <t>Demand Levy</t>
  </si>
  <si>
    <t>Service Fee</t>
  </si>
  <si>
    <t>Network Fee</t>
  </si>
  <si>
    <t>BC Bulk</t>
  </si>
  <si>
    <t>Council Bulk</t>
  </si>
  <si>
    <t>Total BC</t>
  </si>
  <si>
    <t>Total Council</t>
  </si>
  <si>
    <t>Difference</t>
  </si>
  <si>
    <t>N. Surcharge</t>
  </si>
  <si>
    <t>Estimated?</t>
  </si>
  <si>
    <t>Reading Dates</t>
  </si>
  <si>
    <t>Rates</t>
  </si>
  <si>
    <t>Days</t>
  </si>
  <si>
    <t>Kwh p/day</t>
  </si>
  <si>
    <t>Actual</t>
  </si>
  <si>
    <t>10Jan - 24Jan 2019</t>
  </si>
  <si>
    <t>1Jan - 31Jan 2019</t>
  </si>
  <si>
    <t>24Jan - 28Feb 2019</t>
  </si>
  <si>
    <t>1Feb - 28Feb 2019</t>
  </si>
  <si>
    <t>28Feb - 30Apr 2019</t>
  </si>
  <si>
    <t>1Mar - 31Mar 2019</t>
  </si>
  <si>
    <t>30Mar - 2May 2019</t>
  </si>
  <si>
    <t>1Apr - 30Apr 2019</t>
  </si>
  <si>
    <t>2May - 30May 2019</t>
  </si>
  <si>
    <t>1May - 31May 2019</t>
  </si>
  <si>
    <t>30May - 27Jun 2019</t>
  </si>
  <si>
    <t>1Jun - 30Jun 2019</t>
  </si>
  <si>
    <t>27Jun - 1Aug 2019</t>
  </si>
  <si>
    <t>1Jul - 31Jul 2019</t>
  </si>
  <si>
    <t>1Aug - 29Aug 2019</t>
  </si>
  <si>
    <t>1Aug - 31Aug 2019</t>
  </si>
  <si>
    <t>ComP</t>
  </si>
  <si>
    <t>29Aug - 26Sep 2019</t>
  </si>
  <si>
    <t>1Sep - 30Sep 2019</t>
  </si>
  <si>
    <t>26Sep - 30Oct 2019</t>
  </si>
  <si>
    <t>1Oct - 31Oct 2019</t>
  </si>
  <si>
    <t>31Oct - 29Nov2019</t>
  </si>
  <si>
    <t>Estimated</t>
  </si>
  <si>
    <t>5Nov - 3Dec2019</t>
  </si>
  <si>
    <t>29 Nov - 9Jan 2020</t>
  </si>
  <si>
    <t>4Dec - 3Jan 2020</t>
  </si>
  <si>
    <t>9Jan - 30Jan 2020</t>
  </si>
  <si>
    <t>26Jul 2019 - 31Jan 2020</t>
  </si>
  <si>
    <t>30Jan - 27Feb 2020</t>
  </si>
  <si>
    <t>1Feb - 29Feb 2020</t>
  </si>
  <si>
    <t>27Feb - 26Mar 2020</t>
  </si>
  <si>
    <t>1Mar - 2Apr 2020</t>
  </si>
  <si>
    <t>26Mar - 30Apr 2020</t>
  </si>
  <si>
    <t>3Apr - 6May 2020</t>
  </si>
  <si>
    <t>30Apr - 28May 2020</t>
  </si>
  <si>
    <t>28May - 25June 2020</t>
  </si>
  <si>
    <t>4Jun - 6Jul 2020</t>
  </si>
  <si>
    <t>25Jun - 31Jul 2020</t>
  </si>
  <si>
    <t>1Mar - 31Jul 2020</t>
  </si>
  <si>
    <t>31Jul - 27Aug 2020</t>
  </si>
  <si>
    <t>1Aug - 31Aug 2020</t>
  </si>
  <si>
    <t>27Aug - 1Oct 2020</t>
  </si>
  <si>
    <t>1Aug - 30Sept 2020</t>
  </si>
  <si>
    <t>1Oct - 29Oct 2020</t>
  </si>
  <si>
    <t>1Oct - 31Oct 2020</t>
  </si>
  <si>
    <t>29Oct - 26Nov 2020</t>
  </si>
  <si>
    <t>1Nov - 30Nov 2020</t>
  </si>
  <si>
    <t>26Nov 2020 - 7Jan 2021</t>
  </si>
  <si>
    <t>1Dec - 31Dec 2020</t>
  </si>
  <si>
    <t>7Jan - 28Jan 2021</t>
  </si>
  <si>
    <t>1Jan - 31Jan 2021</t>
  </si>
  <si>
    <t>28Jan - 25Feb 2021</t>
  </si>
  <si>
    <t>1Feb - 28Feb 2021</t>
  </si>
  <si>
    <t>25Feb - 31Mar 2021</t>
  </si>
  <si>
    <t>28Feb - 31Mar 2021</t>
  </si>
  <si>
    <t>31Mar - 29Apr 2021</t>
  </si>
  <si>
    <t>1Apr - 30Apr 2021</t>
  </si>
  <si>
    <t>29Apr - 27May 2021</t>
  </si>
  <si>
    <t>1May - 31May 2021</t>
  </si>
  <si>
    <t>27May - 1Jul 2021</t>
  </si>
  <si>
    <t>1Jun - 30Jun 2021</t>
  </si>
  <si>
    <t>1Jul - 29Jul 2021</t>
  </si>
  <si>
    <t>1Jul - 31Jul 2021</t>
  </si>
  <si>
    <t>29Jul - 2Sept 2021</t>
  </si>
  <si>
    <t>1Aug - 31Aug 2021</t>
  </si>
  <si>
    <t>2Sept - 30Sept 2021</t>
  </si>
  <si>
    <t>1Sept - 30 Sept 2021</t>
  </si>
  <si>
    <t>30Sept - 28Oct 2021</t>
  </si>
  <si>
    <t>1Oct - 31Oct 2021</t>
  </si>
  <si>
    <t>28Oct - 2Dec 2021</t>
  </si>
  <si>
    <t>1Nov - 30Nov 2021</t>
  </si>
  <si>
    <t>2Dec 2021 - 6Jan 2022</t>
  </si>
  <si>
    <t>1Dec - 31Dec 2021</t>
  </si>
  <si>
    <t>6Jan - 27Jan 2022</t>
  </si>
  <si>
    <t>1Jan - 31Jan 2022</t>
  </si>
  <si>
    <t>27Jan - 24Feb 2022</t>
  </si>
  <si>
    <t>1Feb - 28Feb 2022</t>
  </si>
  <si>
    <t>24Feb to 31Mar 2022</t>
  </si>
  <si>
    <t>1Mar - 31Mar 2022</t>
  </si>
  <si>
    <t>31Mar - 28Apr 2022</t>
  </si>
  <si>
    <t>1Apr - 30Apr 2022</t>
  </si>
  <si>
    <t>28Apr - 2Jun 2022</t>
  </si>
  <si>
    <t>1May - 31May 2022</t>
  </si>
  <si>
    <t>2Jun - 30Jun 2022</t>
  </si>
  <si>
    <t>1Jun - 30Jun 2022</t>
  </si>
  <si>
    <t>30Jun - 28Jul 2022</t>
  </si>
  <si>
    <t>1Jul - 31Jul 2022</t>
  </si>
  <si>
    <t>28Jul - 1Sept 2022</t>
  </si>
  <si>
    <t>1Aug - 31Aug 2022</t>
  </si>
  <si>
    <t>1Sept - 29Sept 2022</t>
  </si>
  <si>
    <t>1Sept - 30Sept 2022</t>
  </si>
  <si>
    <t>29Sept - 27Oct 2022</t>
  </si>
  <si>
    <t>1Oct - 31Oct 2022</t>
  </si>
  <si>
    <t>27Oct - 1Dec 2022</t>
  </si>
  <si>
    <t>1Nov - 30Nov 2022</t>
  </si>
  <si>
    <t>1Dec 2022 - 5Jan 2023</t>
  </si>
  <si>
    <t>1Dec - 31Dec 2022</t>
  </si>
  <si>
    <t>5Jan - 2Feb 2023</t>
  </si>
  <si>
    <t>1Jan - 31Jan 2023</t>
  </si>
  <si>
    <t>2Feb - 2Mar 2023</t>
  </si>
  <si>
    <t>1Feb - 28Feb 2023</t>
  </si>
  <si>
    <t>2Mar - 30Mar 2023</t>
  </si>
  <si>
    <t>1Mar - 31Mar 2023</t>
  </si>
  <si>
    <t>30Mar - 4May 2023</t>
  </si>
  <si>
    <t>1Apr - 30Apr 2023</t>
  </si>
  <si>
    <t>4May - 1Jun 2023</t>
  </si>
  <si>
    <t>1May - 31May 2023</t>
  </si>
  <si>
    <t>1Jun - 29 Jun 2023</t>
  </si>
  <si>
    <t>1Jun - 30 Jun 2023</t>
  </si>
  <si>
    <t>29Jun - 3Aug 2023</t>
  </si>
  <si>
    <t>1Jul - 31Jul 2023</t>
  </si>
  <si>
    <t>3Aug - 31Aug 2023</t>
  </si>
  <si>
    <t>1Aug - 31Aug 2023</t>
  </si>
  <si>
    <t>31Aug - 28Sept 2023</t>
  </si>
  <si>
    <t>1Sept - 30Sept 2023</t>
  </si>
  <si>
    <t>28Sept - 2Nov  2023</t>
  </si>
  <si>
    <t>1Oct - 31Oct 2023</t>
  </si>
  <si>
    <t>2Nov - 30Nov 2023</t>
  </si>
  <si>
    <t>1Nov - 30Nov 2023</t>
  </si>
  <si>
    <t>30Nov - 4Jan 2024</t>
  </si>
  <si>
    <t>1Dec - 31Dec 2023</t>
  </si>
  <si>
    <t>4Jan - 1Feb 2024</t>
  </si>
  <si>
    <t>1Jan - 31Jan 2024</t>
  </si>
  <si>
    <t>1Feb - 29Feb 2024</t>
  </si>
  <si>
    <t>29Feb - 28Feb 2024</t>
  </si>
  <si>
    <t>1Mar - 31Mar 2024</t>
  </si>
  <si>
    <t>28Mar - 2May 2024</t>
  </si>
  <si>
    <t>1Apr - 30Apr 2024</t>
  </si>
  <si>
    <t>2May - 30May 2024</t>
  </si>
  <si>
    <t>1May - 31May 2024</t>
  </si>
  <si>
    <t xml:space="preserve">Carissa Lane STS vs. Council Back Date </t>
  </si>
  <si>
    <t>Reading Month</t>
  </si>
  <si>
    <t>UUS</t>
  </si>
  <si>
    <t>Council</t>
  </si>
  <si>
    <t>Estimated / Actual</t>
  </si>
  <si>
    <t>BC</t>
  </si>
  <si>
    <t>A</t>
  </si>
  <si>
    <t>E</t>
  </si>
  <si>
    <t>BC started billing owners elec based on convensional cons</t>
  </si>
  <si>
    <t>Council Back dated / Credit</t>
  </si>
  <si>
    <t>CL Council Billing CORRECT</t>
  </si>
  <si>
    <t>Carissa Lane Elec Consumption Graphs</t>
  </si>
  <si>
    <t>TOTAL CONSUMPTION</t>
  </si>
  <si>
    <t>STS</t>
  </si>
  <si>
    <t>KWH PER DAY</t>
  </si>
  <si>
    <t>CL Rates Gaph</t>
  </si>
  <si>
    <t>COJ Rates more as CL used more than step 1</t>
  </si>
  <si>
    <t>Council Increase</t>
  </si>
  <si>
    <t>UUS Rates if fixed including Common Property</t>
  </si>
  <si>
    <t>UUS is actually charging according to step rates.</t>
  </si>
  <si>
    <t>Carrissa Lane - Common Property</t>
  </si>
  <si>
    <t>Date</t>
  </si>
  <si>
    <t>R/c</t>
  </si>
  <si>
    <t>Kwh</t>
  </si>
  <si>
    <t>Ave</t>
  </si>
  <si>
    <t>Billing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</si>
</sst>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.00"/>
    <numFmt numFmtId="167" formatCode="_-[$R-436]* #,##0.00_-;\-[$R-436]* #,##0.00_-;_-[$R-436]* &quot;-&quot;??_-;_-@_-"/>
    <numFmt numFmtId="168" formatCode="_-[$R-1C09]* #,##0.00_-;\-[$R-1C09]* #,##0.00_-;_-[$R-1C09]* &quot;-&quot;??_-;_-@_-"/>
    <numFmt numFmtId="169" formatCode="_-[$R-430]* #,##0.00_-;\-[$R-430]* #,##0.00_-;_-[$R-430]* &quot;-&quot;??_-;_-@_-"/>
    <numFmt numFmtId="170" formatCode="_-[$R-435]* #,##0.00_-;\-[$R-435]* #,##0.00_-;_-[$R-435]* &quot;-&quot;??_-;_-@_-"/>
    <numFmt numFmtId="171" formatCode="[$-409]mmm\-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17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166" fontId="1" fillId="0" borderId="1" xfId="0" applyNumberFormat="1" applyFont="1" applyBorder="1"/>
    <xf numFmtId="0" fontId="1" fillId="0" borderId="0" xfId="0" applyFont="1"/>
    <xf numFmtId="166" fontId="0" fillId="0" borderId="1" xfId="0" applyNumberFormat="1" applyBorder="1"/>
    <xf numFmtId="17" fontId="0" fillId="0" borderId="0" xfId="0" applyNumberFormat="1"/>
    <xf numFmtId="166" fontId="1" fillId="0" borderId="0" xfId="0" applyNumberFormat="1" applyFont="1"/>
    <xf numFmtId="166" fontId="0" fillId="0" borderId="0" xfId="0" applyNumberFormat="1"/>
    <xf numFmtId="164" fontId="0" fillId="0" borderId="1" xfId="0" applyNumberFormat="1" applyBorder="1"/>
    <xf numFmtId="16" fontId="0" fillId="0" borderId="1" xfId="0" applyNumberFormat="1" applyBorder="1"/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65" fontId="1" fillId="0" borderId="2" xfId="0" applyNumberFormat="1" applyFont="1" applyBorder="1"/>
    <xf numFmtId="165" fontId="0" fillId="0" borderId="0" xfId="0" applyNumberFormat="1"/>
    <xf numFmtId="165" fontId="0" fillId="0" borderId="0" xfId="1" applyFont="1"/>
    <xf numFmtId="0" fontId="6" fillId="0" borderId="0" xfId="0" applyFont="1"/>
    <xf numFmtId="17" fontId="1" fillId="2" borderId="0" xfId="0" applyNumberFormat="1" applyFont="1" applyFill="1"/>
    <xf numFmtId="15" fontId="0" fillId="0" borderId="1" xfId="0" applyNumberFormat="1" applyBorder="1"/>
    <xf numFmtId="167" fontId="0" fillId="0" borderId="0" xfId="0" applyNumberFormat="1"/>
    <xf numFmtId="0" fontId="7" fillId="0" borderId="1" xfId="0" applyFont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7" fontId="0" fillId="0" borderId="0" xfId="0" applyNumberFormat="1" applyAlignment="1">
      <alignment horizontal="left" vertical="center"/>
    </xf>
    <xf numFmtId="17" fontId="1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7" fontId="1" fillId="0" borderId="0" xfId="0" applyNumberFormat="1" applyFont="1" applyAlignment="1">
      <alignment horizontal="right"/>
    </xf>
    <xf numFmtId="0" fontId="0" fillId="0" borderId="3" xfId="0" applyBorder="1"/>
    <xf numFmtId="0" fontId="1" fillId="0" borderId="3" xfId="0" applyFont="1" applyBorder="1"/>
    <xf numFmtId="168" fontId="0" fillId="0" borderId="3" xfId="0" applyNumberFormat="1" applyBorder="1"/>
    <xf numFmtId="169" fontId="0" fillId="0" borderId="3" xfId="0" applyNumberFormat="1" applyBorder="1"/>
    <xf numFmtId="168" fontId="1" fillId="0" borderId="3" xfId="0" applyNumberFormat="1" applyFont="1" applyBorder="1"/>
    <xf numFmtId="168" fontId="0" fillId="0" borderId="0" xfId="0" applyNumberFormat="1"/>
    <xf numFmtId="170" fontId="0" fillId="0" borderId="3" xfId="0" applyNumberFormat="1" applyBorder="1"/>
    <xf numFmtId="170" fontId="1" fillId="0" borderId="3" xfId="0" applyNumberFormat="1" applyFont="1" applyBorder="1"/>
    <xf numFmtId="165" fontId="0" fillId="0" borderId="1" xfId="1" applyFont="1" applyBorder="1"/>
    <xf numFmtId="165" fontId="1" fillId="0" borderId="1" xfId="1" applyFont="1" applyBorder="1"/>
    <xf numFmtId="0" fontId="8" fillId="0" borderId="1" xfId="0" applyFont="1" applyBorder="1"/>
    <xf numFmtId="165" fontId="8" fillId="0" borderId="1" xfId="1" applyFont="1" applyBorder="1"/>
    <xf numFmtId="0" fontId="8" fillId="0" borderId="0" xfId="0" applyFont="1"/>
    <xf numFmtId="0" fontId="9" fillId="0" borderId="0" xfId="0" applyFont="1"/>
    <xf numFmtId="167" fontId="9" fillId="0" borderId="0" xfId="0" applyNumberFormat="1" applyFont="1"/>
    <xf numFmtId="2" fontId="9" fillId="0" borderId="0" xfId="0" applyNumberFormat="1" applyFont="1"/>
    <xf numFmtId="171" fontId="1" fillId="0" borderId="0" xfId="0" applyNumberFormat="1" applyFont="1"/>
    <xf numFmtId="165" fontId="0" fillId="0" borderId="0" xfId="1" applyFont="1" applyBorder="1"/>
    <xf numFmtId="0" fontId="1" fillId="0" borderId="0" xfId="0" applyFont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 Elec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Graph!$AH$2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Graph!$AG$3:$AG$14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Graph!$AH$3:$AH$14</c:f>
              <c:numCache>
                <c:formatCode>_-[$R-436]* #,##0.00_-;\-[$R-436]* #,##0.00_-;_-[$R-436]* "-"??_-;_-@_-</c:formatCode>
                <c:ptCount val="12"/>
                <c:pt idx="0">
                  <c:v>22154.151999999995</c:v>
                </c:pt>
                <c:pt idx="1">
                  <c:v>20711.890999999996</c:v>
                </c:pt>
                <c:pt idx="2">
                  <c:v>34251.048000000003</c:v>
                </c:pt>
                <c:pt idx="3">
                  <c:v>26601.512500000001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F8-41D6-9005-1FFAC8DEFA6F}"/>
            </c:ext>
          </c:extLst>
        </c:ser>
        <c:ser>
          <c:idx val="1"/>
          <c:order val="1"/>
          <c:tx>
            <c:strRef>
              <c:f>Graph!$AI$2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Graph!$AG$3:$AG$14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Graph!$AI$3:$AI$14</c:f>
              <c:numCache>
                <c:formatCode>_-[$R-436]* #,##0.00_-;\-[$R-436]* #,##0.00_-;_-[$R-436]* "-"??_-;_-@_-</c:formatCode>
                <c:ptCount val="12"/>
                <c:pt idx="0">
                  <c:v>24352.319499999998</c:v>
                </c:pt>
                <c:pt idx="1">
                  <c:v>24319.8665</c:v>
                </c:pt>
                <c:pt idx="2" formatCode="_-&quot;R&quot;* #,##0.00_-;\-&quot;R&quot;* #,##0.00_-;_-&quot;R&quot;* &quot;-&quot;??_-;_-@_-">
                  <c:v>27658.856999999996</c:v>
                </c:pt>
                <c:pt idx="3">
                  <c:v>28018.254999999997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F8-41D6-9005-1FFAC8DEF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435336"/>
        <c:axId val="286445576"/>
      </c:barChart>
      <c:dateAx>
        <c:axId val="286435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445576"/>
        <c:crosses val="autoZero"/>
        <c:auto val="1"/>
        <c:lblOffset val="100"/>
        <c:baseTimeUnit val="months"/>
      </c:dateAx>
      <c:valAx>
        <c:axId val="28644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43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BC vs Council Cons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Graph'!$AB$3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Graph'!$AA$4:$AA$15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'Cons Graph'!$AB$4:$AB$15</c:f>
              <c:numCache>
                <c:formatCode>General</c:formatCode>
                <c:ptCount val="12"/>
                <c:pt idx="0">
                  <c:v>9032</c:v>
                </c:pt>
                <c:pt idx="1">
                  <c:v>14249</c:v>
                </c:pt>
                <c:pt idx="2">
                  <c:v>10950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0E-4E29-B418-EF820A531AE5}"/>
            </c:ext>
          </c:extLst>
        </c:ser>
        <c:ser>
          <c:idx val="1"/>
          <c:order val="1"/>
          <c:tx>
            <c:strRef>
              <c:f>'Cons Graph'!$AC$3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Graph'!$AA$4:$AA$15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'Cons Graph'!$AC$4:$AC$15</c:f>
              <c:numCache>
                <c:formatCode>General</c:formatCode>
                <c:ptCount val="12"/>
                <c:pt idx="0">
                  <c:v>9980</c:v>
                </c:pt>
                <c:pt idx="1">
                  <c:v>9966</c:v>
                </c:pt>
                <c:pt idx="2">
                  <c:v>11561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0E-4E29-B418-EF820A531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57128"/>
        <c:axId val="1713484808"/>
      </c:barChart>
      <c:dateAx>
        <c:axId val="4139571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484808"/>
        <c:crosses val="autoZero"/>
        <c:auto val="1"/>
        <c:lblOffset val="100"/>
        <c:baseTimeUnit val="months"/>
      </c:dateAx>
      <c:valAx>
        <c:axId val="171348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95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KWh p/d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Graph'!$AB$24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Graph'!$AA$25:$AA$36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'Cons Graph'!$AB$25:$AB$36</c:f>
              <c:numCache>
                <c:formatCode>0</c:formatCode>
                <c:ptCount val="12"/>
                <c:pt idx="0">
                  <c:v>311.44827586206895</c:v>
                </c:pt>
                <c:pt idx="1">
                  <c:v>300.35714285714283</c:v>
                </c:pt>
                <c:pt idx="2">
                  <c:v>407.1142857142857</c:v>
                </c:pt>
                <c:pt idx="3">
                  <c:v>391.07142857142856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83-42C9-A12F-C4B71302E156}"/>
            </c:ext>
          </c:extLst>
        </c:ser>
        <c:ser>
          <c:idx val="1"/>
          <c:order val="1"/>
          <c:tx>
            <c:strRef>
              <c:f>'Cons Graph'!$AC$24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Graph'!$AA$25:$AA$36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'Cons Graph'!$AC$25:$AC$36</c:f>
              <c:numCache>
                <c:formatCode>0</c:formatCode>
                <c:ptCount val="12"/>
                <c:pt idx="0">
                  <c:v>344.13793103448273</c:v>
                </c:pt>
                <c:pt idx="1">
                  <c:v>321.48387096774195</c:v>
                </c:pt>
                <c:pt idx="2">
                  <c:v>380.2</c:v>
                </c:pt>
                <c:pt idx="3">
                  <c:v>372.93548387096774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83-42C9-A12F-C4B71302E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071432"/>
        <c:axId val="612073480"/>
      </c:barChart>
      <c:dateAx>
        <c:axId val="6120714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73480"/>
        <c:crosses val="autoZero"/>
        <c:auto val="1"/>
        <c:lblOffset val="100"/>
        <c:baseTimeUnit val="months"/>
      </c:dateAx>
      <c:valAx>
        <c:axId val="61207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71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'Rates Graph'!$AC$3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'Rates Graph'!$AB$4:$AB$15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'Rates Graph'!$AC$4:$AC$15</c:f>
              <c:numCache>
                <c:formatCode>_-[$R-436]* #,##0.00_-;\-[$R-436]* #,##0.00_-;_-[$R-436]* "-"??_-;_-@_-</c:formatCode>
                <c:ptCount val="12"/>
                <c:pt idx="0">
                  <c:v>2.3199999999999998</c:v>
                </c:pt>
                <c:pt idx="1">
                  <c:v>2.3199999999999998</c:v>
                </c:pt>
                <c:pt idx="2">
                  <c:v>2.3187451049196435</c:v>
                </c:pt>
                <c:pt idx="3">
                  <c:v>2.3187455251141555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A4-4BAA-A994-6A3D9194F8FD}"/>
            </c:ext>
          </c:extLst>
        </c:ser>
        <c:ser>
          <c:idx val="1"/>
          <c:order val="1"/>
          <c:tx>
            <c:strRef>
              <c:f>'Rates Graph'!$AD$3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'Rates Graph'!$AB$4:$AB$15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'Rates Graph'!$AD$4:$AD$15</c:f>
              <c:numCache>
                <c:formatCode>_-[$R-436]* #,##0.00_-;\-[$R-436]* #,##0.00_-;_-[$R-436]* "-"??_-;_-@_-</c:formatCode>
                <c:ptCount val="12"/>
                <c:pt idx="0">
                  <c:v>2.3199999999999998</c:v>
                </c:pt>
                <c:pt idx="1">
                  <c:v>2.3199999999999998</c:v>
                </c:pt>
                <c:pt idx="2">
                  <c:v>2.3187452218130806</c:v>
                </c:pt>
                <c:pt idx="3">
                  <c:v>2.3187445722688347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A4-4BAA-A994-6A3D9194F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415368"/>
        <c:axId val="2130761736"/>
      </c:barChart>
      <c:dateAx>
        <c:axId val="2864153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61736"/>
        <c:crosses val="autoZero"/>
        <c:auto val="1"/>
        <c:lblOffset val="100"/>
        <c:baseTimeUnit val="months"/>
      </c:dateAx>
      <c:valAx>
        <c:axId val="213076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41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 - Elec ComP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 Graph'!$B$4</c:f>
              <c:strCache>
                <c:ptCount val="1"/>
                <c:pt idx="0">
                  <c:v>R/c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'ComP Graph'!$A$5:$A$17</c:f>
              <c:numCache>
                <c:formatCode>mmm\-yy</c:formatCode>
                <c:ptCount val="13"/>
                <c:pt idx="0">
                  <c:v>44986</c:v>
                </c:pt>
                <c:pt idx="1">
                  <c:v>45017</c:v>
                </c:pt>
                <c:pt idx="2">
                  <c:v>45047</c:v>
                </c:pt>
                <c:pt idx="3">
                  <c:v>45078</c:v>
                </c:pt>
                <c:pt idx="4">
                  <c:v>45108</c:v>
                </c:pt>
                <c:pt idx="5">
                  <c:v>45139</c:v>
                </c:pt>
                <c:pt idx="6">
                  <c:v>45170</c:v>
                </c:pt>
                <c:pt idx="7">
                  <c:v>45200</c:v>
                </c:pt>
                <c:pt idx="8">
                  <c:v>45231</c:v>
                </c:pt>
                <c:pt idx="9">
                  <c:v>45261</c:v>
                </c:pt>
                <c:pt idx="10">
                  <c:v>45292</c:v>
                </c:pt>
                <c:pt idx="11">
                  <c:v>45323</c:v>
                </c:pt>
                <c:pt idx="12">
                  <c:v>45352</c:v>
                </c:pt>
              </c:numCache>
            </c:numRef>
          </c:cat>
          <c:val>
            <c:numRef>
              <c:f>'ComP Graph'!$B$5:$B$17</c:f>
              <c:numCache>
                <c:formatCode>_-[$R-436]* #,##0.00_-;\-[$R-436]* #,##0.00_-;_-[$R-436]* "-"??_-;_-@_-</c:formatCode>
                <c:ptCount val="13"/>
                <c:pt idx="0">
                  <c:v>1514.8145</c:v>
                </c:pt>
                <c:pt idx="1">
                  <c:v>1825.4870000000001</c:v>
                </c:pt>
                <c:pt idx="2">
                  <c:v>1831.2370000000001</c:v>
                </c:pt>
                <c:pt idx="3">
                  <c:v>1987.3609999999999</c:v>
                </c:pt>
                <c:pt idx="4">
                  <c:v>2385.0539999999996</c:v>
                </c:pt>
                <c:pt idx="5">
                  <c:v>2096.6224999999999</c:v>
                </c:pt>
                <c:pt idx="6">
                  <c:v>1977.655</c:v>
                </c:pt>
                <c:pt idx="7">
                  <c:v>2441.8180000000002</c:v>
                </c:pt>
                <c:pt idx="8">
                  <c:v>1962.7049999999999</c:v>
                </c:pt>
                <c:pt idx="9">
                  <c:v>2101.2224999999999</c:v>
                </c:pt>
                <c:pt idx="10">
                  <c:v>2331.8319999999999</c:v>
                </c:pt>
                <c:pt idx="11">
                  <c:v>2027.7949999999998</c:v>
                </c:pt>
                <c:pt idx="12">
                  <c:v>347.84050000000002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4-4651-AE4F-3F8759EBB485}"/>
            </c:ext>
          </c:extLst>
        </c:ser>
        <c:ser>
          <c:idx val="1"/>
          <c:order val="1"/>
          <c:tx>
            <c:strRef>
              <c:f>'ComP Graph'!$C$4</c:f>
              <c:strCache>
                <c:ptCount val="1"/>
                <c:pt idx="0">
                  <c:v>Kwh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'ComP Graph'!$A$5:$A$17</c:f>
              <c:numCache>
                <c:formatCode>mmm\-yy</c:formatCode>
                <c:ptCount val="13"/>
                <c:pt idx="0">
                  <c:v>44986</c:v>
                </c:pt>
                <c:pt idx="1">
                  <c:v>45017</c:v>
                </c:pt>
                <c:pt idx="2">
                  <c:v>45047</c:v>
                </c:pt>
                <c:pt idx="3">
                  <c:v>45078</c:v>
                </c:pt>
                <c:pt idx="4">
                  <c:v>45108</c:v>
                </c:pt>
                <c:pt idx="5">
                  <c:v>45139</c:v>
                </c:pt>
                <c:pt idx="6">
                  <c:v>45170</c:v>
                </c:pt>
                <c:pt idx="7">
                  <c:v>45200</c:v>
                </c:pt>
                <c:pt idx="8">
                  <c:v>45231</c:v>
                </c:pt>
                <c:pt idx="9">
                  <c:v>45261</c:v>
                </c:pt>
                <c:pt idx="10">
                  <c:v>45292</c:v>
                </c:pt>
                <c:pt idx="11">
                  <c:v>45323</c:v>
                </c:pt>
                <c:pt idx="12">
                  <c:v>45352</c:v>
                </c:pt>
              </c:numCache>
            </c:numRef>
          </c:cat>
          <c:val>
            <c:numRef>
              <c:f>'ComP Graph'!$C$5:$C$17</c:f>
              <c:numCache>
                <c:formatCode>General</c:formatCode>
                <c:ptCount val="13"/>
                <c:pt idx="0">
                  <c:v>749.90816831683162</c:v>
                </c:pt>
                <c:pt idx="1">
                  <c:v>903.70643564356442</c:v>
                </c:pt>
                <c:pt idx="2">
                  <c:v>906.55297029702979</c:v>
                </c:pt>
                <c:pt idx="3">
                  <c:v>983.84207920792073</c:v>
                </c:pt>
                <c:pt idx="4">
                  <c:v>1028.0405172413791</c:v>
                </c:pt>
                <c:pt idx="5">
                  <c:v>903.71659482758628</c:v>
                </c:pt>
                <c:pt idx="6">
                  <c:v>852.4375</c:v>
                </c:pt>
                <c:pt idx="7">
                  <c:v>1052.5077586206899</c:v>
                </c:pt>
                <c:pt idx="8">
                  <c:v>845.99353448275861</c:v>
                </c:pt>
                <c:pt idx="9">
                  <c:v>905.69935344827582</c:v>
                </c:pt>
                <c:pt idx="10">
                  <c:v>1005.1</c:v>
                </c:pt>
                <c:pt idx="11">
                  <c:v>874.04956896551721</c:v>
                </c:pt>
                <c:pt idx="12">
                  <c:v>149.93125000000001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D4-4651-AE4F-3F8759EB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285959"/>
        <c:axId val="452288007"/>
      </c:barChart>
      <c:dateAx>
        <c:axId val="4522859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288007"/>
        <c:crosses val="autoZero"/>
        <c:auto val="1"/>
        <c:lblOffset val="100"/>
        <c:baseTimeUnit val="months"/>
      </c:dateAx>
      <c:valAx>
        <c:axId val="45228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285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WCU!$Q$2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WCU!$P$3:$P$14</c:f>
              <c:numCache>
                <c:formatCode>mmm\-yy</c:formatCode>
                <c:ptCount val="1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</c:numCache>
            </c:numRef>
          </c:cat>
          <c:val>
            <c:numRef>
              <c:f>WCU!$Q$3:$Q$14</c:f>
              <c:numCache>
                <c:formatCode>_-[$R-436]* #,##0.00_-;\-[$R-436]* #,##0.00_-;_-[$R-436]* "-"??_-;_-@_-</c:formatCode>
                <c:ptCount val="12"/>
                <c:pt idx="0">
                  <c:v>23220.776999999998</c:v>
                </c:pt>
                <c:pt idx="1">
                  <c:v>22154.151999999995</c:v>
                </c:pt>
                <c:pt idx="2">
                  <c:v>20711.890999999996</c:v>
                </c:pt>
                <c:pt idx="3">
                  <c:v>34251.040000000001</c:v>
                </c:pt>
                <c:pt idx="4">
                  <c:v>26601.53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9C-4DA4-9130-9076E55A8A20}"/>
            </c:ext>
          </c:extLst>
        </c:ser>
        <c:ser>
          <c:idx val="1"/>
          <c:order val="1"/>
          <c:tx>
            <c:strRef>
              <c:f>WCU!$R$2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WCU!$P$3:$P$14</c:f>
              <c:numCache>
                <c:formatCode>mmm\-yy</c:formatCode>
                <c:ptCount val="1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</c:numCache>
            </c:numRef>
          </c:cat>
          <c:val>
            <c:numRef>
              <c:f>WCU!$R$3:$R$14</c:f>
              <c:numCache>
                <c:formatCode>_-[$R-436]* #,##0.00_-;\-[$R-436]* #,##0.00_-;_-[$R-436]* "-"??_-;_-@_-</c:formatCode>
                <c:ptCount val="12"/>
                <c:pt idx="0">
                  <c:v>24352.319499999998</c:v>
                </c:pt>
                <c:pt idx="1">
                  <c:v>24319.8665</c:v>
                </c:pt>
                <c:pt idx="2">
                  <c:v>27658.86</c:v>
                </c:pt>
                <c:pt idx="3">
                  <c:v>28018.26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9C-4DA4-9130-9076E55A8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019016"/>
        <c:axId val="1364547080"/>
      </c:barChart>
      <c:dateAx>
        <c:axId val="19190190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547080"/>
        <c:crosses val="autoZero"/>
        <c:auto val="1"/>
        <c:lblOffset val="100"/>
        <c:baseTimeUnit val="months"/>
      </c:dateAx>
      <c:valAx>
        <c:axId val="136454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19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</xdr:row>
      <xdr:rowOff>95250</xdr:rowOff>
    </xdr:from>
    <xdr:to>
      <xdr:col>10</xdr:col>
      <xdr:colOff>304800</xdr:colOff>
      <xdr:row>18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249E2C-771B-CD12-5046-3E2486507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</xdr:row>
      <xdr:rowOff>104775</xdr:rowOff>
    </xdr:from>
    <xdr:to>
      <xdr:col>9</xdr:col>
      <xdr:colOff>333375</xdr:colOff>
      <xdr:row>17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0FFBD0-2021-05F0-E391-BE929757B65B}"/>
            </a:ext>
            <a:ext uri="{147F2762-F138-4A5C-976F-8EAC2B608ADB}">
              <a16:predDERef xmlns:a16="http://schemas.microsoft.com/office/drawing/2014/main" pred="{5F0E07AB-61E1-8F18-66BE-02C0488AB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361950</xdr:colOff>
      <xdr:row>21</xdr:row>
      <xdr:rowOff>57150</xdr:rowOff>
    </xdr:from>
    <xdr:to>
      <xdr:col>10</xdr:col>
      <xdr:colOff>57150</xdr:colOff>
      <xdr:row>35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5D2BDA-0426-2EFC-7D49-DA00405A754D}"/>
            </a:ext>
            <a:ext uri="{147F2762-F138-4A5C-976F-8EAC2B608ADB}">
              <a16:predDERef xmlns:a16="http://schemas.microsoft.com/office/drawing/2014/main" pred="{A70FFBD0-2021-05F0-E391-BE929757B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2</xdr:row>
      <xdr:rowOff>28575</xdr:rowOff>
    </xdr:from>
    <xdr:to>
      <xdr:col>7</xdr:col>
      <xdr:colOff>590550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5F267F-FF8E-DD30-4857-209C864EF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133350</xdr:rowOff>
    </xdr:from>
    <xdr:to>
      <xdr:col>14</xdr:col>
      <xdr:colOff>342900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EB526-F46B-EE05-1067-288F98B6A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104775</xdr:rowOff>
    </xdr:from>
    <xdr:to>
      <xdr:col>9</xdr:col>
      <xdr:colOff>390525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E3347-A24D-5581-354C-A2C96BFE6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7050-885D-43BC-B7F6-DA79070C844B}">
  <dimension ref="A1:O618"/>
  <sheetViews>
    <sheetView topLeftCell="A593" workbookViewId="0">
      <selection activeCell="A2" sqref="A2"/>
    </sheetView>
  </sheetViews>
  <sheetFormatPr defaultRowHeight="14.45"/>
  <cols>
    <col min="1" max="1" width="13.42578125" customWidth="1"/>
    <col min="2" max="2" width="16.28515625" bestFit="1" customWidth="1"/>
    <col min="3" max="3" width="15.140625" bestFit="1" customWidth="1"/>
    <col min="5" max="5" width="15.28515625" customWidth="1"/>
    <col min="6" max="6" width="11" bestFit="1" customWidth="1"/>
    <col min="7" max="7" width="11.140625" bestFit="1" customWidth="1"/>
    <col min="8" max="8" width="12.42578125" bestFit="1" customWidth="1"/>
    <col min="9" max="9" width="12.42578125" customWidth="1"/>
    <col min="10" max="10" width="21" bestFit="1" customWidth="1"/>
    <col min="11" max="11" width="10.5703125" customWidth="1"/>
    <col min="13" max="13" width="10.42578125" bestFit="1" customWidth="1"/>
  </cols>
  <sheetData>
    <row r="1" spans="1:15" ht="18">
      <c r="A1" s="1" t="s">
        <v>0</v>
      </c>
    </row>
    <row r="3" spans="1:15">
      <c r="A3" s="21">
        <v>43101</v>
      </c>
    </row>
    <row r="4" spans="1:15" ht="14.25" hidden="1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6"/>
    </row>
    <row r="5" spans="1:15" ht="14.25" hidden="1" customHeight="1">
      <c r="A5" s="3" t="s">
        <v>9</v>
      </c>
      <c r="B5" s="4"/>
      <c r="C5" s="3">
        <v>415025</v>
      </c>
      <c r="D5" s="4">
        <v>415025</v>
      </c>
      <c r="E5" s="5">
        <v>20135.95</v>
      </c>
      <c r="F5" s="5"/>
      <c r="G5" s="5"/>
      <c r="H5" s="5"/>
      <c r="I5" s="9"/>
      <c r="J5" s="6"/>
      <c r="K5" s="6"/>
      <c r="L5" s="6"/>
      <c r="M5" s="6"/>
      <c r="N5" s="6"/>
      <c r="O5" s="6"/>
    </row>
    <row r="6" spans="1:15" ht="14.25" hidden="1" customHeight="1">
      <c r="A6" s="3" t="s">
        <v>10</v>
      </c>
      <c r="B6" s="3">
        <v>988019</v>
      </c>
      <c r="C6" s="3">
        <v>1000073</v>
      </c>
      <c r="D6" s="3">
        <v>12054</v>
      </c>
      <c r="E6" s="5">
        <v>15205.034999999998</v>
      </c>
      <c r="F6" s="5"/>
      <c r="G6" s="5">
        <v>130.60979999999998</v>
      </c>
      <c r="H6" s="5">
        <v>527.05619999999999</v>
      </c>
      <c r="I6" s="9"/>
      <c r="J6" s="6"/>
      <c r="K6" s="6"/>
      <c r="L6" s="6"/>
      <c r="M6" s="6"/>
      <c r="N6" s="6"/>
      <c r="O6" s="6"/>
    </row>
    <row r="7" spans="1:15" ht="14.25" hidden="1" customHeight="1">
      <c r="A7" s="3" t="s">
        <v>11</v>
      </c>
      <c r="B7" s="3"/>
      <c r="C7" s="3"/>
      <c r="D7" s="3"/>
      <c r="E7" s="5">
        <v>20135.95</v>
      </c>
      <c r="F7" s="5"/>
      <c r="G7" s="5"/>
      <c r="H7" s="5"/>
      <c r="I7" s="9"/>
      <c r="J7" s="6"/>
      <c r="K7" s="6"/>
      <c r="L7" s="6"/>
      <c r="M7" s="6"/>
      <c r="N7" s="6"/>
      <c r="O7" s="6"/>
    </row>
    <row r="8" spans="1:15" ht="14.25" hidden="1" customHeight="1">
      <c r="A8" s="3" t="s">
        <v>12</v>
      </c>
      <c r="B8" s="3"/>
      <c r="C8" s="3"/>
      <c r="D8" s="3"/>
      <c r="E8" s="5">
        <v>15862.700999999997</v>
      </c>
      <c r="F8" s="5"/>
      <c r="G8" s="5"/>
      <c r="H8" s="5"/>
      <c r="I8" s="9"/>
      <c r="J8" s="6"/>
      <c r="K8" s="6"/>
      <c r="L8" s="6"/>
      <c r="M8" s="6"/>
      <c r="N8" s="6"/>
      <c r="O8" s="6"/>
    </row>
    <row r="9" spans="1:15" ht="14.25" hidden="1" customHeight="1">
      <c r="A9" s="3" t="s">
        <v>13</v>
      </c>
      <c r="B9" s="3"/>
      <c r="C9" s="3"/>
      <c r="D9" s="3"/>
      <c r="E9" s="5">
        <v>4273.2490000000034</v>
      </c>
      <c r="F9" s="5"/>
      <c r="G9" s="5"/>
      <c r="H9" s="5"/>
      <c r="I9" s="9"/>
      <c r="J9" s="6"/>
      <c r="K9" s="6"/>
      <c r="L9" s="6"/>
      <c r="M9" s="6"/>
      <c r="N9" s="6"/>
      <c r="O9" s="6"/>
    </row>
    <row r="10" spans="1:15" ht="14.25" hidden="1" customHeight="1"/>
    <row r="11" spans="1:15" ht="14.25" hidden="1" customHeight="1">
      <c r="A11" s="2">
        <v>43132</v>
      </c>
    </row>
    <row r="12" spans="1:15" ht="14.25" hidden="1" customHeight="1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6"/>
    </row>
    <row r="13" spans="1:15" ht="14.25" hidden="1" customHeight="1">
      <c r="A13" s="3" t="s">
        <v>9</v>
      </c>
      <c r="B13" s="4">
        <v>415025</v>
      </c>
      <c r="C13" s="4">
        <v>414448</v>
      </c>
      <c r="D13" s="4">
        <v>-577</v>
      </c>
      <c r="E13" s="4">
        <v>16160</v>
      </c>
    </row>
    <row r="14" spans="1:15" ht="14.25" hidden="1" customHeight="1">
      <c r="A14" s="3" t="s">
        <v>10</v>
      </c>
      <c r="B14" s="4">
        <v>1000073</v>
      </c>
      <c r="C14" s="4"/>
      <c r="D14" s="4"/>
      <c r="E14" s="4"/>
    </row>
    <row r="15" spans="1:15" ht="14.25" hidden="1" customHeight="1">
      <c r="A15" s="3" t="s">
        <v>11</v>
      </c>
      <c r="B15" s="3"/>
      <c r="C15" s="3"/>
      <c r="D15" s="3"/>
      <c r="E15" s="3">
        <v>15862.700999999997</v>
      </c>
    </row>
    <row r="16" spans="1:15" ht="14.25" hidden="1" customHeight="1">
      <c r="A16" s="3" t="s">
        <v>12</v>
      </c>
      <c r="B16" s="3"/>
      <c r="C16" s="3"/>
      <c r="D16" s="3"/>
      <c r="E16" s="3"/>
    </row>
    <row r="17" spans="1:9" ht="14.25" hidden="1" customHeight="1">
      <c r="A17" s="3" t="s">
        <v>13</v>
      </c>
      <c r="B17" s="3"/>
      <c r="C17" s="3"/>
      <c r="D17" s="3"/>
      <c r="E17" s="3">
        <v>0</v>
      </c>
    </row>
    <row r="18" spans="1:9" ht="14.25" hidden="1" customHeight="1"/>
    <row r="19" spans="1:9" ht="14.25" hidden="1" customHeight="1">
      <c r="A19" s="2">
        <v>43160</v>
      </c>
    </row>
    <row r="20" spans="1:9" ht="14.25" hidden="1" customHeight="1">
      <c r="A20" s="3" t="s">
        <v>1</v>
      </c>
      <c r="B20" s="3" t="s">
        <v>2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7</v>
      </c>
      <c r="H20" s="3" t="s">
        <v>8</v>
      </c>
      <c r="I20" s="6"/>
    </row>
    <row r="21" spans="1:9" ht="14.25" hidden="1" customHeight="1">
      <c r="A21" s="3" t="s">
        <v>9</v>
      </c>
      <c r="B21" s="4">
        <v>195391</v>
      </c>
      <c r="C21" s="4">
        <v>212735</v>
      </c>
      <c r="D21" s="4">
        <v>17344</v>
      </c>
      <c r="E21" s="7">
        <v>19670</v>
      </c>
      <c r="F21" s="7"/>
      <c r="G21" s="7"/>
      <c r="H21" s="7"/>
      <c r="I21" s="10"/>
    </row>
    <row r="22" spans="1:9" ht="14.25" hidden="1" customHeight="1">
      <c r="A22" s="3" t="s">
        <v>10</v>
      </c>
      <c r="B22" s="4">
        <v>1012792</v>
      </c>
      <c r="C22" s="4">
        <v>1024166</v>
      </c>
      <c r="D22" s="4">
        <v>11374</v>
      </c>
      <c r="E22" s="7">
        <v>14347.276199999998</v>
      </c>
      <c r="F22" s="7"/>
      <c r="G22" s="7">
        <v>130.60979999999998</v>
      </c>
      <c r="H22" s="7">
        <v>527.05619999999999</v>
      </c>
      <c r="I22" s="10"/>
    </row>
    <row r="23" spans="1:9" ht="14.25" hidden="1" customHeight="1">
      <c r="A23" s="3" t="s">
        <v>11</v>
      </c>
      <c r="B23" s="3"/>
      <c r="C23" s="3"/>
      <c r="D23" s="3"/>
      <c r="E23" s="5">
        <v>19670</v>
      </c>
      <c r="F23" s="5"/>
      <c r="G23" s="5"/>
      <c r="H23" s="5"/>
      <c r="I23" s="9"/>
    </row>
    <row r="24" spans="1:9" ht="14.25" hidden="1" customHeight="1">
      <c r="A24" s="3" t="s">
        <v>12</v>
      </c>
      <c r="B24" s="3"/>
      <c r="C24" s="3"/>
      <c r="D24" s="3"/>
      <c r="E24" s="5">
        <v>15004.942199999998</v>
      </c>
      <c r="F24" s="5"/>
      <c r="G24" s="5"/>
      <c r="H24" s="5"/>
      <c r="I24" s="9"/>
    </row>
    <row r="25" spans="1:9" ht="14.25" hidden="1" customHeight="1">
      <c r="A25" s="3" t="s">
        <v>13</v>
      </c>
      <c r="B25" s="3"/>
      <c r="C25" s="3"/>
      <c r="D25" s="3"/>
      <c r="E25" s="5">
        <v>4665.0578000000023</v>
      </c>
      <c r="F25" s="5"/>
      <c r="G25" s="5"/>
      <c r="H25" s="5"/>
      <c r="I25" s="9"/>
    </row>
    <row r="26" spans="1:9" ht="14.25" hidden="1" customHeight="1"/>
    <row r="27" spans="1:9" ht="14.25" hidden="1" customHeight="1">
      <c r="A27" s="2">
        <v>43191</v>
      </c>
    </row>
    <row r="28" spans="1:9" ht="14.25" hidden="1" customHeight="1">
      <c r="A28" s="3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7</v>
      </c>
      <c r="H28" s="3" t="s">
        <v>8</v>
      </c>
      <c r="I28" s="6"/>
    </row>
    <row r="29" spans="1:9" ht="14.25" hidden="1" customHeight="1">
      <c r="A29" s="3" t="s">
        <v>9</v>
      </c>
      <c r="B29" s="4">
        <v>413871</v>
      </c>
      <c r="C29" s="4">
        <v>413294</v>
      </c>
      <c r="D29" s="4">
        <v>-577</v>
      </c>
      <c r="E29" s="7">
        <v>19709.95</v>
      </c>
      <c r="F29" s="7"/>
      <c r="G29" s="7"/>
      <c r="H29" s="7"/>
      <c r="I29" s="10"/>
    </row>
    <row r="30" spans="1:9" ht="14.25" hidden="1" customHeight="1">
      <c r="A30" s="3" t="s">
        <v>10</v>
      </c>
      <c r="B30" s="4">
        <v>1012792</v>
      </c>
      <c r="C30" s="4">
        <v>1024166</v>
      </c>
      <c r="D30" s="4">
        <v>11374</v>
      </c>
      <c r="E30" s="7"/>
      <c r="F30" s="7"/>
      <c r="G30" s="7"/>
      <c r="H30" s="7"/>
      <c r="I30" s="10"/>
    </row>
    <row r="31" spans="1:9" ht="14.25" hidden="1" customHeight="1">
      <c r="A31" s="3" t="s">
        <v>11</v>
      </c>
      <c r="B31" s="3"/>
      <c r="C31" s="3"/>
      <c r="D31" s="3"/>
      <c r="E31" s="5">
        <v>19709.95</v>
      </c>
      <c r="F31" s="5"/>
      <c r="G31" s="5"/>
      <c r="H31" s="5"/>
      <c r="I31" s="9"/>
    </row>
    <row r="32" spans="1:9" ht="14.25" hidden="1" customHeight="1">
      <c r="A32" s="3" t="s">
        <v>12</v>
      </c>
      <c r="B32" s="3"/>
      <c r="C32" s="3"/>
      <c r="D32" s="3"/>
      <c r="E32" s="5"/>
      <c r="F32" s="5"/>
      <c r="G32" s="5"/>
      <c r="H32" s="5"/>
      <c r="I32" s="9"/>
    </row>
    <row r="33" spans="1:9" ht="14.25" hidden="1" customHeight="1">
      <c r="A33" s="3" t="s">
        <v>13</v>
      </c>
      <c r="B33" s="3"/>
      <c r="C33" s="3"/>
      <c r="D33" s="3"/>
      <c r="E33" s="5">
        <v>19709.95</v>
      </c>
      <c r="F33" s="5"/>
      <c r="G33" s="5"/>
      <c r="H33" s="5"/>
      <c r="I33" s="9"/>
    </row>
    <row r="34" spans="1:9" ht="14.25" hidden="1" customHeight="1"/>
    <row r="35" spans="1:9" ht="14.25" hidden="1" customHeight="1">
      <c r="A35" s="2">
        <v>43221</v>
      </c>
    </row>
    <row r="36" spans="1:9" ht="14.25" hidden="1" customHeight="1">
      <c r="A36" s="3" t="s">
        <v>1</v>
      </c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6"/>
    </row>
    <row r="37" spans="1:9" ht="14.25" hidden="1" customHeight="1">
      <c r="A37" s="3" t="s">
        <v>9</v>
      </c>
      <c r="B37" s="4">
        <v>413294</v>
      </c>
      <c r="C37" s="4">
        <v>434487</v>
      </c>
      <c r="D37" s="4">
        <v>21193</v>
      </c>
      <c r="E37" s="7">
        <v>20805</v>
      </c>
      <c r="F37" s="7"/>
      <c r="G37" s="7"/>
      <c r="H37" s="7"/>
      <c r="I37" s="10"/>
    </row>
    <row r="38" spans="1:9" ht="14.25" hidden="1" customHeight="1">
      <c r="A38" s="3" t="s">
        <v>10</v>
      </c>
      <c r="B38" s="4">
        <v>1037655</v>
      </c>
      <c r="C38" s="4">
        <v>1051939</v>
      </c>
      <c r="D38" s="4">
        <v>14284</v>
      </c>
      <c r="E38" s="7">
        <v>18176.037499999999</v>
      </c>
      <c r="F38" s="7"/>
      <c r="G38" s="7">
        <v>131.75549999999998</v>
      </c>
      <c r="H38" s="7">
        <v>531.67949999999996</v>
      </c>
      <c r="I38" s="10"/>
    </row>
    <row r="39" spans="1:9" ht="14.25" hidden="1" customHeight="1">
      <c r="A39" s="3" t="s">
        <v>11</v>
      </c>
      <c r="B39" s="3"/>
      <c r="C39" s="3"/>
      <c r="D39" s="3"/>
      <c r="E39" s="5">
        <v>20805</v>
      </c>
      <c r="F39" s="5"/>
      <c r="G39" s="5"/>
      <c r="H39" s="5"/>
      <c r="I39" s="9"/>
    </row>
    <row r="40" spans="1:9" ht="14.25" hidden="1" customHeight="1">
      <c r="A40" s="3" t="s">
        <v>12</v>
      </c>
      <c r="B40" s="3"/>
      <c r="C40" s="3"/>
      <c r="D40" s="3"/>
      <c r="E40" s="5">
        <v>18839.472499999996</v>
      </c>
      <c r="F40" s="5"/>
      <c r="G40" s="5"/>
      <c r="H40" s="5"/>
      <c r="I40" s="9"/>
    </row>
    <row r="41" spans="1:9" ht="14.25" hidden="1" customHeight="1">
      <c r="A41" s="3" t="s">
        <v>13</v>
      </c>
      <c r="B41" s="3"/>
      <c r="C41" s="3"/>
      <c r="D41" s="3"/>
      <c r="E41" s="5">
        <v>1965.5275000000038</v>
      </c>
      <c r="F41" s="5"/>
      <c r="G41" s="5"/>
      <c r="H41" s="5"/>
      <c r="I41" s="9"/>
    </row>
    <row r="42" spans="1:9" ht="14.25" hidden="1" customHeight="1"/>
    <row r="43" spans="1:9" ht="14.25" hidden="1" customHeight="1">
      <c r="A43" s="2">
        <v>43252</v>
      </c>
    </row>
    <row r="44" spans="1:9" ht="14.25" hidden="1" customHeight="1">
      <c r="A44" s="3" t="s">
        <v>1</v>
      </c>
      <c r="B44" s="3" t="s">
        <v>2</v>
      </c>
      <c r="C44" s="3" t="s">
        <v>3</v>
      </c>
      <c r="D44" s="3" t="s">
        <v>4</v>
      </c>
      <c r="E44" s="3" t="s">
        <v>5</v>
      </c>
      <c r="F44" s="3" t="s">
        <v>6</v>
      </c>
      <c r="G44" s="3" t="s">
        <v>7</v>
      </c>
      <c r="H44" s="3" t="s">
        <v>8</v>
      </c>
      <c r="I44" s="6"/>
    </row>
    <row r="45" spans="1:9" ht="14.25" hidden="1" customHeight="1">
      <c r="A45" s="3" t="s">
        <v>9</v>
      </c>
      <c r="B45" s="4">
        <v>434487</v>
      </c>
      <c r="C45" s="4">
        <v>455680</v>
      </c>
      <c r="D45" s="4">
        <v>21193</v>
      </c>
      <c r="E45" s="7">
        <v>25780</v>
      </c>
      <c r="F45" s="7"/>
      <c r="G45" s="7"/>
      <c r="H45" s="7"/>
      <c r="I45" s="10"/>
    </row>
    <row r="46" spans="1:9" ht="14.25" hidden="1" customHeight="1">
      <c r="A46" s="3" t="s">
        <v>10</v>
      </c>
      <c r="B46" s="4">
        <v>1051939</v>
      </c>
      <c r="C46" s="4">
        <v>1068642</v>
      </c>
      <c r="D46" s="4">
        <v>16703</v>
      </c>
      <c r="E46" s="7">
        <v>21614.456999999999</v>
      </c>
      <c r="F46" s="7"/>
      <c r="G46" s="7">
        <v>141.4615</v>
      </c>
      <c r="H46" s="7">
        <v>570.84849999999994</v>
      </c>
      <c r="I46" s="10"/>
    </row>
    <row r="47" spans="1:9" ht="14.25" hidden="1" customHeight="1">
      <c r="A47" s="3" t="s">
        <v>11</v>
      </c>
      <c r="B47" s="3"/>
      <c r="C47" s="3"/>
      <c r="D47" s="3"/>
      <c r="E47" s="5">
        <v>25780</v>
      </c>
      <c r="F47" s="5"/>
      <c r="G47" s="5"/>
      <c r="H47" s="5"/>
      <c r="I47" s="9"/>
    </row>
    <row r="48" spans="1:9" ht="14.25" hidden="1" customHeight="1">
      <c r="A48" s="3" t="s">
        <v>12</v>
      </c>
      <c r="B48" s="3"/>
      <c r="C48" s="3"/>
      <c r="D48" s="3"/>
      <c r="E48" s="5">
        <v>22326.767</v>
      </c>
      <c r="F48" s="5"/>
      <c r="G48" s="5"/>
      <c r="H48" s="5"/>
      <c r="I48" s="9"/>
    </row>
    <row r="49" spans="1:9" ht="14.25" hidden="1" customHeight="1">
      <c r="A49" s="3" t="s">
        <v>13</v>
      </c>
      <c r="B49" s="3"/>
      <c r="C49" s="3"/>
      <c r="D49" s="3"/>
      <c r="E49" s="5">
        <v>3453.2330000000002</v>
      </c>
      <c r="F49" s="5"/>
      <c r="G49" s="5"/>
      <c r="H49" s="5"/>
      <c r="I49" s="9"/>
    </row>
    <row r="50" spans="1:9" ht="14.25" hidden="1" customHeight="1"/>
    <row r="51" spans="1:9" ht="14.25" hidden="1" customHeight="1">
      <c r="A51" s="2">
        <v>43282</v>
      </c>
    </row>
    <row r="52" spans="1:9" ht="14.25" hidden="1" customHeight="1">
      <c r="A52" s="3" t="s">
        <v>1</v>
      </c>
      <c r="B52" s="3" t="s">
        <v>2</v>
      </c>
      <c r="C52" s="3" t="s">
        <v>3</v>
      </c>
      <c r="D52" s="3" t="s">
        <v>4</v>
      </c>
      <c r="E52" s="3" t="s">
        <v>5</v>
      </c>
      <c r="F52" s="3" t="s">
        <v>14</v>
      </c>
      <c r="G52" s="3" t="s">
        <v>7</v>
      </c>
      <c r="H52" s="3" t="s">
        <v>8</v>
      </c>
      <c r="I52" s="6"/>
    </row>
    <row r="53" spans="1:9" ht="14.25" hidden="1" customHeight="1">
      <c r="A53" s="3" t="s">
        <v>9</v>
      </c>
      <c r="B53" s="4">
        <v>455680</v>
      </c>
      <c r="C53" s="4">
        <v>474664</v>
      </c>
      <c r="D53" s="4">
        <v>18984</v>
      </c>
      <c r="E53" s="7">
        <v>26060</v>
      </c>
      <c r="F53" s="7"/>
      <c r="G53" s="7"/>
      <c r="H53" s="7"/>
      <c r="I53" s="10"/>
    </row>
    <row r="54" spans="1:9" ht="14.25" hidden="1" customHeight="1">
      <c r="A54" s="3" t="s">
        <v>10</v>
      </c>
      <c r="B54" s="4">
        <v>1068642</v>
      </c>
      <c r="C54" s="4">
        <v>1085623</v>
      </c>
      <c r="D54" s="4">
        <v>16981</v>
      </c>
      <c r="E54" s="7">
        <v>23499.364499999996</v>
      </c>
      <c r="F54" s="7">
        <v>117.57599999999998</v>
      </c>
      <c r="G54" s="7">
        <v>141.4615</v>
      </c>
      <c r="H54" s="7">
        <v>570.84849999999994</v>
      </c>
      <c r="I54" s="10"/>
    </row>
    <row r="55" spans="1:9" ht="14.25" hidden="1" customHeight="1">
      <c r="A55" s="3" t="s">
        <v>11</v>
      </c>
      <c r="B55" s="3"/>
      <c r="C55" s="3"/>
      <c r="D55" s="3"/>
      <c r="E55" s="5">
        <v>26060</v>
      </c>
      <c r="F55" s="5"/>
      <c r="G55" s="5"/>
      <c r="H55" s="5"/>
      <c r="I55" s="9"/>
    </row>
    <row r="56" spans="1:9" ht="14.25" hidden="1" customHeight="1">
      <c r="A56" s="3" t="s">
        <v>12</v>
      </c>
      <c r="B56" s="3"/>
      <c r="C56" s="3"/>
      <c r="D56" s="3"/>
      <c r="E56" s="5">
        <v>24211.674499999997</v>
      </c>
      <c r="F56" s="5"/>
      <c r="G56" s="5"/>
      <c r="H56" s="5"/>
      <c r="I56" s="9"/>
    </row>
    <row r="57" spans="1:9" ht="14.25" hidden="1" customHeight="1">
      <c r="A57" s="3" t="s">
        <v>13</v>
      </c>
      <c r="B57" s="3"/>
      <c r="C57" s="3"/>
      <c r="D57" s="3"/>
      <c r="E57" s="5">
        <v>1848.3255000000026</v>
      </c>
      <c r="F57" s="5"/>
      <c r="G57" s="5"/>
      <c r="H57" s="5"/>
      <c r="I57" s="9"/>
    </row>
    <row r="58" spans="1:9" ht="14.25" hidden="1" customHeight="1"/>
    <row r="59" spans="1:9" ht="14.25" hidden="1" customHeight="1">
      <c r="A59" s="2">
        <v>43313</v>
      </c>
    </row>
    <row r="60" spans="1:9" ht="14.25" hidden="1" customHeight="1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14</v>
      </c>
      <c r="G60" s="3" t="s">
        <v>7</v>
      </c>
      <c r="H60" s="3" t="s">
        <v>8</v>
      </c>
      <c r="I60" s="6"/>
    </row>
    <row r="61" spans="1:9" ht="14.25" hidden="1" customHeight="1">
      <c r="A61" s="3" t="s">
        <v>9</v>
      </c>
      <c r="B61" s="4">
        <v>474664</v>
      </c>
      <c r="C61" s="4">
        <v>488981</v>
      </c>
      <c r="D61" s="4">
        <v>14317</v>
      </c>
      <c r="E61" s="7">
        <v>23535</v>
      </c>
      <c r="F61" s="7"/>
      <c r="G61" s="7"/>
      <c r="H61" s="7"/>
      <c r="I61" s="10"/>
    </row>
    <row r="62" spans="1:9" ht="14.25" hidden="1" customHeight="1">
      <c r="A62" s="3" t="s">
        <v>10</v>
      </c>
      <c r="B62" s="4">
        <v>1068642</v>
      </c>
      <c r="C62" s="4">
        <v>1085623</v>
      </c>
      <c r="D62" s="4">
        <v>16981</v>
      </c>
      <c r="E62" s="7">
        <v>23499.364499999996</v>
      </c>
      <c r="F62" s="7">
        <v>117.57599999999998</v>
      </c>
      <c r="G62" s="7">
        <v>141.4615</v>
      </c>
      <c r="H62" s="7">
        <v>570.84849999999994</v>
      </c>
      <c r="I62" s="10"/>
    </row>
    <row r="63" spans="1:9" ht="14.25" hidden="1" customHeight="1">
      <c r="A63" s="3" t="s">
        <v>11</v>
      </c>
      <c r="B63" s="3"/>
      <c r="C63" s="3"/>
      <c r="D63" s="3"/>
      <c r="E63" s="5">
        <v>23535</v>
      </c>
      <c r="F63" s="5"/>
      <c r="G63" s="5"/>
      <c r="H63" s="5"/>
      <c r="I63" s="9"/>
    </row>
    <row r="64" spans="1:9" ht="14.25" hidden="1" customHeight="1">
      <c r="A64" s="3" t="s">
        <v>12</v>
      </c>
      <c r="B64" s="3"/>
      <c r="C64" s="3"/>
      <c r="D64" s="3"/>
      <c r="E64" s="5">
        <v>24211.674499999997</v>
      </c>
      <c r="F64" s="5"/>
      <c r="G64" s="5"/>
      <c r="H64" s="5"/>
      <c r="I64" s="9"/>
    </row>
    <row r="65" spans="1:9" ht="14.25" hidden="1" customHeight="1">
      <c r="A65" s="3" t="s">
        <v>13</v>
      </c>
      <c r="B65" s="3"/>
      <c r="C65" s="3"/>
      <c r="D65" s="3"/>
      <c r="E65" s="5">
        <v>-676.67449999999735</v>
      </c>
      <c r="F65" s="5"/>
      <c r="G65" s="5"/>
      <c r="H65" s="5"/>
      <c r="I65" s="9"/>
    </row>
    <row r="66" spans="1:9" ht="14.25" hidden="1" customHeight="1"/>
    <row r="67" spans="1:9" ht="14.25" hidden="1" customHeight="1">
      <c r="A67" s="2">
        <v>43344</v>
      </c>
    </row>
    <row r="68" spans="1:9" ht="14.25" hidden="1" customHeight="1">
      <c r="A68" s="3" t="s">
        <v>1</v>
      </c>
      <c r="B68" s="3" t="s">
        <v>2</v>
      </c>
      <c r="C68" s="3" t="s">
        <v>3</v>
      </c>
      <c r="D68" s="3" t="s">
        <v>4</v>
      </c>
      <c r="E68" s="3" t="s">
        <v>5</v>
      </c>
      <c r="F68" s="3" t="s">
        <v>14</v>
      </c>
      <c r="G68" s="3" t="s">
        <v>7</v>
      </c>
      <c r="H68" s="3" t="s">
        <v>8</v>
      </c>
      <c r="I68" s="6"/>
    </row>
    <row r="69" spans="1:9" ht="14.25" hidden="1" customHeight="1">
      <c r="A69" s="3" t="s">
        <v>9</v>
      </c>
      <c r="B69" s="4">
        <v>488981</v>
      </c>
      <c r="C69" s="4">
        <v>503298</v>
      </c>
      <c r="D69" s="4">
        <v>14317</v>
      </c>
      <c r="E69" s="7">
        <v>23149.94</v>
      </c>
      <c r="F69" s="7"/>
      <c r="G69" s="7"/>
      <c r="H69" s="7"/>
      <c r="I69" s="10"/>
    </row>
    <row r="70" spans="1:9" ht="14.25" hidden="1" customHeight="1">
      <c r="A70" s="3" t="s">
        <v>10</v>
      </c>
      <c r="B70" s="4">
        <v>1085623</v>
      </c>
      <c r="C70" s="4">
        <v>1101522</v>
      </c>
      <c r="D70" s="4">
        <v>15899</v>
      </c>
      <c r="E70" s="7">
        <v>21806.127499999995</v>
      </c>
      <c r="F70" s="7">
        <v>42.917999999999999</v>
      </c>
      <c r="G70" s="7">
        <v>141.4615</v>
      </c>
      <c r="H70" s="7">
        <v>570.84849999999994</v>
      </c>
      <c r="I70" s="10"/>
    </row>
    <row r="71" spans="1:9" ht="14.25" hidden="1" customHeight="1">
      <c r="A71" s="3" t="s">
        <v>11</v>
      </c>
      <c r="B71" s="3"/>
      <c r="C71" s="3"/>
      <c r="D71" s="3"/>
      <c r="E71" s="5">
        <v>23149.94</v>
      </c>
      <c r="F71" s="5"/>
      <c r="G71" s="5"/>
      <c r="H71" s="5"/>
      <c r="I71" s="9"/>
    </row>
    <row r="72" spans="1:9" ht="14.25" hidden="1" customHeight="1">
      <c r="A72" s="3" t="s">
        <v>12</v>
      </c>
      <c r="B72" s="3"/>
      <c r="C72" s="3"/>
      <c r="D72" s="3"/>
      <c r="E72" s="5">
        <v>22518.437499999996</v>
      </c>
      <c r="F72" s="5"/>
      <c r="G72" s="5"/>
      <c r="H72" s="5"/>
      <c r="I72" s="9"/>
    </row>
    <row r="73" spans="1:9" ht="14.25" hidden="1" customHeight="1">
      <c r="A73" s="3" t="s">
        <v>13</v>
      </c>
      <c r="B73" s="3"/>
      <c r="C73" s="3"/>
      <c r="D73" s="3"/>
      <c r="E73" s="5">
        <v>631.50250000000233</v>
      </c>
      <c r="F73" s="5"/>
      <c r="G73" s="5"/>
      <c r="H73" s="5"/>
      <c r="I73" s="9"/>
    </row>
    <row r="74" spans="1:9" ht="14.25" hidden="1" customHeight="1"/>
    <row r="75" spans="1:9" ht="14.25" hidden="1" customHeight="1">
      <c r="A75" s="2">
        <v>43374</v>
      </c>
    </row>
    <row r="76" spans="1:9" ht="14.25" hidden="1" customHeight="1">
      <c r="A76" s="3" t="s">
        <v>1</v>
      </c>
      <c r="B76" s="3" t="s">
        <v>2</v>
      </c>
      <c r="C76" s="3" t="s">
        <v>3</v>
      </c>
      <c r="D76" s="3" t="s">
        <v>4</v>
      </c>
      <c r="E76" s="3" t="s">
        <v>5</v>
      </c>
      <c r="F76" s="3" t="s">
        <v>14</v>
      </c>
      <c r="G76" s="3" t="s">
        <v>7</v>
      </c>
      <c r="H76" s="3" t="s">
        <v>8</v>
      </c>
      <c r="I76" s="6"/>
    </row>
    <row r="77" spans="1:9" ht="14.25" hidden="1" customHeight="1">
      <c r="A77" s="3" t="s">
        <v>9</v>
      </c>
      <c r="B77" s="4">
        <v>503298</v>
      </c>
      <c r="C77" s="4">
        <v>516583</v>
      </c>
      <c r="D77" s="4">
        <v>13285</v>
      </c>
      <c r="E77" s="7">
        <v>20269.989999999998</v>
      </c>
      <c r="F77" s="7"/>
      <c r="G77" s="7"/>
      <c r="H77" s="7"/>
      <c r="I77" s="10"/>
    </row>
    <row r="78" spans="1:9" ht="14.25" hidden="1" customHeight="1">
      <c r="A78" s="3" t="s">
        <v>10</v>
      </c>
      <c r="B78" s="4">
        <v>1116465</v>
      </c>
      <c r="C78" s="4">
        <v>1129957</v>
      </c>
      <c r="D78" s="4">
        <v>13492</v>
      </c>
      <c r="E78" s="7">
        <v>18398.6315</v>
      </c>
      <c r="F78" s="7">
        <v>0</v>
      </c>
      <c r="G78" s="7">
        <v>141.4615</v>
      </c>
      <c r="H78" s="7">
        <v>570.84849999999994</v>
      </c>
      <c r="I78" s="10"/>
    </row>
    <row r="79" spans="1:9" ht="14.25" hidden="1" customHeight="1">
      <c r="A79" s="3" t="s">
        <v>11</v>
      </c>
      <c r="B79" s="3"/>
      <c r="C79" s="3"/>
      <c r="D79" s="3"/>
      <c r="E79" s="5">
        <v>20269.989999999998</v>
      </c>
      <c r="F79" s="5"/>
      <c r="G79" s="5"/>
      <c r="H79" s="5"/>
      <c r="I79" s="9"/>
    </row>
    <row r="80" spans="1:9" ht="14.25" hidden="1" customHeight="1">
      <c r="A80" s="3" t="s">
        <v>12</v>
      </c>
      <c r="B80" s="3"/>
      <c r="C80" s="3"/>
      <c r="D80" s="3"/>
      <c r="E80" s="5">
        <v>19110.941500000001</v>
      </c>
      <c r="F80" s="5"/>
      <c r="G80" s="5"/>
      <c r="H80" s="5"/>
      <c r="I80" s="9"/>
    </row>
    <row r="81" spans="1:9" ht="14.25" hidden="1" customHeight="1">
      <c r="A81" s="3" t="s">
        <v>13</v>
      </c>
      <c r="B81" s="3"/>
      <c r="C81" s="3"/>
      <c r="D81" s="3"/>
      <c r="E81" s="5">
        <v>1159.0484999999971</v>
      </c>
      <c r="F81" s="5"/>
      <c r="G81" s="5"/>
      <c r="H81" s="5"/>
      <c r="I81" s="9"/>
    </row>
    <row r="82" spans="1:9" ht="14.25" hidden="1" customHeight="1"/>
    <row r="83" spans="1:9" ht="14.25" hidden="1" customHeight="1">
      <c r="A83" s="2">
        <v>43405</v>
      </c>
    </row>
    <row r="84" spans="1:9" ht="14.25" hidden="1" customHeight="1">
      <c r="A84" s="3" t="s">
        <v>1</v>
      </c>
      <c r="B84" s="3" t="s">
        <v>2</v>
      </c>
      <c r="C84" s="3" t="s">
        <v>3</v>
      </c>
      <c r="D84" s="3" t="s">
        <v>4</v>
      </c>
      <c r="E84" s="3" t="s">
        <v>5</v>
      </c>
      <c r="F84" s="3" t="s">
        <v>14</v>
      </c>
      <c r="G84" s="3" t="s">
        <v>7</v>
      </c>
      <c r="H84" s="3" t="s">
        <v>8</v>
      </c>
      <c r="I84" s="6"/>
    </row>
    <row r="85" spans="1:9" ht="14.25" hidden="1" customHeight="1">
      <c r="A85" s="3" t="s">
        <v>9</v>
      </c>
      <c r="B85" s="4">
        <v>516583</v>
      </c>
      <c r="C85" s="4">
        <v>527881</v>
      </c>
      <c r="D85" s="4">
        <v>11298</v>
      </c>
      <c r="E85" s="7">
        <v>21750</v>
      </c>
      <c r="F85" s="7"/>
      <c r="G85" s="7"/>
      <c r="H85" s="7"/>
      <c r="I85" s="10"/>
    </row>
    <row r="86" spans="1:9" ht="14.25" hidden="1" customHeight="1">
      <c r="A86" s="3" t="s">
        <v>10</v>
      </c>
      <c r="B86" s="4">
        <v>1129957</v>
      </c>
      <c r="C86" s="4">
        <v>1143685</v>
      </c>
      <c r="D86" s="4">
        <v>13728</v>
      </c>
      <c r="E86" s="7">
        <v>18720.458999999999</v>
      </c>
      <c r="F86" s="7">
        <v>0</v>
      </c>
      <c r="G86" s="7">
        <v>141.4615</v>
      </c>
      <c r="H86" s="7">
        <v>570.84849999999994</v>
      </c>
      <c r="I86" s="10"/>
    </row>
    <row r="87" spans="1:9" ht="14.25" hidden="1" customHeight="1">
      <c r="A87" s="3" t="s">
        <v>11</v>
      </c>
      <c r="B87" s="3"/>
      <c r="C87" s="3"/>
      <c r="D87" s="3"/>
      <c r="E87" s="5">
        <v>21750</v>
      </c>
      <c r="F87" s="5"/>
      <c r="G87" s="5"/>
      <c r="H87" s="5"/>
      <c r="I87" s="9"/>
    </row>
    <row r="88" spans="1:9" ht="14.25" hidden="1" customHeight="1">
      <c r="A88" s="3" t="s">
        <v>12</v>
      </c>
      <c r="B88" s="3"/>
      <c r="C88" s="3"/>
      <c r="D88" s="3"/>
      <c r="E88" s="5">
        <v>19432.769</v>
      </c>
      <c r="F88" s="5"/>
      <c r="G88" s="5"/>
      <c r="H88" s="5"/>
      <c r="I88" s="9"/>
    </row>
    <row r="89" spans="1:9" ht="14.25" hidden="1" customHeight="1">
      <c r="A89" s="3" t="s">
        <v>13</v>
      </c>
      <c r="B89" s="3"/>
      <c r="C89" s="3"/>
      <c r="D89" s="3"/>
      <c r="E89" s="5">
        <v>2317.2309999999998</v>
      </c>
      <c r="F89" s="5"/>
      <c r="G89" s="5"/>
      <c r="H89" s="5"/>
      <c r="I89" s="9"/>
    </row>
    <row r="90" spans="1:9" ht="14.25" hidden="1" customHeight="1"/>
    <row r="91" spans="1:9" ht="14.25" hidden="1" customHeight="1">
      <c r="A91" s="2">
        <v>43435</v>
      </c>
    </row>
    <row r="92" spans="1:9" ht="14.25" hidden="1" customHeight="1">
      <c r="A92" s="3" t="s">
        <v>1</v>
      </c>
      <c r="B92" s="3" t="s">
        <v>2</v>
      </c>
      <c r="C92" s="3" t="s">
        <v>3</v>
      </c>
      <c r="D92" s="3" t="s">
        <v>4</v>
      </c>
      <c r="E92" s="3" t="s">
        <v>5</v>
      </c>
      <c r="F92" s="3" t="s">
        <v>14</v>
      </c>
      <c r="G92" s="3" t="s">
        <v>7</v>
      </c>
      <c r="H92" s="3" t="s">
        <v>8</v>
      </c>
      <c r="I92" s="6"/>
    </row>
    <row r="93" spans="1:9" ht="14.25" hidden="1" customHeight="1">
      <c r="A93" s="3" t="s">
        <v>9</v>
      </c>
      <c r="B93" s="4">
        <v>527881</v>
      </c>
      <c r="C93" s="4">
        <v>537715</v>
      </c>
      <c r="D93" s="4">
        <v>9834</v>
      </c>
      <c r="E93" s="7">
        <v>18150</v>
      </c>
      <c r="F93" s="7"/>
      <c r="G93" s="7"/>
      <c r="H93" s="7"/>
      <c r="I93" s="10"/>
    </row>
    <row r="94" spans="1:9" ht="14.25" hidden="1" customHeight="1">
      <c r="A94" s="3" t="s">
        <v>10</v>
      </c>
      <c r="B94" s="4">
        <v>1143685</v>
      </c>
      <c r="C94" s="4">
        <v>1155443</v>
      </c>
      <c r="D94" s="4">
        <v>11758</v>
      </c>
      <c r="E94" s="7">
        <v>16034.035999999998</v>
      </c>
      <c r="F94" s="7">
        <v>0</v>
      </c>
      <c r="G94" s="7">
        <v>141.4615</v>
      </c>
      <c r="H94" s="7">
        <v>570.84849999999994</v>
      </c>
      <c r="I94" s="10"/>
    </row>
    <row r="95" spans="1:9" ht="14.25" hidden="1" customHeight="1">
      <c r="A95" s="3" t="s">
        <v>11</v>
      </c>
      <c r="B95" s="3"/>
      <c r="C95" s="3"/>
      <c r="D95" s="3"/>
      <c r="E95" s="5">
        <v>18150</v>
      </c>
      <c r="F95" s="5"/>
      <c r="G95" s="5"/>
      <c r="H95" s="5"/>
      <c r="I95" s="9"/>
    </row>
    <row r="96" spans="1:9" ht="14.25" hidden="1" customHeight="1">
      <c r="A96" s="3" t="s">
        <v>12</v>
      </c>
      <c r="B96" s="3"/>
      <c r="C96" s="3"/>
      <c r="D96" s="3"/>
      <c r="E96" s="5">
        <v>16746.345999999998</v>
      </c>
      <c r="F96" s="5"/>
      <c r="G96" s="5"/>
      <c r="H96" s="5"/>
      <c r="I96" s="9"/>
    </row>
    <row r="97" spans="1:13" ht="14.25" hidden="1" customHeight="1">
      <c r="A97" s="3" t="s">
        <v>13</v>
      </c>
      <c r="B97" s="3"/>
      <c r="C97" s="3"/>
      <c r="D97" s="3"/>
      <c r="E97" s="5">
        <v>1403.6540000000023</v>
      </c>
      <c r="F97" s="5"/>
      <c r="G97" s="5"/>
      <c r="H97" s="5"/>
      <c r="I97" s="9"/>
    </row>
    <row r="98" spans="1:13" ht="14.25" customHeight="1"/>
    <row r="99" spans="1:13" ht="14.25" customHeight="1">
      <c r="A99" s="21">
        <v>43466</v>
      </c>
    </row>
    <row r="100" spans="1:13" ht="14.25" hidden="1" customHeight="1">
      <c r="A100" s="3" t="s">
        <v>1</v>
      </c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14</v>
      </c>
      <c r="G100" s="3" t="s">
        <v>7</v>
      </c>
      <c r="H100" s="3" t="s">
        <v>8</v>
      </c>
      <c r="I100" s="3" t="s">
        <v>15</v>
      </c>
      <c r="J100" s="3" t="s">
        <v>16</v>
      </c>
      <c r="K100" s="3" t="s">
        <v>17</v>
      </c>
      <c r="L100" s="3" t="s">
        <v>18</v>
      </c>
      <c r="M100" s="3" t="s">
        <v>19</v>
      </c>
    </row>
    <row r="101" spans="1:13" ht="14.25" hidden="1" customHeight="1">
      <c r="A101" s="3" t="s">
        <v>9</v>
      </c>
      <c r="B101" s="4">
        <v>537715</v>
      </c>
      <c r="C101" s="4">
        <v>549833</v>
      </c>
      <c r="D101" s="4">
        <v>12118</v>
      </c>
      <c r="E101" s="7">
        <v>18549.989999999998</v>
      </c>
      <c r="F101" s="7"/>
      <c r="G101" s="7"/>
      <c r="H101" s="7"/>
      <c r="I101" s="7" t="s">
        <v>20</v>
      </c>
      <c r="J101" s="4" t="s">
        <v>21</v>
      </c>
      <c r="K101" s="7">
        <f>E101/D101</f>
        <v>1.5307798316553884</v>
      </c>
      <c r="L101" s="4">
        <v>14</v>
      </c>
      <c r="M101" s="4">
        <f>D101/L101</f>
        <v>865.57142857142856</v>
      </c>
    </row>
    <row r="102" spans="1:13" ht="14.25" hidden="1" customHeight="1">
      <c r="A102" s="3" t="s">
        <v>10</v>
      </c>
      <c r="B102" s="4">
        <v>1155443</v>
      </c>
      <c r="C102" s="4">
        <v>1167645</v>
      </c>
      <c r="D102" s="4">
        <v>12202</v>
      </c>
      <c r="E102" s="7">
        <v>16639.499499999998</v>
      </c>
      <c r="F102" s="7">
        <v>0</v>
      </c>
      <c r="G102" s="7">
        <v>141.4615</v>
      </c>
      <c r="H102" s="7">
        <v>570.84849999999994</v>
      </c>
      <c r="I102" s="7" t="s">
        <v>20</v>
      </c>
      <c r="J102" s="4" t="s">
        <v>22</v>
      </c>
      <c r="K102" s="11">
        <v>1.42</v>
      </c>
      <c r="L102" s="4">
        <v>31</v>
      </c>
      <c r="M102" s="4">
        <f>D102/L102</f>
        <v>393.61290322580646</v>
      </c>
    </row>
    <row r="103" spans="1:13" ht="14.25" hidden="1" customHeight="1">
      <c r="A103" s="3" t="s">
        <v>11</v>
      </c>
      <c r="B103" s="3"/>
      <c r="C103" s="3"/>
      <c r="D103" s="3"/>
      <c r="E103" s="5">
        <v>18549.989999999998</v>
      </c>
      <c r="F103" s="5"/>
      <c r="G103" s="5"/>
      <c r="H103" s="5"/>
      <c r="I103" s="5"/>
      <c r="J103" s="4"/>
      <c r="K103" s="4"/>
      <c r="L103" s="4"/>
      <c r="M103" s="4"/>
    </row>
    <row r="104" spans="1:13" ht="14.25" hidden="1" customHeight="1">
      <c r="A104" s="3" t="s">
        <v>12</v>
      </c>
      <c r="B104" s="3"/>
      <c r="C104" s="3"/>
      <c r="D104" s="3"/>
      <c r="E104" s="5">
        <v>17351.809499999999</v>
      </c>
      <c r="F104" s="5"/>
      <c r="G104" s="5"/>
      <c r="H104" s="5"/>
      <c r="I104" s="5"/>
      <c r="J104" s="4"/>
      <c r="K104" s="4"/>
      <c r="L104" s="4"/>
      <c r="M104" s="4"/>
    </row>
    <row r="105" spans="1:13" ht="14.25" hidden="1" customHeight="1">
      <c r="A105" s="3" t="s">
        <v>13</v>
      </c>
      <c r="B105" s="3"/>
      <c r="C105" s="3"/>
      <c r="D105" s="3">
        <f>D101-D102</f>
        <v>-84</v>
      </c>
      <c r="E105" s="5">
        <v>1198.1804999999986</v>
      </c>
      <c r="F105" s="5"/>
      <c r="G105" s="5"/>
      <c r="H105" s="5"/>
      <c r="I105" s="5"/>
      <c r="J105" s="4"/>
      <c r="K105" s="4"/>
      <c r="L105" s="4"/>
      <c r="M105" s="4"/>
    </row>
    <row r="106" spans="1:13" ht="14.25" hidden="1" customHeight="1"/>
    <row r="107" spans="1:13" ht="14.25" hidden="1" customHeight="1">
      <c r="A107" s="2">
        <v>43497</v>
      </c>
    </row>
    <row r="108" spans="1:13" ht="14.25" hidden="1" customHeight="1">
      <c r="A108" s="3" t="s">
        <v>1</v>
      </c>
      <c r="B108" s="3" t="s">
        <v>2</v>
      </c>
      <c r="C108" s="3" t="s">
        <v>3</v>
      </c>
      <c r="D108" s="3" t="s">
        <v>4</v>
      </c>
      <c r="E108" s="3" t="s">
        <v>5</v>
      </c>
      <c r="F108" s="3" t="s">
        <v>14</v>
      </c>
      <c r="G108" s="3" t="s">
        <v>7</v>
      </c>
      <c r="H108" s="3" t="s">
        <v>8</v>
      </c>
      <c r="I108" s="3" t="s">
        <v>15</v>
      </c>
      <c r="J108" s="3" t="s">
        <v>16</v>
      </c>
      <c r="K108" s="3" t="s">
        <v>17</v>
      </c>
      <c r="L108" s="3" t="s">
        <v>18</v>
      </c>
      <c r="M108" s="3" t="s">
        <v>19</v>
      </c>
    </row>
    <row r="109" spans="1:13" ht="14.25" hidden="1" customHeight="1">
      <c r="A109" s="3" t="s">
        <v>9</v>
      </c>
      <c r="B109" s="4">
        <v>549833</v>
      </c>
      <c r="C109" s="4">
        <v>564158</v>
      </c>
      <c r="D109" s="4">
        <v>14325</v>
      </c>
      <c r="E109" s="7">
        <v>19090</v>
      </c>
      <c r="F109" s="7"/>
      <c r="G109" s="7"/>
      <c r="H109" s="7"/>
      <c r="I109" s="7" t="s">
        <v>20</v>
      </c>
      <c r="J109" s="4" t="s">
        <v>23</v>
      </c>
      <c r="K109" s="7">
        <f>E109/D109</f>
        <v>1.3326352530541012</v>
      </c>
      <c r="L109" s="4">
        <v>34</v>
      </c>
      <c r="M109" s="4">
        <f>D109/L109</f>
        <v>421.3235294117647</v>
      </c>
    </row>
    <row r="110" spans="1:13" ht="14.25" hidden="1" customHeight="1">
      <c r="A110" s="3" t="s">
        <v>10</v>
      </c>
      <c r="B110" s="4">
        <v>1167645</v>
      </c>
      <c r="C110" s="4">
        <v>1180293</v>
      </c>
      <c r="D110" s="4">
        <v>12648</v>
      </c>
      <c r="E110" s="7">
        <v>17247.699999999997</v>
      </c>
      <c r="F110" s="7">
        <v>0</v>
      </c>
      <c r="G110" s="7">
        <v>141.4615</v>
      </c>
      <c r="H110" s="7">
        <v>570.84849999999994</v>
      </c>
      <c r="I110" s="7" t="s">
        <v>20</v>
      </c>
      <c r="J110" s="4" t="s">
        <v>24</v>
      </c>
      <c r="K110" s="11">
        <v>1.42</v>
      </c>
      <c r="L110" s="4">
        <v>28</v>
      </c>
      <c r="M110" s="4">
        <f>D110/L110</f>
        <v>451.71428571428572</v>
      </c>
    </row>
    <row r="111" spans="1:13" ht="14.25" hidden="1" customHeight="1">
      <c r="A111" s="3" t="s">
        <v>11</v>
      </c>
      <c r="B111" s="3"/>
      <c r="C111" s="3"/>
      <c r="D111" s="3"/>
      <c r="E111" s="5">
        <v>19090</v>
      </c>
      <c r="F111" s="5"/>
      <c r="G111" s="5"/>
      <c r="H111" s="5"/>
      <c r="I111" s="5"/>
      <c r="J111" s="4"/>
      <c r="K111" s="4"/>
      <c r="L111" s="4"/>
      <c r="M111" s="4"/>
    </row>
    <row r="112" spans="1:13" ht="14.25" hidden="1" customHeight="1">
      <c r="A112" s="3" t="s">
        <v>12</v>
      </c>
      <c r="B112" s="3"/>
      <c r="C112" s="3"/>
      <c r="D112" s="3"/>
      <c r="E112" s="5">
        <v>17960.009999999998</v>
      </c>
      <c r="F112" s="5"/>
      <c r="G112" s="5"/>
      <c r="H112" s="5"/>
      <c r="I112" s="5"/>
      <c r="J112" s="4"/>
      <c r="K112" s="4"/>
      <c r="L112" s="4"/>
      <c r="M112" s="4"/>
    </row>
    <row r="113" spans="1:13" ht="14.25" hidden="1" customHeight="1">
      <c r="A113" s="3" t="s">
        <v>13</v>
      </c>
      <c r="B113" s="3"/>
      <c r="C113" s="3"/>
      <c r="D113" s="3">
        <f>D109-D110</f>
        <v>1677</v>
      </c>
      <c r="E113" s="5">
        <v>1129.9900000000016</v>
      </c>
      <c r="F113" s="5"/>
      <c r="G113" s="5"/>
      <c r="H113" s="5"/>
      <c r="I113" s="5"/>
      <c r="J113" s="4"/>
      <c r="K113" s="4"/>
      <c r="L113" s="4"/>
      <c r="M113" s="4"/>
    </row>
    <row r="114" spans="1:13" ht="14.25" hidden="1" customHeight="1"/>
    <row r="115" spans="1:13" ht="14.25" hidden="1" customHeight="1">
      <c r="A115" s="2">
        <v>43525</v>
      </c>
    </row>
    <row r="116" spans="1:13" ht="14.25" hidden="1" customHeight="1">
      <c r="A116" s="3" t="s">
        <v>1</v>
      </c>
      <c r="B116" s="3" t="s">
        <v>2</v>
      </c>
      <c r="C116" s="3" t="s">
        <v>3</v>
      </c>
      <c r="D116" s="3" t="s">
        <v>4</v>
      </c>
      <c r="E116" s="3" t="s">
        <v>5</v>
      </c>
      <c r="F116" s="3" t="s">
        <v>14</v>
      </c>
      <c r="G116" s="3" t="s">
        <v>7</v>
      </c>
      <c r="H116" s="3" t="s">
        <v>8</v>
      </c>
      <c r="I116" s="3" t="s">
        <v>15</v>
      </c>
      <c r="J116" s="3" t="s">
        <v>16</v>
      </c>
      <c r="K116" s="3" t="s">
        <v>17</v>
      </c>
      <c r="L116" s="3" t="s">
        <v>18</v>
      </c>
      <c r="M116" s="3" t="s">
        <v>19</v>
      </c>
    </row>
    <row r="117" spans="1:13" ht="14.25" hidden="1" customHeight="1">
      <c r="A117" s="3" t="s">
        <v>9</v>
      </c>
      <c r="B117" s="4">
        <v>564158</v>
      </c>
      <c r="C117" s="4">
        <v>574154</v>
      </c>
      <c r="D117" s="4">
        <v>9996</v>
      </c>
      <c r="E117" s="7">
        <v>17530</v>
      </c>
      <c r="F117" s="7"/>
      <c r="G117" s="7"/>
      <c r="H117" s="7"/>
      <c r="I117" s="7" t="s">
        <v>20</v>
      </c>
      <c r="J117" s="4" t="s">
        <v>25</v>
      </c>
      <c r="K117" s="7">
        <f>E117/D117</f>
        <v>1.7537014805922368</v>
      </c>
      <c r="L117" s="4">
        <v>30</v>
      </c>
      <c r="M117" s="4">
        <f>D117/L117</f>
        <v>333.2</v>
      </c>
    </row>
    <row r="118" spans="1:13" ht="14.25" hidden="1" customHeight="1">
      <c r="A118" s="3" t="s">
        <v>10</v>
      </c>
      <c r="B118" s="4">
        <v>1180293</v>
      </c>
      <c r="C118" s="4">
        <v>1191320</v>
      </c>
      <c r="D118" s="4">
        <v>11027</v>
      </c>
      <c r="E118" s="7">
        <v>15037.192999999999</v>
      </c>
      <c r="F118" s="7">
        <v>0</v>
      </c>
      <c r="G118" s="7">
        <v>141.4615</v>
      </c>
      <c r="H118" s="7">
        <v>570.84849999999994</v>
      </c>
      <c r="I118" s="7" t="s">
        <v>20</v>
      </c>
      <c r="J118" s="4" t="s">
        <v>26</v>
      </c>
      <c r="K118" s="11">
        <v>1.43</v>
      </c>
      <c r="L118" s="4">
        <v>31</v>
      </c>
      <c r="M118" s="4">
        <f>D118/L118</f>
        <v>355.70967741935482</v>
      </c>
    </row>
    <row r="119" spans="1:13" ht="14.25" hidden="1" customHeight="1">
      <c r="A119" s="3" t="s">
        <v>11</v>
      </c>
      <c r="B119" s="3"/>
      <c r="C119" s="3"/>
      <c r="D119" s="3"/>
      <c r="E119" s="5">
        <v>17530</v>
      </c>
      <c r="F119" s="5"/>
      <c r="G119" s="5"/>
      <c r="H119" s="5"/>
      <c r="I119" s="5"/>
      <c r="J119" s="4"/>
      <c r="K119" s="4"/>
      <c r="L119" s="4"/>
      <c r="M119" s="4"/>
    </row>
    <row r="120" spans="1:13" ht="14.25" hidden="1" customHeight="1">
      <c r="A120" s="3" t="s">
        <v>12</v>
      </c>
      <c r="B120" s="3"/>
      <c r="C120" s="3"/>
      <c r="D120" s="3"/>
      <c r="E120" s="5">
        <v>15749.502999999999</v>
      </c>
      <c r="F120" s="5"/>
      <c r="G120" s="5"/>
      <c r="H120" s="5"/>
      <c r="I120" s="5"/>
      <c r="J120" s="4"/>
      <c r="K120" s="4"/>
      <c r="L120" s="4"/>
      <c r="M120" s="4"/>
    </row>
    <row r="121" spans="1:13" ht="14.25" hidden="1" customHeight="1">
      <c r="A121" s="3" t="s">
        <v>13</v>
      </c>
      <c r="B121" s="3"/>
      <c r="C121" s="3"/>
      <c r="D121" s="3">
        <f>D117-D118</f>
        <v>-1031</v>
      </c>
      <c r="E121" s="5">
        <v>1780.4970000000012</v>
      </c>
      <c r="F121" s="5"/>
      <c r="G121" s="5"/>
      <c r="H121" s="5"/>
      <c r="I121" s="5"/>
      <c r="J121" s="4"/>
      <c r="K121" s="4"/>
      <c r="L121" s="4"/>
      <c r="M121" s="4"/>
    </row>
    <row r="122" spans="1:13" ht="14.25" hidden="1" customHeight="1"/>
    <row r="123" spans="1:13" ht="14.25" hidden="1" customHeight="1">
      <c r="A123" s="2">
        <v>43191</v>
      </c>
    </row>
    <row r="124" spans="1:13" ht="14.25" hidden="1" customHeight="1">
      <c r="A124" s="3" t="s">
        <v>1</v>
      </c>
      <c r="B124" s="3" t="s">
        <v>2</v>
      </c>
      <c r="C124" s="3" t="s">
        <v>3</v>
      </c>
      <c r="D124" s="3" t="s">
        <v>4</v>
      </c>
      <c r="E124" s="3" t="s">
        <v>5</v>
      </c>
      <c r="F124" s="3" t="s">
        <v>14</v>
      </c>
      <c r="G124" s="3" t="s">
        <v>7</v>
      </c>
      <c r="H124" s="3" t="s">
        <v>8</v>
      </c>
      <c r="I124" s="3" t="s">
        <v>15</v>
      </c>
      <c r="J124" s="3" t="s">
        <v>16</v>
      </c>
      <c r="K124" s="3" t="s">
        <v>17</v>
      </c>
      <c r="L124" s="3" t="s">
        <v>18</v>
      </c>
      <c r="M124" s="3" t="s">
        <v>19</v>
      </c>
    </row>
    <row r="125" spans="1:13" ht="14.25" hidden="1" customHeight="1">
      <c r="A125" s="3" t="s">
        <v>9</v>
      </c>
      <c r="B125" s="4">
        <v>574154</v>
      </c>
      <c r="C125" s="4">
        <v>588835</v>
      </c>
      <c r="D125" s="4">
        <v>14681</v>
      </c>
      <c r="E125" s="7">
        <v>21804</v>
      </c>
      <c r="F125" s="7"/>
      <c r="G125" s="7"/>
      <c r="H125" s="7"/>
      <c r="I125" s="7" t="s">
        <v>20</v>
      </c>
      <c r="J125" s="4" t="s">
        <v>27</v>
      </c>
      <c r="K125" s="7">
        <f>E125/D125</f>
        <v>1.4851849329064777</v>
      </c>
      <c r="L125" s="4">
        <v>33</v>
      </c>
      <c r="M125" s="4">
        <f>D125/L125</f>
        <v>444.87878787878788</v>
      </c>
    </row>
    <row r="126" spans="1:13" ht="14.25" hidden="1" customHeight="1">
      <c r="A126" s="3" t="s">
        <v>10</v>
      </c>
      <c r="B126" s="4">
        <v>1191320</v>
      </c>
      <c r="C126" s="4">
        <v>1204234</v>
      </c>
      <c r="D126" s="4">
        <v>12914</v>
      </c>
      <c r="E126" s="7">
        <v>17610.432999999997</v>
      </c>
      <c r="F126" s="7">
        <v>0</v>
      </c>
      <c r="G126" s="7">
        <v>141.4615</v>
      </c>
      <c r="H126" s="7">
        <v>570.84849999999994</v>
      </c>
      <c r="I126" s="7" t="s">
        <v>20</v>
      </c>
      <c r="J126" s="12" t="s">
        <v>28</v>
      </c>
      <c r="K126" s="11">
        <v>1.42</v>
      </c>
      <c r="L126" s="4">
        <v>30</v>
      </c>
      <c r="M126" s="4">
        <f>D126/L126</f>
        <v>430.46666666666664</v>
      </c>
    </row>
    <row r="127" spans="1:13" ht="14.25" hidden="1" customHeight="1">
      <c r="A127" s="3" t="s">
        <v>11</v>
      </c>
      <c r="B127" s="3"/>
      <c r="C127" s="3"/>
      <c r="D127" s="3"/>
      <c r="E127" s="5">
        <f>E125</f>
        <v>21804</v>
      </c>
      <c r="F127" s="5"/>
      <c r="G127" s="5"/>
      <c r="H127" s="5"/>
      <c r="I127" s="5"/>
      <c r="J127" s="4"/>
      <c r="K127" s="4"/>
      <c r="L127" s="4"/>
      <c r="M127" s="4"/>
    </row>
    <row r="128" spans="1:13" ht="14.25" hidden="1" customHeight="1">
      <c r="A128" s="3" t="s">
        <v>12</v>
      </c>
      <c r="B128" s="3"/>
      <c r="C128" s="3"/>
      <c r="D128" s="3"/>
      <c r="E128" s="5">
        <v>18322.742999999999</v>
      </c>
      <c r="F128" s="5"/>
      <c r="G128" s="5"/>
      <c r="H128" s="5"/>
      <c r="I128" s="5"/>
      <c r="J128" s="4"/>
      <c r="K128" s="4"/>
      <c r="L128" s="4"/>
      <c r="M128" s="4"/>
    </row>
    <row r="129" spans="1:13" ht="14.25" hidden="1" customHeight="1">
      <c r="A129" s="3" t="s">
        <v>13</v>
      </c>
      <c r="B129" s="3"/>
      <c r="C129" s="3"/>
      <c r="D129" s="3">
        <f>D125-D126</f>
        <v>1767</v>
      </c>
      <c r="E129" s="5">
        <f>E127-E128</f>
        <v>3481.2570000000014</v>
      </c>
      <c r="F129" s="5"/>
      <c r="G129" s="5"/>
      <c r="H129" s="5"/>
      <c r="I129" s="5"/>
      <c r="J129" s="4"/>
      <c r="K129" s="4"/>
      <c r="L129" s="4"/>
      <c r="M129" s="4"/>
    </row>
    <row r="130" spans="1:13" ht="14.25" hidden="1" customHeight="1"/>
    <row r="131" spans="1:13" hidden="1">
      <c r="A131" s="2">
        <v>43586</v>
      </c>
    </row>
    <row r="132" spans="1:13" hidden="1">
      <c r="A132" s="3" t="s">
        <v>1</v>
      </c>
      <c r="B132" s="3" t="s">
        <v>2</v>
      </c>
      <c r="C132" s="3" t="s">
        <v>3</v>
      </c>
      <c r="D132" s="3" t="s">
        <v>4</v>
      </c>
      <c r="E132" s="3" t="s">
        <v>5</v>
      </c>
      <c r="F132" s="3" t="s">
        <v>14</v>
      </c>
      <c r="G132" s="3" t="s">
        <v>7</v>
      </c>
      <c r="H132" s="3" t="s">
        <v>8</v>
      </c>
      <c r="I132" s="3" t="s">
        <v>15</v>
      </c>
      <c r="J132" s="3" t="s">
        <v>16</v>
      </c>
      <c r="K132" s="3" t="s">
        <v>17</v>
      </c>
      <c r="L132" s="3" t="s">
        <v>18</v>
      </c>
      <c r="M132" s="3" t="s">
        <v>19</v>
      </c>
    </row>
    <row r="133" spans="1:13" hidden="1">
      <c r="A133" s="3" t="s">
        <v>9</v>
      </c>
      <c r="B133" s="4">
        <v>588835</v>
      </c>
      <c r="C133" s="4">
        <v>599038</v>
      </c>
      <c r="D133" s="4">
        <f>C133-B133</f>
        <v>10203</v>
      </c>
      <c r="E133" s="7">
        <v>21200</v>
      </c>
      <c r="F133" s="7"/>
      <c r="G133" s="7"/>
      <c r="H133" s="7"/>
      <c r="I133" s="7" t="s">
        <v>20</v>
      </c>
      <c r="J133" s="4" t="s">
        <v>29</v>
      </c>
      <c r="K133" s="7">
        <f>E133/D133</f>
        <v>2.0778202489463884</v>
      </c>
      <c r="L133" s="4">
        <v>29</v>
      </c>
      <c r="M133" s="4">
        <f>D133/L133</f>
        <v>351.82758620689657</v>
      </c>
    </row>
    <row r="134" spans="1:13" hidden="1">
      <c r="A134" s="3" t="s">
        <v>10</v>
      </c>
      <c r="B134" s="4">
        <v>1204234</v>
      </c>
      <c r="C134" s="4">
        <v>1217737</v>
      </c>
      <c r="D134" s="4">
        <v>13503</v>
      </c>
      <c r="E134" s="7">
        <f>16011.86*1.15</f>
        <v>18413.638999999999</v>
      </c>
      <c r="F134" s="7">
        <v>0</v>
      </c>
      <c r="G134" s="7">
        <f>123.01*1.15</f>
        <v>141.4615</v>
      </c>
      <c r="H134" s="7">
        <f>496.39*1.15</f>
        <v>570.84849999999994</v>
      </c>
      <c r="I134" s="7" t="s">
        <v>20</v>
      </c>
      <c r="J134" s="4" t="s">
        <v>30</v>
      </c>
      <c r="K134" s="11">
        <v>1.42</v>
      </c>
      <c r="L134" s="4">
        <v>31</v>
      </c>
      <c r="M134" s="4">
        <f>D134/L134</f>
        <v>435.58064516129031</v>
      </c>
    </row>
    <row r="135" spans="1:13" hidden="1">
      <c r="A135" s="3" t="s">
        <v>11</v>
      </c>
      <c r="B135" s="3"/>
      <c r="C135" s="3"/>
      <c r="D135" s="3"/>
      <c r="E135" s="5">
        <v>21200</v>
      </c>
      <c r="F135" s="5"/>
      <c r="G135" s="5"/>
      <c r="H135" s="5"/>
      <c r="I135" s="5"/>
      <c r="J135" s="4"/>
      <c r="K135" s="4"/>
      <c r="L135" s="4"/>
      <c r="M135" s="4"/>
    </row>
    <row r="136" spans="1:13" hidden="1">
      <c r="A136" s="3" t="s">
        <v>12</v>
      </c>
      <c r="B136" s="3"/>
      <c r="C136" s="3"/>
      <c r="D136" s="3"/>
      <c r="E136" s="5">
        <f>E134+F134+G134+H134</f>
        <v>19125.949000000001</v>
      </c>
      <c r="F136" s="5"/>
      <c r="G136" s="5"/>
      <c r="H136" s="5"/>
      <c r="I136" s="5"/>
      <c r="J136" s="4"/>
      <c r="K136" s="4"/>
      <c r="L136" s="4"/>
      <c r="M136" s="4"/>
    </row>
    <row r="137" spans="1:13" hidden="1">
      <c r="A137" s="3" t="s">
        <v>13</v>
      </c>
      <c r="B137" s="3"/>
      <c r="C137" s="3"/>
      <c r="D137" s="3">
        <f>D133-D134</f>
        <v>-3300</v>
      </c>
      <c r="E137" s="5">
        <f>E135-E136</f>
        <v>2074.0509999999995</v>
      </c>
      <c r="F137" s="5"/>
      <c r="G137" s="5"/>
      <c r="H137" s="5"/>
      <c r="I137" s="5"/>
      <c r="J137" s="4"/>
      <c r="K137" s="4"/>
      <c r="L137" s="4"/>
      <c r="M137" s="4"/>
    </row>
    <row r="138" spans="1:13" hidden="1"/>
    <row r="139" spans="1:13" hidden="1">
      <c r="A139" s="8">
        <v>43617</v>
      </c>
    </row>
    <row r="140" spans="1:13" hidden="1">
      <c r="A140" s="3" t="s">
        <v>1</v>
      </c>
      <c r="B140" s="3" t="s">
        <v>2</v>
      </c>
      <c r="C140" s="3" t="s">
        <v>3</v>
      </c>
      <c r="D140" s="3" t="s">
        <v>4</v>
      </c>
      <c r="E140" s="3" t="s">
        <v>5</v>
      </c>
      <c r="F140" s="3" t="s">
        <v>14</v>
      </c>
      <c r="G140" s="3" t="s">
        <v>7</v>
      </c>
      <c r="H140" s="3" t="s">
        <v>8</v>
      </c>
      <c r="I140" s="3" t="s">
        <v>15</v>
      </c>
      <c r="J140" s="3" t="s">
        <v>16</v>
      </c>
      <c r="K140" s="3" t="s">
        <v>17</v>
      </c>
      <c r="L140" s="3" t="s">
        <v>18</v>
      </c>
      <c r="M140" s="3" t="s">
        <v>19</v>
      </c>
    </row>
    <row r="141" spans="1:13" hidden="1">
      <c r="A141" s="3" t="s">
        <v>9</v>
      </c>
      <c r="B141" s="4">
        <v>599038</v>
      </c>
      <c r="C141" s="4">
        <v>614916</v>
      </c>
      <c r="D141" s="4">
        <f>C141-B141</f>
        <v>15878</v>
      </c>
      <c r="E141" s="7">
        <v>20772</v>
      </c>
      <c r="F141" s="7"/>
      <c r="G141" s="7"/>
      <c r="H141" s="7"/>
      <c r="I141" s="7" t="s">
        <v>20</v>
      </c>
      <c r="J141" s="4" t="s">
        <v>31</v>
      </c>
      <c r="K141" s="7">
        <f>E141/D141</f>
        <v>1.3082252172817734</v>
      </c>
      <c r="L141" s="4">
        <v>28</v>
      </c>
      <c r="M141" s="4">
        <f>D141/L141</f>
        <v>567.07142857142856</v>
      </c>
    </row>
    <row r="142" spans="1:13" hidden="1">
      <c r="A142" s="3" t="s">
        <v>10</v>
      </c>
      <c r="B142" s="4">
        <f>C134</f>
        <v>1217737</v>
      </c>
      <c r="C142" s="4">
        <v>1232970</v>
      </c>
      <c r="D142" s="4">
        <v>15233</v>
      </c>
      <c r="E142" s="7">
        <f>18141.79*1.15</f>
        <v>20863.058499999999</v>
      </c>
      <c r="F142" s="7">
        <f>26.94*1.15</f>
        <v>30.980999999999998</v>
      </c>
      <c r="G142" s="7">
        <f>139.09*1.15</f>
        <v>159.95349999999999</v>
      </c>
      <c r="H142" s="7">
        <f>561.27*1.15</f>
        <v>645.46049999999991</v>
      </c>
      <c r="I142" s="7" t="s">
        <v>20</v>
      </c>
      <c r="J142" s="4" t="s">
        <v>32</v>
      </c>
      <c r="K142" s="11">
        <v>1.42</v>
      </c>
      <c r="L142" s="4">
        <v>30</v>
      </c>
      <c r="M142" s="4">
        <f>D142/L142</f>
        <v>507.76666666666665</v>
      </c>
    </row>
    <row r="143" spans="1:13" hidden="1">
      <c r="A143" s="3" t="s">
        <v>11</v>
      </c>
      <c r="B143" s="3"/>
      <c r="C143" s="3"/>
      <c r="D143" s="3"/>
      <c r="E143" s="5">
        <f>E141</f>
        <v>20772</v>
      </c>
      <c r="F143" s="5"/>
      <c r="G143" s="5"/>
      <c r="H143" s="5"/>
      <c r="I143" s="5"/>
      <c r="J143" s="4"/>
      <c r="K143" s="4"/>
      <c r="L143" s="4"/>
      <c r="M143" s="4"/>
    </row>
    <row r="144" spans="1:13" hidden="1">
      <c r="A144" s="3" t="s">
        <v>12</v>
      </c>
      <c r="B144" s="3"/>
      <c r="C144" s="3"/>
      <c r="D144" s="3"/>
      <c r="E144" s="5">
        <v>21699.45</v>
      </c>
      <c r="F144" s="5"/>
      <c r="G144" s="5"/>
      <c r="H144" s="5"/>
      <c r="I144" s="5"/>
      <c r="J144" s="4"/>
      <c r="K144" s="4"/>
      <c r="L144" s="4"/>
      <c r="M144" s="4"/>
    </row>
    <row r="145" spans="1:13" hidden="1">
      <c r="A145" s="3" t="s">
        <v>13</v>
      </c>
      <c r="B145" s="3"/>
      <c r="C145" s="3"/>
      <c r="D145" s="3">
        <f>D141-D142</f>
        <v>645</v>
      </c>
      <c r="E145" s="5">
        <f>E143-E144</f>
        <v>-927.45000000000073</v>
      </c>
      <c r="F145" s="5"/>
      <c r="G145" s="5"/>
      <c r="H145" s="5"/>
      <c r="I145" s="5"/>
      <c r="J145" s="4"/>
      <c r="K145" s="4"/>
      <c r="L145" s="4"/>
      <c r="M145" s="4"/>
    </row>
    <row r="146" spans="1:13" hidden="1"/>
    <row r="147" spans="1:13" hidden="1">
      <c r="A147" s="8">
        <v>43647</v>
      </c>
    </row>
    <row r="148" spans="1:13" hidden="1">
      <c r="A148" s="3" t="s">
        <v>1</v>
      </c>
      <c r="B148" s="3" t="s">
        <v>2</v>
      </c>
      <c r="C148" s="3" t="s">
        <v>3</v>
      </c>
      <c r="D148" s="3" t="s">
        <v>4</v>
      </c>
      <c r="E148" s="3" t="s">
        <v>5</v>
      </c>
      <c r="F148" s="3" t="s">
        <v>14</v>
      </c>
      <c r="G148" s="3" t="s">
        <v>7</v>
      </c>
      <c r="H148" s="3" t="s">
        <v>8</v>
      </c>
      <c r="I148" s="3" t="s">
        <v>15</v>
      </c>
      <c r="J148" s="3" t="s">
        <v>16</v>
      </c>
      <c r="K148" s="3" t="s">
        <v>17</v>
      </c>
      <c r="L148" s="3" t="s">
        <v>18</v>
      </c>
      <c r="M148" s="3" t="s">
        <v>19</v>
      </c>
    </row>
    <row r="149" spans="1:13" hidden="1">
      <c r="A149" s="3" t="s">
        <v>9</v>
      </c>
      <c r="B149" s="4">
        <v>614916</v>
      </c>
      <c r="C149" s="4">
        <v>632653</v>
      </c>
      <c r="D149" s="4">
        <f>C149-B149</f>
        <v>17737</v>
      </c>
      <c r="E149" s="7">
        <v>28480</v>
      </c>
      <c r="F149" s="7"/>
      <c r="G149" s="7"/>
      <c r="H149" s="7"/>
      <c r="I149" s="7" t="s">
        <v>20</v>
      </c>
      <c r="J149" s="4" t="s">
        <v>33</v>
      </c>
      <c r="K149" s="7">
        <f>E149/D149</f>
        <v>1.6056830354625924</v>
      </c>
      <c r="L149" s="4">
        <v>34</v>
      </c>
      <c r="M149" s="4">
        <f>D149/L149</f>
        <v>521.67647058823525</v>
      </c>
    </row>
    <row r="150" spans="1:13" hidden="1">
      <c r="A150" s="3" t="s">
        <v>10</v>
      </c>
      <c r="B150" s="4">
        <f>C142</f>
        <v>1232970</v>
      </c>
      <c r="C150" s="4">
        <v>1248635</v>
      </c>
      <c r="D150" s="4">
        <v>15665</v>
      </c>
      <c r="E150" s="7">
        <f>21080.38*1.15</f>
        <v>24242.436999999998</v>
      </c>
      <c r="F150" s="7">
        <f>23.28*1.15</f>
        <v>26.771999999999998</v>
      </c>
      <c r="G150" s="7">
        <f>139.09*1.15</f>
        <v>159.95349999999999</v>
      </c>
      <c r="H150" s="7">
        <f>561.27*1.15</f>
        <v>645.46049999999991</v>
      </c>
      <c r="I150" s="7" t="s">
        <v>20</v>
      </c>
      <c r="J150" s="4" t="s">
        <v>34</v>
      </c>
      <c r="K150" s="11">
        <v>1.6</v>
      </c>
      <c r="L150" s="4">
        <v>31</v>
      </c>
      <c r="M150" s="4">
        <f>D150/L150</f>
        <v>505.32258064516128</v>
      </c>
    </row>
    <row r="151" spans="1:13" hidden="1">
      <c r="A151" s="3" t="s">
        <v>11</v>
      </c>
      <c r="B151" s="3"/>
      <c r="C151" s="3"/>
      <c r="D151" s="3"/>
      <c r="E151" s="5">
        <f>E149</f>
        <v>28480</v>
      </c>
      <c r="F151" s="5"/>
      <c r="G151" s="5"/>
      <c r="H151" s="5"/>
      <c r="I151" s="5"/>
      <c r="J151" s="4"/>
      <c r="K151" s="4"/>
      <c r="L151" s="4"/>
      <c r="M151" s="4"/>
    </row>
    <row r="152" spans="1:13" hidden="1">
      <c r="A152" s="3" t="s">
        <v>12</v>
      </c>
      <c r="B152" s="3"/>
      <c r="C152" s="3"/>
      <c r="D152" s="3"/>
      <c r="E152" s="5">
        <v>25074.62</v>
      </c>
      <c r="F152" s="5"/>
      <c r="G152" s="5"/>
      <c r="H152" s="5"/>
      <c r="I152" s="5"/>
      <c r="J152" s="4"/>
      <c r="K152" s="4"/>
      <c r="L152" s="4"/>
      <c r="M152" s="4"/>
    </row>
    <row r="153" spans="1:13" hidden="1">
      <c r="A153" s="3" t="s">
        <v>13</v>
      </c>
      <c r="B153" s="3"/>
      <c r="C153" s="3"/>
      <c r="D153" s="3">
        <f>D149-D150</f>
        <v>2072</v>
      </c>
      <c r="E153" s="5">
        <f>E151-E152</f>
        <v>3405.380000000001</v>
      </c>
      <c r="F153" s="5"/>
      <c r="G153" s="5"/>
      <c r="H153" s="5"/>
      <c r="I153" s="5"/>
      <c r="J153" s="4"/>
      <c r="K153" s="4"/>
      <c r="L153" s="4"/>
      <c r="M153" s="4"/>
    </row>
    <row r="154" spans="1:13" hidden="1"/>
    <row r="155" spans="1:13" hidden="1">
      <c r="A155" s="8">
        <v>43678</v>
      </c>
    </row>
    <row r="156" spans="1:13" hidden="1">
      <c r="A156" s="3" t="s">
        <v>1</v>
      </c>
      <c r="B156" s="3" t="s">
        <v>2</v>
      </c>
      <c r="C156" s="3" t="s">
        <v>3</v>
      </c>
      <c r="D156" s="3" t="s">
        <v>4</v>
      </c>
      <c r="E156" s="3" t="s">
        <v>5</v>
      </c>
      <c r="F156" s="3" t="s">
        <v>14</v>
      </c>
      <c r="G156" s="3" t="s">
        <v>7</v>
      </c>
      <c r="H156" s="3" t="s">
        <v>8</v>
      </c>
      <c r="I156" s="3" t="s">
        <v>15</v>
      </c>
      <c r="J156" s="3" t="s">
        <v>16</v>
      </c>
      <c r="K156" s="3" t="s">
        <v>17</v>
      </c>
      <c r="L156" s="3" t="s">
        <v>18</v>
      </c>
      <c r="M156" s="3" t="s">
        <v>19</v>
      </c>
    </row>
    <row r="157" spans="1:13" hidden="1">
      <c r="A157" s="3" t="s">
        <v>9</v>
      </c>
      <c r="B157" s="4">
        <v>646159</v>
      </c>
      <c r="C157" s="4">
        <v>646159</v>
      </c>
      <c r="D157" s="4">
        <f>C157-B157</f>
        <v>0</v>
      </c>
      <c r="E157" s="7"/>
      <c r="F157" s="7"/>
      <c r="G157" s="7"/>
      <c r="H157" s="7"/>
      <c r="I157" s="7" t="s">
        <v>20</v>
      </c>
      <c r="J157" s="4" t="s">
        <v>35</v>
      </c>
      <c r="K157" s="7" t="e">
        <f>E157/D157</f>
        <v>#DIV/0!</v>
      </c>
      <c r="L157" s="4">
        <v>29</v>
      </c>
      <c r="M157" s="4">
        <f>D157/L157</f>
        <v>0</v>
      </c>
    </row>
    <row r="158" spans="1:13" hidden="1">
      <c r="A158" s="3" t="s">
        <v>10</v>
      </c>
      <c r="B158" s="4">
        <f>C150</f>
        <v>1248635</v>
      </c>
      <c r="C158" s="4">
        <v>1276235</v>
      </c>
      <c r="D158" s="4">
        <f>C158-B158</f>
        <v>27600</v>
      </c>
      <c r="E158" s="7">
        <f>19587.75*1.15</f>
        <v>22525.912499999999</v>
      </c>
      <c r="F158" s="7">
        <v>0</v>
      </c>
      <c r="G158" s="7">
        <f>139.09*1.15</f>
        <v>159.95349999999999</v>
      </c>
      <c r="H158" s="7">
        <f>561.27*1.15</f>
        <v>645.46049999999991</v>
      </c>
      <c r="I158" s="7" t="s">
        <v>20</v>
      </c>
      <c r="J158" s="4" t="s">
        <v>36</v>
      </c>
      <c r="K158" s="11">
        <v>1.6</v>
      </c>
      <c r="L158" s="4">
        <v>31</v>
      </c>
      <c r="M158" s="4">
        <f>D158/L158</f>
        <v>890.32258064516134</v>
      </c>
    </row>
    <row r="159" spans="1:13" hidden="1">
      <c r="A159" s="3" t="s">
        <v>11</v>
      </c>
      <c r="B159" s="3"/>
      <c r="C159" s="3"/>
      <c r="D159" s="3"/>
      <c r="E159" s="5">
        <f>E157</f>
        <v>0</v>
      </c>
      <c r="F159" s="5"/>
      <c r="G159" s="5"/>
      <c r="H159" s="5"/>
      <c r="I159" s="5"/>
      <c r="J159" s="4"/>
      <c r="K159" s="4"/>
      <c r="L159" s="4"/>
      <c r="M159" s="4"/>
    </row>
    <row r="160" spans="1:13" hidden="1">
      <c r="A160" s="3" t="s">
        <v>12</v>
      </c>
      <c r="B160" s="3"/>
      <c r="C160" s="3"/>
      <c r="D160" s="3"/>
      <c r="E160" s="5">
        <v>23331.33</v>
      </c>
      <c r="F160" s="5"/>
      <c r="G160" s="5"/>
      <c r="H160" s="5"/>
      <c r="I160" s="5"/>
      <c r="J160" s="4"/>
      <c r="K160" s="4"/>
      <c r="L160" s="4"/>
      <c r="M160" s="4"/>
    </row>
    <row r="161" spans="1:13" hidden="1">
      <c r="A161" s="3" t="s">
        <v>13</v>
      </c>
      <c r="B161" s="3"/>
      <c r="C161" s="3"/>
      <c r="D161" s="3">
        <f>D157-D158</f>
        <v>-27600</v>
      </c>
      <c r="E161" s="5">
        <f>E159-E160</f>
        <v>-23331.33</v>
      </c>
      <c r="F161" s="5"/>
      <c r="G161" s="5"/>
      <c r="H161" s="5"/>
      <c r="I161" s="5"/>
      <c r="J161" s="4"/>
      <c r="K161" s="4"/>
      <c r="L161" s="4"/>
      <c r="M161" s="4"/>
    </row>
    <row r="162" spans="1:13" hidden="1"/>
    <row r="163" spans="1:13" hidden="1">
      <c r="A163" s="8">
        <v>43709</v>
      </c>
    </row>
    <row r="164" spans="1:13" hidden="1">
      <c r="A164" s="3" t="s">
        <v>1</v>
      </c>
      <c r="B164" s="3" t="s">
        <v>2</v>
      </c>
      <c r="C164" s="3" t="s">
        <v>3</v>
      </c>
      <c r="D164" s="3" t="s">
        <v>4</v>
      </c>
      <c r="E164" s="3" t="s">
        <v>5</v>
      </c>
      <c r="F164" s="3" t="s">
        <v>37</v>
      </c>
      <c r="G164" s="3" t="s">
        <v>7</v>
      </c>
      <c r="H164" s="3" t="s">
        <v>8</v>
      </c>
      <c r="I164" s="3" t="s">
        <v>15</v>
      </c>
      <c r="J164" s="3" t="s">
        <v>16</v>
      </c>
      <c r="K164" s="3" t="s">
        <v>17</v>
      </c>
      <c r="L164" s="3" t="s">
        <v>18</v>
      </c>
      <c r="M164" s="3" t="s">
        <v>19</v>
      </c>
    </row>
    <row r="165" spans="1:13" hidden="1">
      <c r="A165" s="3" t="s">
        <v>9</v>
      </c>
      <c r="B165" s="4">
        <f>C157</f>
        <v>646159</v>
      </c>
      <c r="C165" s="4">
        <f>B165+14697</f>
        <v>660856</v>
      </c>
      <c r="D165" s="4">
        <f>C165-B165</f>
        <v>14697</v>
      </c>
      <c r="E165" s="7">
        <v>18991.53</v>
      </c>
      <c r="F165" s="7">
        <v>1486.77</v>
      </c>
      <c r="G165" s="7"/>
      <c r="H165" s="7"/>
      <c r="I165" s="7" t="s">
        <v>20</v>
      </c>
      <c r="J165" s="4" t="s">
        <v>38</v>
      </c>
      <c r="K165" s="7">
        <f>E165/D165</f>
        <v>1.2922045315370483</v>
      </c>
      <c r="L165" s="4">
        <v>28</v>
      </c>
      <c r="M165" s="4">
        <f>D165/L165</f>
        <v>524.89285714285711</v>
      </c>
    </row>
    <row r="166" spans="1:13" hidden="1">
      <c r="A166" s="3" t="s">
        <v>10</v>
      </c>
      <c r="B166" s="4">
        <f>C158</f>
        <v>1276235</v>
      </c>
      <c r="C166" s="4">
        <v>1263244</v>
      </c>
      <c r="D166" s="4">
        <v>14609</v>
      </c>
      <c r="E166" s="7">
        <f>17418.33*1.15</f>
        <v>20031.0795</v>
      </c>
      <c r="F166" s="7">
        <v>0</v>
      </c>
      <c r="G166" s="7">
        <f>139.09*1.15</f>
        <v>159.95349999999999</v>
      </c>
      <c r="H166" s="7">
        <f>561.27*1.15</f>
        <v>645.46049999999991</v>
      </c>
      <c r="I166" s="7" t="s">
        <v>20</v>
      </c>
      <c r="J166" s="4" t="s">
        <v>39</v>
      </c>
      <c r="K166" s="11">
        <v>1.6</v>
      </c>
      <c r="L166" s="4">
        <v>30</v>
      </c>
      <c r="M166" s="4">
        <f>D166/L166</f>
        <v>486.96666666666664</v>
      </c>
    </row>
    <row r="167" spans="1:13" hidden="1">
      <c r="A167" s="3" t="s">
        <v>11</v>
      </c>
      <c r="B167" s="3"/>
      <c r="C167" s="3"/>
      <c r="D167" s="3"/>
      <c r="E167" s="5">
        <f>E165+F165</f>
        <v>20478.3</v>
      </c>
      <c r="F167" s="5"/>
      <c r="G167" s="5"/>
      <c r="H167" s="5"/>
      <c r="I167" s="5"/>
      <c r="J167" s="4"/>
      <c r="K167" s="4"/>
      <c r="L167" s="4"/>
      <c r="M167" s="4"/>
    </row>
    <row r="168" spans="1:13" hidden="1">
      <c r="A168" s="3" t="s">
        <v>12</v>
      </c>
      <c r="B168" s="3"/>
      <c r="C168" s="3"/>
      <c r="D168" s="3"/>
      <c r="E168" s="5">
        <f>E166+F166+G166+H166</f>
        <v>20836.4935</v>
      </c>
      <c r="F168" s="5"/>
      <c r="G168" s="5"/>
      <c r="H168" s="5"/>
      <c r="I168" s="5"/>
      <c r="J168" s="4"/>
      <c r="K168" s="4"/>
      <c r="L168" s="4"/>
      <c r="M168" s="4"/>
    </row>
    <row r="169" spans="1:13" hidden="1">
      <c r="A169" s="3" t="s">
        <v>13</v>
      </c>
      <c r="B169" s="3"/>
      <c r="C169" s="3"/>
      <c r="D169" s="3">
        <f>D165-D166</f>
        <v>88</v>
      </c>
      <c r="E169" s="5">
        <f>E167-E168</f>
        <v>-358.19350000000122</v>
      </c>
      <c r="F169" s="5"/>
      <c r="G169" s="5"/>
      <c r="H169" s="5"/>
      <c r="I169" s="5"/>
      <c r="J169" s="4"/>
      <c r="K169" s="4"/>
      <c r="L169" s="4"/>
      <c r="M169" s="4"/>
    </row>
    <row r="170" spans="1:13" hidden="1"/>
    <row r="171" spans="1:13" hidden="1">
      <c r="A171" s="8">
        <v>43739</v>
      </c>
    </row>
    <row r="172" spans="1:13" hidden="1">
      <c r="A172" s="3" t="s">
        <v>1</v>
      </c>
      <c r="B172" s="3" t="s">
        <v>2</v>
      </c>
      <c r="C172" s="3" t="s">
        <v>3</v>
      </c>
      <c r="D172" s="3" t="s">
        <v>4</v>
      </c>
      <c r="E172" s="3" t="s">
        <v>5</v>
      </c>
      <c r="F172" s="3" t="s">
        <v>37</v>
      </c>
      <c r="G172" s="3" t="s">
        <v>7</v>
      </c>
      <c r="H172" s="3" t="s">
        <v>8</v>
      </c>
      <c r="I172" s="3" t="s">
        <v>15</v>
      </c>
      <c r="J172" s="3" t="s">
        <v>16</v>
      </c>
      <c r="K172" s="3" t="s">
        <v>17</v>
      </c>
      <c r="L172" s="3" t="s">
        <v>18</v>
      </c>
      <c r="M172" s="3" t="s">
        <v>19</v>
      </c>
    </row>
    <row r="173" spans="1:13" hidden="1">
      <c r="A173" s="3" t="s">
        <v>9</v>
      </c>
      <c r="B173" s="4">
        <f>C165</f>
        <v>660856</v>
      </c>
      <c r="C173" s="4">
        <v>673089</v>
      </c>
      <c r="D173" s="4">
        <f>C173-B173</f>
        <v>12233</v>
      </c>
      <c r="E173" s="7">
        <v>20059.542000000001</v>
      </c>
      <c r="F173" s="7">
        <v>1968</v>
      </c>
      <c r="G173" s="7"/>
      <c r="H173" s="7"/>
      <c r="I173" s="7" t="s">
        <v>20</v>
      </c>
      <c r="J173" s="4" t="s">
        <v>40</v>
      </c>
      <c r="K173" s="7">
        <f>E173/D173</f>
        <v>1.6397892585629037</v>
      </c>
      <c r="L173" s="4">
        <v>34</v>
      </c>
      <c r="M173" s="4">
        <f>D173/L173</f>
        <v>359.79411764705884</v>
      </c>
    </row>
    <row r="174" spans="1:13" hidden="1">
      <c r="A174" s="3" t="s">
        <v>10</v>
      </c>
      <c r="B174" s="4">
        <f>C166</f>
        <v>1263244</v>
      </c>
      <c r="C174" s="4">
        <v>1287803</v>
      </c>
      <c r="D174" s="4">
        <f>C174-B174</f>
        <v>24559</v>
      </c>
      <c r="E174" s="7">
        <f>15510.37*1.15</f>
        <v>17836.925500000001</v>
      </c>
      <c r="F174" s="7">
        <v>0</v>
      </c>
      <c r="G174" s="7">
        <f>139.09*1.15</f>
        <v>159.95349999999999</v>
      </c>
      <c r="H174" s="7">
        <f>561.27*1.15</f>
        <v>645.46049999999991</v>
      </c>
      <c r="I174" s="7" t="s">
        <v>20</v>
      </c>
      <c r="J174" s="4" t="s">
        <v>41</v>
      </c>
      <c r="K174" s="11">
        <v>1.6</v>
      </c>
      <c r="L174" s="4">
        <v>31</v>
      </c>
      <c r="M174" s="4">
        <f>D174/L174</f>
        <v>792.22580645161293</v>
      </c>
    </row>
    <row r="175" spans="1:13" hidden="1">
      <c r="A175" s="3" t="s">
        <v>11</v>
      </c>
      <c r="B175" s="3"/>
      <c r="C175" s="3"/>
      <c r="D175" s="3"/>
      <c r="E175" s="5">
        <f>E173+F173</f>
        <v>22027.542000000001</v>
      </c>
      <c r="F175" s="5"/>
      <c r="G175" s="5"/>
      <c r="H175" s="5"/>
      <c r="I175" s="5"/>
      <c r="J175" s="4"/>
      <c r="K175" s="4"/>
      <c r="L175" s="4"/>
      <c r="M175" s="4"/>
    </row>
    <row r="176" spans="1:13" hidden="1">
      <c r="A176" s="3" t="s">
        <v>12</v>
      </c>
      <c r="B176" s="3"/>
      <c r="C176" s="3"/>
      <c r="D176" s="3"/>
      <c r="E176" s="5">
        <f>E174+F174+G174+H174</f>
        <v>18642.339500000002</v>
      </c>
      <c r="F176" s="5"/>
      <c r="G176" s="5"/>
      <c r="H176" s="5"/>
      <c r="I176" s="5"/>
      <c r="J176" s="4"/>
      <c r="K176" s="4"/>
      <c r="L176" s="4"/>
      <c r="M176" s="4"/>
    </row>
    <row r="177" spans="1:13" hidden="1">
      <c r="A177" s="3" t="s">
        <v>13</v>
      </c>
      <c r="B177" s="3"/>
      <c r="C177" s="3"/>
      <c r="D177" s="3">
        <f>D173-D174</f>
        <v>-12326</v>
      </c>
      <c r="E177" s="5">
        <f>E175-E176</f>
        <v>3385.2024999999994</v>
      </c>
      <c r="F177" s="5"/>
      <c r="G177" s="5"/>
      <c r="H177" s="5"/>
      <c r="I177" s="5"/>
      <c r="J177" s="4"/>
      <c r="K177" s="4"/>
      <c r="L177" s="4"/>
      <c r="M177" s="4"/>
    </row>
    <row r="178" spans="1:13" hidden="1"/>
    <row r="179" spans="1:13" hidden="1">
      <c r="A179" s="8">
        <v>43770</v>
      </c>
    </row>
    <row r="180" spans="1:13" hidden="1">
      <c r="A180" s="3" t="s">
        <v>1</v>
      </c>
      <c r="B180" s="3" t="s">
        <v>2</v>
      </c>
      <c r="C180" s="3" t="s">
        <v>3</v>
      </c>
      <c r="D180" s="3" t="s">
        <v>4</v>
      </c>
      <c r="E180" s="3" t="s">
        <v>5</v>
      </c>
      <c r="F180" s="3" t="s">
        <v>37</v>
      </c>
      <c r="G180" s="3" t="s">
        <v>7</v>
      </c>
      <c r="H180" s="3" t="s">
        <v>8</v>
      </c>
      <c r="I180" s="3" t="s">
        <v>15</v>
      </c>
      <c r="J180" s="3" t="s">
        <v>16</v>
      </c>
      <c r="K180" s="3" t="s">
        <v>17</v>
      </c>
      <c r="L180" s="3" t="s">
        <v>18</v>
      </c>
      <c r="M180" s="3" t="s">
        <v>19</v>
      </c>
    </row>
    <row r="181" spans="1:13" hidden="1">
      <c r="A181" s="3" t="s">
        <v>9</v>
      </c>
      <c r="B181" s="4">
        <f>C173</f>
        <v>673089</v>
      </c>
      <c r="C181" s="4">
        <v>683758</v>
      </c>
      <c r="D181" s="4">
        <f>C181-B181</f>
        <v>10669</v>
      </c>
      <c r="E181" s="7">
        <v>14940.45</v>
      </c>
      <c r="F181" s="7">
        <f>1337.5173*1.15</f>
        <v>1538.1448949999999</v>
      </c>
      <c r="G181" s="7"/>
      <c r="H181" s="7"/>
      <c r="I181" s="7" t="s">
        <v>20</v>
      </c>
      <c r="J181" s="4" t="s">
        <v>42</v>
      </c>
      <c r="K181" s="7">
        <f>E181/D181</f>
        <v>1.4003608585621896</v>
      </c>
      <c r="L181" s="4">
        <v>29</v>
      </c>
      <c r="M181" s="4">
        <f>D181/L181</f>
        <v>367.89655172413791</v>
      </c>
    </row>
    <row r="182" spans="1:13" hidden="1">
      <c r="A182" s="3" t="s">
        <v>10</v>
      </c>
      <c r="B182" s="4">
        <v>675213</v>
      </c>
      <c r="C182" s="4">
        <v>685726</v>
      </c>
      <c r="D182" s="4">
        <f>C182-B182</f>
        <v>10513</v>
      </c>
      <c r="E182" s="7">
        <f>14094.67*1.15</f>
        <v>16208.870499999999</v>
      </c>
      <c r="F182" s="7">
        <v>0</v>
      </c>
      <c r="G182" s="7">
        <f>139.09*1.15</f>
        <v>159.95349999999999</v>
      </c>
      <c r="H182" s="7">
        <f>561.27*1.15</f>
        <v>645.46049999999991</v>
      </c>
      <c r="I182" s="7" t="s">
        <v>43</v>
      </c>
      <c r="J182" s="4" t="s">
        <v>44</v>
      </c>
      <c r="K182" s="11">
        <v>1.6</v>
      </c>
      <c r="L182" s="4">
        <v>29</v>
      </c>
      <c r="M182" s="4">
        <f>D182/L182</f>
        <v>362.51724137931035</v>
      </c>
    </row>
    <row r="183" spans="1:13" hidden="1">
      <c r="A183" s="3" t="s">
        <v>11</v>
      </c>
      <c r="B183" s="3"/>
      <c r="C183" s="3"/>
      <c r="D183" s="3"/>
      <c r="E183" s="5">
        <f>E181+F181</f>
        <v>16478.594895000002</v>
      </c>
      <c r="F183" s="5"/>
      <c r="G183" s="5"/>
      <c r="H183" s="5"/>
      <c r="I183" s="5"/>
      <c r="J183" s="4"/>
      <c r="K183" s="4"/>
      <c r="L183" s="4"/>
      <c r="M183" s="4"/>
    </row>
    <row r="184" spans="1:13" hidden="1">
      <c r="A184" s="3" t="s">
        <v>12</v>
      </c>
      <c r="B184" s="3"/>
      <c r="C184" s="3"/>
      <c r="D184" s="3"/>
      <c r="E184" s="5">
        <f>E182+F182+G182+H182</f>
        <v>17014.284499999998</v>
      </c>
      <c r="F184" s="5"/>
      <c r="G184" s="5"/>
      <c r="H184" s="5"/>
      <c r="I184" s="5"/>
      <c r="J184" s="4"/>
      <c r="K184" s="4"/>
      <c r="L184" s="4"/>
      <c r="M184" s="4"/>
    </row>
    <row r="185" spans="1:13" hidden="1">
      <c r="A185" s="3" t="s">
        <v>13</v>
      </c>
      <c r="B185" s="3"/>
      <c r="C185" s="3"/>
      <c r="D185" s="3">
        <f>D181-D182</f>
        <v>156</v>
      </c>
      <c r="E185" s="5">
        <f>E183-E184</f>
        <v>-535.68960499999594</v>
      </c>
      <c r="F185" s="5"/>
      <c r="G185" s="5"/>
      <c r="H185" s="5"/>
      <c r="I185" s="5"/>
      <c r="J185" s="4"/>
      <c r="K185" s="4"/>
      <c r="L185" s="4"/>
      <c r="M185" s="4"/>
    </row>
    <row r="186" spans="1:13" hidden="1"/>
    <row r="187" spans="1:13" hidden="1">
      <c r="A187" s="8">
        <v>43800</v>
      </c>
    </row>
    <row r="188" spans="1:13" hidden="1">
      <c r="A188" s="3" t="s">
        <v>1</v>
      </c>
      <c r="B188" s="3" t="s">
        <v>2</v>
      </c>
      <c r="C188" s="3" t="s">
        <v>3</v>
      </c>
      <c r="D188" s="3" t="s">
        <v>4</v>
      </c>
      <c r="E188" s="3" t="s">
        <v>5</v>
      </c>
      <c r="F188" s="3" t="s">
        <v>37</v>
      </c>
      <c r="G188" s="3" t="s">
        <v>7</v>
      </c>
      <c r="H188" s="3" t="s">
        <v>8</v>
      </c>
      <c r="I188" s="3" t="s">
        <v>15</v>
      </c>
      <c r="J188" s="3" t="s">
        <v>16</v>
      </c>
      <c r="K188" s="3" t="s">
        <v>17</v>
      </c>
      <c r="L188" s="3" t="s">
        <v>18</v>
      </c>
      <c r="M188" s="3" t="s">
        <v>19</v>
      </c>
    </row>
    <row r="189" spans="1:13" hidden="1">
      <c r="A189" s="3" t="s">
        <v>9</v>
      </c>
      <c r="B189" s="4">
        <f>C181</f>
        <v>683758</v>
      </c>
      <c r="C189" s="4">
        <v>698427</v>
      </c>
      <c r="D189" s="4">
        <f>C189-B189</f>
        <v>14669</v>
      </c>
      <c r="E189" s="7">
        <v>18294.309000000001</v>
      </c>
      <c r="F189" s="7">
        <v>2150.8334999999997</v>
      </c>
      <c r="G189" s="7"/>
      <c r="H189" s="7"/>
      <c r="I189" s="7" t="s">
        <v>20</v>
      </c>
      <c r="J189" s="4" t="s">
        <v>45</v>
      </c>
      <c r="K189" s="7">
        <f>E189/D189</f>
        <v>1.2471408412298044</v>
      </c>
      <c r="L189" s="4">
        <v>40</v>
      </c>
      <c r="M189" s="4">
        <f>D189/L189</f>
        <v>366.72500000000002</v>
      </c>
    </row>
    <row r="190" spans="1:13" hidden="1">
      <c r="A190" s="3" t="s">
        <v>10</v>
      </c>
      <c r="B190" s="4">
        <v>685726</v>
      </c>
      <c r="C190" s="4">
        <v>698016</v>
      </c>
      <c r="D190" s="4">
        <f>C190-B190</f>
        <v>12290</v>
      </c>
      <c r="E190" s="7">
        <f>16479.22*1.15</f>
        <v>18951.102999999999</v>
      </c>
      <c r="F190" s="7">
        <v>0</v>
      </c>
      <c r="G190" s="7">
        <f>139.09*1.15</f>
        <v>159.95349999999999</v>
      </c>
      <c r="H190" s="7">
        <f>561.27*1.15</f>
        <v>645.46049999999991</v>
      </c>
      <c r="I190" s="7" t="s">
        <v>43</v>
      </c>
      <c r="J190" s="4" t="s">
        <v>46</v>
      </c>
      <c r="K190" s="11">
        <v>1.6</v>
      </c>
      <c r="L190" s="4">
        <v>31</v>
      </c>
      <c r="M190" s="4">
        <f>D190/L190</f>
        <v>396.45161290322579</v>
      </c>
    </row>
    <row r="191" spans="1:13" hidden="1">
      <c r="A191" s="3" t="s">
        <v>11</v>
      </c>
      <c r="B191" s="3"/>
      <c r="C191" s="3"/>
      <c r="D191" s="3"/>
      <c r="E191" s="5">
        <f>E189+F189</f>
        <v>20445.142500000002</v>
      </c>
      <c r="F191" s="5"/>
      <c r="G191" s="5"/>
      <c r="H191" s="5"/>
      <c r="I191" s="5"/>
      <c r="J191" s="4"/>
      <c r="K191" s="4"/>
      <c r="L191" s="4"/>
      <c r="M191" s="4"/>
    </row>
    <row r="192" spans="1:13" hidden="1">
      <c r="A192" s="3" t="s">
        <v>12</v>
      </c>
      <c r="B192" s="3"/>
      <c r="C192" s="3"/>
      <c r="D192" s="3"/>
      <c r="E192" s="5">
        <f>E190+F190+G190+H190</f>
        <v>19756.517</v>
      </c>
      <c r="F192" s="5"/>
      <c r="G192" s="5"/>
      <c r="H192" s="5"/>
      <c r="I192" s="5"/>
      <c r="J192" s="4"/>
      <c r="K192" s="4"/>
      <c r="L192" s="4"/>
      <c r="M192" s="4"/>
    </row>
    <row r="193" spans="1:13" hidden="1">
      <c r="A193" s="3" t="s">
        <v>13</v>
      </c>
      <c r="B193" s="3"/>
      <c r="C193" s="3"/>
      <c r="D193" s="3">
        <f>D189-D190</f>
        <v>2379</v>
      </c>
      <c r="E193" s="5">
        <f>E191-E192</f>
        <v>688.62550000000192</v>
      </c>
      <c r="F193" s="5"/>
      <c r="G193" s="5"/>
      <c r="H193" s="5"/>
      <c r="I193" s="5"/>
      <c r="J193" s="4"/>
      <c r="K193" s="4"/>
      <c r="L193" s="4"/>
      <c r="M193" s="4"/>
    </row>
    <row r="195" spans="1:13">
      <c r="A195" s="21">
        <v>43831</v>
      </c>
    </row>
    <row r="196" spans="1:13" hidden="1">
      <c r="A196" s="3" t="s">
        <v>1</v>
      </c>
      <c r="B196" s="3" t="s">
        <v>2</v>
      </c>
      <c r="C196" s="3" t="s">
        <v>3</v>
      </c>
      <c r="D196" s="3" t="s">
        <v>4</v>
      </c>
      <c r="E196" s="3" t="s">
        <v>5</v>
      </c>
      <c r="F196" s="3" t="s">
        <v>37</v>
      </c>
      <c r="G196" s="3" t="s">
        <v>7</v>
      </c>
      <c r="H196" s="3" t="s">
        <v>8</v>
      </c>
      <c r="I196" s="3" t="s">
        <v>15</v>
      </c>
      <c r="J196" s="3" t="s">
        <v>16</v>
      </c>
      <c r="K196" s="3" t="s">
        <v>17</v>
      </c>
      <c r="L196" s="3" t="s">
        <v>18</v>
      </c>
      <c r="M196" s="3" t="s">
        <v>19</v>
      </c>
    </row>
    <row r="197" spans="1:13" hidden="1">
      <c r="A197" s="3" t="s">
        <v>9</v>
      </c>
      <c r="B197" s="4">
        <f>C189</f>
        <v>698427</v>
      </c>
      <c r="C197" s="4">
        <v>706350</v>
      </c>
      <c r="D197" s="4">
        <f>C197-B197</f>
        <v>7923</v>
      </c>
      <c r="E197" s="7">
        <v>14413.14</v>
      </c>
      <c r="F197" s="7">
        <v>1191.7</v>
      </c>
      <c r="G197" s="7"/>
      <c r="H197" s="7"/>
      <c r="I197" s="7" t="s">
        <v>20</v>
      </c>
      <c r="J197" s="4" t="s">
        <v>47</v>
      </c>
      <c r="K197" s="7">
        <f>E197/D197</f>
        <v>1.8191518364255963</v>
      </c>
      <c r="L197" s="4">
        <v>21</v>
      </c>
      <c r="M197" s="4">
        <f>D197/L197</f>
        <v>377.28571428571428</v>
      </c>
    </row>
    <row r="198" spans="1:13" hidden="1">
      <c r="A198" s="3" t="s">
        <v>10</v>
      </c>
      <c r="B198" s="4">
        <v>629161</v>
      </c>
      <c r="C198" s="4">
        <v>706382</v>
      </c>
      <c r="D198" s="4">
        <f>C198-B198</f>
        <v>77221</v>
      </c>
      <c r="E198" s="7">
        <f>10889.74*1.15</f>
        <v>12523.200999999999</v>
      </c>
      <c r="F198" s="7">
        <v>0</v>
      </c>
      <c r="G198" s="7">
        <f>139.09*1.15</f>
        <v>159.95349999999999</v>
      </c>
      <c r="H198" s="7">
        <f>561.27*1.15</f>
        <v>645.46049999999991</v>
      </c>
      <c r="I198" s="7" t="s">
        <v>20</v>
      </c>
      <c r="J198" s="4" t="s">
        <v>48</v>
      </c>
      <c r="K198" s="11">
        <v>1.54</v>
      </c>
      <c r="L198" s="4">
        <v>190</v>
      </c>
      <c r="M198" s="4">
        <f>D198/L198</f>
        <v>406.42631578947368</v>
      </c>
    </row>
    <row r="199" spans="1:13" hidden="1">
      <c r="A199" s="3" t="s">
        <v>11</v>
      </c>
      <c r="B199" s="3"/>
      <c r="C199" s="3"/>
      <c r="D199" s="3"/>
      <c r="E199" s="5">
        <f>E197+F197</f>
        <v>15604.84</v>
      </c>
      <c r="F199" s="5"/>
      <c r="G199" s="5"/>
      <c r="H199" s="5"/>
      <c r="I199" s="5"/>
      <c r="J199" s="4"/>
      <c r="K199" s="4"/>
      <c r="L199" s="4"/>
      <c r="M199" s="4"/>
    </row>
    <row r="200" spans="1:13" hidden="1">
      <c r="A200" s="3" t="s">
        <v>12</v>
      </c>
      <c r="B200" s="3"/>
      <c r="C200" s="3"/>
      <c r="D200" s="3"/>
      <c r="E200" s="5">
        <f>E198+F198+G198+H198</f>
        <v>13328.614999999998</v>
      </c>
      <c r="F200" s="5"/>
      <c r="G200" s="5"/>
      <c r="H200" s="5"/>
      <c r="I200" s="5"/>
      <c r="J200" s="4"/>
      <c r="K200" s="4"/>
      <c r="L200" s="4"/>
      <c r="M200" s="4"/>
    </row>
    <row r="201" spans="1:13" hidden="1">
      <c r="A201" s="3" t="s">
        <v>13</v>
      </c>
      <c r="B201" s="3"/>
      <c r="C201" s="3"/>
      <c r="D201" s="3">
        <f>D197-D198</f>
        <v>-69298</v>
      </c>
      <c r="E201" s="5">
        <f>E199-E200</f>
        <v>2276.2250000000022</v>
      </c>
      <c r="F201" s="5"/>
      <c r="G201" s="5"/>
      <c r="H201" s="5"/>
      <c r="I201" s="5"/>
      <c r="J201" s="4"/>
      <c r="K201" s="4"/>
      <c r="L201" s="4"/>
      <c r="M201" s="4"/>
    </row>
    <row r="202" spans="1:13" hidden="1"/>
    <row r="203" spans="1:13" hidden="1">
      <c r="A203" s="21">
        <v>43862</v>
      </c>
    </row>
    <row r="204" spans="1:13" hidden="1">
      <c r="A204" s="3" t="s">
        <v>1</v>
      </c>
      <c r="B204" s="3" t="s">
        <v>2</v>
      </c>
      <c r="C204" s="3" t="s">
        <v>3</v>
      </c>
      <c r="D204" s="3" t="s">
        <v>4</v>
      </c>
      <c r="E204" s="3" t="s">
        <v>5</v>
      </c>
      <c r="F204" s="3" t="s">
        <v>37</v>
      </c>
      <c r="G204" s="3" t="s">
        <v>7</v>
      </c>
      <c r="H204" s="3" t="s">
        <v>8</v>
      </c>
      <c r="I204" s="3" t="s">
        <v>15</v>
      </c>
      <c r="J204" s="3" t="s">
        <v>16</v>
      </c>
      <c r="K204" s="3" t="s">
        <v>17</v>
      </c>
      <c r="L204" s="3" t="s">
        <v>18</v>
      </c>
      <c r="M204" s="3" t="s">
        <v>19</v>
      </c>
    </row>
    <row r="205" spans="1:13" hidden="1">
      <c r="A205" s="3" t="s">
        <v>9</v>
      </c>
      <c r="B205" s="4">
        <f>C197</f>
        <v>706350</v>
      </c>
      <c r="C205" s="4">
        <v>717052</v>
      </c>
      <c r="D205" s="4">
        <f>C205-B205</f>
        <v>10702</v>
      </c>
      <c r="E205" s="7">
        <v>15888.492</v>
      </c>
      <c r="F205" s="7">
        <f>1324.97*1.15</f>
        <v>1523.7155</v>
      </c>
      <c r="G205" s="7"/>
      <c r="H205" s="7"/>
      <c r="I205" s="7" t="s">
        <v>20</v>
      </c>
      <c r="J205" s="4" t="s">
        <v>49</v>
      </c>
      <c r="K205" s="7">
        <f>E205/D205</f>
        <v>1.4846282937768642</v>
      </c>
      <c r="L205" s="4">
        <v>28</v>
      </c>
      <c r="M205" s="4">
        <f>D205/L205</f>
        <v>382.21428571428572</v>
      </c>
    </row>
    <row r="206" spans="1:13" hidden="1">
      <c r="A206" s="3" t="s">
        <v>10</v>
      </c>
      <c r="B206" s="4">
        <f>C198</f>
        <v>706382</v>
      </c>
      <c r="C206" s="4">
        <v>718696</v>
      </c>
      <c r="D206" s="4">
        <f>C206-B206</f>
        <v>12314</v>
      </c>
      <c r="E206" s="7">
        <f>16510.61*1.15</f>
        <v>18987.201499999999</v>
      </c>
      <c r="F206" s="7">
        <v>0</v>
      </c>
      <c r="G206" s="7">
        <f>139.09*1.15</f>
        <v>159.95349999999999</v>
      </c>
      <c r="H206" s="7">
        <f>561.27*1.15</f>
        <v>645.46049999999991</v>
      </c>
      <c r="I206" s="7" t="s">
        <v>20</v>
      </c>
      <c r="J206" s="4" t="s">
        <v>50</v>
      </c>
      <c r="K206" s="11">
        <v>1.54</v>
      </c>
      <c r="L206" s="4">
        <v>29</v>
      </c>
      <c r="M206" s="4">
        <f>D206/L206</f>
        <v>424.62068965517244</v>
      </c>
    </row>
    <row r="207" spans="1:13" hidden="1">
      <c r="A207" s="3" t="s">
        <v>11</v>
      </c>
      <c r="B207" s="3"/>
      <c r="C207" s="3"/>
      <c r="D207" s="3"/>
      <c r="E207" s="5">
        <f>E205+F205</f>
        <v>17412.2075</v>
      </c>
      <c r="F207" s="5"/>
      <c r="G207" s="5"/>
      <c r="H207" s="5"/>
      <c r="I207" s="5"/>
      <c r="J207" s="4"/>
      <c r="K207" s="4"/>
      <c r="L207" s="4"/>
      <c r="M207" s="4"/>
    </row>
    <row r="208" spans="1:13" hidden="1">
      <c r="A208" s="3" t="s">
        <v>12</v>
      </c>
      <c r="B208" s="3"/>
      <c r="C208" s="3"/>
      <c r="D208" s="3"/>
      <c r="E208" s="5">
        <f>E206+F206+G206+H206</f>
        <v>19792.6155</v>
      </c>
      <c r="F208" s="5"/>
      <c r="G208" s="5"/>
      <c r="H208" s="5"/>
      <c r="I208" s="5"/>
      <c r="J208" s="4"/>
      <c r="K208" s="4"/>
      <c r="L208" s="4"/>
      <c r="M208" s="4"/>
    </row>
    <row r="209" spans="1:13" hidden="1">
      <c r="A209" s="3" t="s">
        <v>13</v>
      </c>
      <c r="B209" s="3"/>
      <c r="C209" s="3"/>
      <c r="D209" s="3">
        <f>D205-D206</f>
        <v>-1612</v>
      </c>
      <c r="E209" s="5">
        <f>E207-E208</f>
        <v>-2380.4079999999994</v>
      </c>
      <c r="F209" s="5"/>
      <c r="G209" s="5"/>
      <c r="H209" s="5"/>
      <c r="I209" s="5"/>
      <c r="J209" s="4"/>
      <c r="K209" s="4"/>
      <c r="L209" s="4"/>
      <c r="M209" s="4"/>
    </row>
    <row r="210" spans="1:13" hidden="1"/>
    <row r="211" spans="1:13" hidden="1">
      <c r="A211" s="21">
        <v>43891</v>
      </c>
    </row>
    <row r="212" spans="1:13" hidden="1">
      <c r="A212" s="3" t="s">
        <v>1</v>
      </c>
      <c r="B212" s="3" t="s">
        <v>2</v>
      </c>
      <c r="C212" s="3" t="s">
        <v>3</v>
      </c>
      <c r="D212" s="3" t="s">
        <v>4</v>
      </c>
      <c r="E212" s="3" t="s">
        <v>5</v>
      </c>
      <c r="F212" s="3" t="s">
        <v>37</v>
      </c>
      <c r="G212" s="3" t="s">
        <v>7</v>
      </c>
      <c r="H212" s="3" t="s">
        <v>8</v>
      </c>
      <c r="I212" s="3" t="s">
        <v>15</v>
      </c>
      <c r="J212" s="3" t="s">
        <v>16</v>
      </c>
      <c r="K212" s="3" t="s">
        <v>17</v>
      </c>
      <c r="L212" s="3" t="s">
        <v>18</v>
      </c>
      <c r="M212" s="3" t="s">
        <v>19</v>
      </c>
    </row>
    <row r="213" spans="1:13" hidden="1">
      <c r="A213" s="3" t="s">
        <v>9</v>
      </c>
      <c r="B213" s="4">
        <f>C205</f>
        <v>717052</v>
      </c>
      <c r="C213" s="4">
        <v>728648</v>
      </c>
      <c r="D213" s="4">
        <f>C213-B213</f>
        <v>11596</v>
      </c>
      <c r="E213" s="7">
        <v>20103.84</v>
      </c>
      <c r="F213" s="7">
        <f>1456.07*1.15</f>
        <v>1674.4804999999999</v>
      </c>
      <c r="G213" s="7"/>
      <c r="H213" s="7"/>
      <c r="I213" s="7" t="s">
        <v>20</v>
      </c>
      <c r="J213" s="4" t="s">
        <v>51</v>
      </c>
      <c r="K213" s="7">
        <f>E213/D213</f>
        <v>1.7336874784408416</v>
      </c>
      <c r="L213" s="4">
        <v>29</v>
      </c>
      <c r="M213" s="4">
        <f>D213/L213</f>
        <v>399.86206896551727</v>
      </c>
    </row>
    <row r="214" spans="1:13" hidden="1">
      <c r="A214" s="3" t="s">
        <v>10</v>
      </c>
      <c r="B214" s="4">
        <f>C206</f>
        <v>718696</v>
      </c>
      <c r="C214" s="4">
        <v>732999</v>
      </c>
      <c r="D214" s="4">
        <f>C214-B214</f>
        <v>14303</v>
      </c>
      <c r="E214" s="7">
        <f>19178.18*1.15</f>
        <v>22054.906999999999</v>
      </c>
      <c r="F214" s="7">
        <v>0</v>
      </c>
      <c r="G214" s="7">
        <f>139.09*1.15</f>
        <v>159.95349999999999</v>
      </c>
      <c r="H214" s="7">
        <f>561.27*1.15</f>
        <v>645.46049999999991</v>
      </c>
      <c r="I214" s="7" t="s">
        <v>20</v>
      </c>
      <c r="J214" s="4" t="s">
        <v>52</v>
      </c>
      <c r="K214" s="11">
        <v>1.54</v>
      </c>
      <c r="L214" s="4">
        <v>33</v>
      </c>
      <c r="M214" s="4">
        <f>D214/L214</f>
        <v>433.42424242424244</v>
      </c>
    </row>
    <row r="215" spans="1:13" hidden="1">
      <c r="A215" s="3" t="s">
        <v>11</v>
      </c>
      <c r="B215" s="3"/>
      <c r="C215" s="3"/>
      <c r="D215" s="3"/>
      <c r="E215" s="5">
        <f>E213+F213</f>
        <v>21778.320500000002</v>
      </c>
      <c r="F215" s="5"/>
      <c r="G215" s="5"/>
      <c r="H215" s="5"/>
      <c r="I215" s="5"/>
      <c r="J215" s="4"/>
      <c r="K215" s="4"/>
      <c r="L215" s="4"/>
      <c r="M215" s="4"/>
    </row>
    <row r="216" spans="1:13" hidden="1">
      <c r="A216" s="3" t="s">
        <v>12</v>
      </c>
      <c r="B216" s="3"/>
      <c r="C216" s="3"/>
      <c r="D216" s="3"/>
      <c r="E216" s="5">
        <f>E214+F214+G214+H214</f>
        <v>22860.321</v>
      </c>
      <c r="F216" s="5"/>
      <c r="G216" s="5"/>
      <c r="H216" s="5"/>
      <c r="I216" s="5"/>
      <c r="J216" s="4"/>
      <c r="K216" s="4"/>
      <c r="L216" s="4"/>
      <c r="M216" s="4"/>
    </row>
    <row r="217" spans="1:13" hidden="1">
      <c r="A217" s="3" t="s">
        <v>13</v>
      </c>
      <c r="B217" s="3"/>
      <c r="C217" s="3"/>
      <c r="D217" s="3">
        <f>D213-D214</f>
        <v>-2707</v>
      </c>
      <c r="E217" s="5">
        <f>E215-E216</f>
        <v>-1082.0004999999983</v>
      </c>
      <c r="F217" s="5"/>
      <c r="G217" s="5"/>
      <c r="H217" s="5"/>
      <c r="I217" s="5"/>
      <c r="J217" s="4"/>
      <c r="K217" s="4"/>
      <c r="L217" s="4"/>
      <c r="M217" s="4"/>
    </row>
    <row r="218" spans="1:13" hidden="1"/>
    <row r="219" spans="1:13" hidden="1">
      <c r="A219" s="21">
        <v>43922</v>
      </c>
    </row>
    <row r="220" spans="1:13" hidden="1">
      <c r="A220" s="3" t="s">
        <v>1</v>
      </c>
      <c r="B220" s="3" t="s">
        <v>2</v>
      </c>
      <c r="C220" s="3" t="s">
        <v>3</v>
      </c>
      <c r="D220" s="3" t="s">
        <v>4</v>
      </c>
      <c r="E220" s="3" t="s">
        <v>5</v>
      </c>
      <c r="F220" s="3" t="s">
        <v>37</v>
      </c>
      <c r="G220" s="3" t="s">
        <v>7</v>
      </c>
      <c r="H220" s="3" t="s">
        <v>8</v>
      </c>
      <c r="I220" s="3" t="s">
        <v>15</v>
      </c>
      <c r="J220" s="3" t="s">
        <v>16</v>
      </c>
      <c r="K220" s="3" t="s">
        <v>17</v>
      </c>
      <c r="L220" s="3" t="s">
        <v>18</v>
      </c>
      <c r="M220" s="3" t="s">
        <v>19</v>
      </c>
    </row>
    <row r="221" spans="1:13" hidden="1">
      <c r="A221" s="3" t="s">
        <v>9</v>
      </c>
      <c r="B221" s="4">
        <f>C213</f>
        <v>728648</v>
      </c>
      <c r="C221" s="4">
        <v>742422</v>
      </c>
      <c r="D221" s="4">
        <f>C221-B221</f>
        <v>13774</v>
      </c>
      <c r="E221" s="7">
        <v>20910.310000000001</v>
      </c>
      <c r="F221" s="7">
        <f>881.45*1.15</f>
        <v>1013.6675</v>
      </c>
      <c r="G221" s="7"/>
      <c r="H221" s="7"/>
      <c r="I221" s="7" t="s">
        <v>20</v>
      </c>
      <c r="J221" s="4" t="s">
        <v>53</v>
      </c>
      <c r="K221" s="7">
        <f>E221/D221</f>
        <v>1.5181000435603311</v>
      </c>
      <c r="L221" s="4">
        <v>34</v>
      </c>
      <c r="M221" s="4">
        <f>D221/L221</f>
        <v>405.11764705882354</v>
      </c>
    </row>
    <row r="222" spans="1:13" hidden="1">
      <c r="A222" s="3" t="s">
        <v>10</v>
      </c>
      <c r="B222" s="4">
        <f>C214</f>
        <v>732999</v>
      </c>
      <c r="C222" s="4">
        <v>751326</v>
      </c>
      <c r="D222" s="4">
        <f>C222-B222</f>
        <v>18327</v>
      </c>
      <c r="E222" s="7">
        <f>24883.42*1.15</f>
        <v>28615.932999999997</v>
      </c>
      <c r="F222" s="7">
        <f>94.24*1.15</f>
        <v>108.37599999999999</v>
      </c>
      <c r="G222" s="7">
        <f>139.09*1.15</f>
        <v>159.95349999999999</v>
      </c>
      <c r="H222" s="7">
        <f>561.27*1.15</f>
        <v>645.46049999999991</v>
      </c>
      <c r="I222" s="7" t="s">
        <v>20</v>
      </c>
      <c r="J222" s="4" t="s">
        <v>54</v>
      </c>
      <c r="K222" s="11">
        <v>1.54</v>
      </c>
      <c r="L222" s="4">
        <v>34</v>
      </c>
      <c r="M222" s="4">
        <f>D222/L222</f>
        <v>539.02941176470586</v>
      </c>
    </row>
    <row r="223" spans="1:13" hidden="1">
      <c r="A223" s="3" t="s">
        <v>11</v>
      </c>
      <c r="B223" s="3"/>
      <c r="C223" s="3"/>
      <c r="D223" s="3"/>
      <c r="E223" s="5">
        <f>E221+F221</f>
        <v>21923.977500000001</v>
      </c>
      <c r="F223" s="5"/>
      <c r="G223" s="5"/>
      <c r="H223" s="5"/>
      <c r="I223" s="5"/>
      <c r="J223" s="4"/>
      <c r="K223" s="4"/>
      <c r="L223" s="4"/>
      <c r="M223" s="4"/>
    </row>
    <row r="224" spans="1:13" hidden="1">
      <c r="A224" s="3" t="s">
        <v>12</v>
      </c>
      <c r="B224" s="3"/>
      <c r="C224" s="3"/>
      <c r="D224" s="3"/>
      <c r="E224" s="5">
        <f>E222+F222+G222+H222</f>
        <v>29529.722999999998</v>
      </c>
      <c r="F224" s="5"/>
      <c r="G224" s="5"/>
      <c r="H224" s="5"/>
      <c r="I224" s="5"/>
      <c r="J224" s="4"/>
      <c r="K224" s="4"/>
      <c r="L224" s="4"/>
      <c r="M224" s="4"/>
    </row>
    <row r="225" spans="1:13" hidden="1">
      <c r="A225" s="3" t="s">
        <v>13</v>
      </c>
      <c r="B225" s="3"/>
      <c r="C225" s="3"/>
      <c r="D225" s="3">
        <f>D221-D222</f>
        <v>-4553</v>
      </c>
      <c r="E225" s="5">
        <f>E223-E224</f>
        <v>-7605.7454999999973</v>
      </c>
      <c r="F225" s="5"/>
      <c r="G225" s="5"/>
      <c r="H225" s="5"/>
      <c r="I225" s="5"/>
      <c r="J225" s="4"/>
      <c r="K225" s="4"/>
      <c r="L225" s="4"/>
      <c r="M225" s="4"/>
    </row>
    <row r="226" spans="1:13" hidden="1"/>
    <row r="227" spans="1:13" hidden="1">
      <c r="A227" s="21">
        <v>43952</v>
      </c>
    </row>
    <row r="228" spans="1:13" hidden="1">
      <c r="A228" s="3" t="s">
        <v>1</v>
      </c>
      <c r="B228" s="3" t="s">
        <v>2</v>
      </c>
      <c r="C228" s="3" t="s">
        <v>3</v>
      </c>
      <c r="D228" s="3" t="s">
        <v>4</v>
      </c>
      <c r="E228" s="3" t="s">
        <v>5</v>
      </c>
      <c r="F228" s="3" t="s">
        <v>37</v>
      </c>
      <c r="G228" s="3" t="s">
        <v>7</v>
      </c>
      <c r="H228" s="3" t="s">
        <v>8</v>
      </c>
      <c r="I228" s="3" t="s">
        <v>15</v>
      </c>
      <c r="J228" s="3" t="s">
        <v>16</v>
      </c>
      <c r="K228" s="3" t="s">
        <v>17</v>
      </c>
      <c r="L228" s="3" t="s">
        <v>18</v>
      </c>
      <c r="M228" s="3" t="s">
        <v>19</v>
      </c>
    </row>
    <row r="229" spans="1:13" hidden="1">
      <c r="A229" s="3" t="s">
        <v>9</v>
      </c>
      <c r="B229" s="4">
        <f>C221</f>
        <v>742422</v>
      </c>
      <c r="C229" s="4">
        <v>758477</v>
      </c>
      <c r="D229" s="4">
        <f>C229-B229</f>
        <v>16055</v>
      </c>
      <c r="E229" s="7">
        <v>21002.22</v>
      </c>
      <c r="F229" s="7">
        <v>3281.59</v>
      </c>
      <c r="G229" s="7"/>
      <c r="H229" s="7"/>
      <c r="I229" s="7" t="s">
        <v>20</v>
      </c>
      <c r="J229" s="4" t="s">
        <v>55</v>
      </c>
      <c r="K229" s="7">
        <f>E229/D229</f>
        <v>1.3081420118343197</v>
      </c>
      <c r="L229" s="4">
        <v>29</v>
      </c>
      <c r="M229" s="4">
        <f>D229/L229</f>
        <v>553.62068965517244</v>
      </c>
    </row>
    <row r="230" spans="1:13" hidden="1">
      <c r="A230" s="3" t="s">
        <v>10</v>
      </c>
      <c r="B230" s="4">
        <f>C222</f>
        <v>751326</v>
      </c>
      <c r="C230" s="4">
        <v>767162</v>
      </c>
      <c r="D230" s="4">
        <f>C230-B230</f>
        <v>15836</v>
      </c>
      <c r="E230" s="7">
        <f>21635.65*1.15</f>
        <v>24880.997500000001</v>
      </c>
      <c r="F230" s="7">
        <f>122.2*1.15</f>
        <v>140.53</v>
      </c>
      <c r="G230" s="7">
        <f>139.09*1.15</f>
        <v>159.95349999999999</v>
      </c>
      <c r="H230" s="7">
        <f>561.27*1.15</f>
        <v>645.46049999999991</v>
      </c>
      <c r="I230" s="7" t="s">
        <v>20</v>
      </c>
      <c r="J230" s="4" t="s">
        <v>54</v>
      </c>
      <c r="K230" s="11">
        <v>1.54</v>
      </c>
      <c r="L230" s="4">
        <v>34</v>
      </c>
      <c r="M230" s="4">
        <f>D230/L230</f>
        <v>465.76470588235293</v>
      </c>
    </row>
    <row r="231" spans="1:13" hidden="1">
      <c r="A231" s="3" t="s">
        <v>11</v>
      </c>
      <c r="B231" s="3"/>
      <c r="C231" s="3"/>
      <c r="D231" s="3"/>
      <c r="E231" s="5">
        <f>E229+F229</f>
        <v>24283.81</v>
      </c>
      <c r="F231" s="5"/>
      <c r="G231" s="5"/>
      <c r="H231" s="5"/>
      <c r="I231" s="5"/>
      <c r="J231" s="4"/>
      <c r="K231" s="4"/>
      <c r="L231" s="4"/>
      <c r="M231" s="4"/>
    </row>
    <row r="232" spans="1:13" hidden="1">
      <c r="A232" s="3" t="s">
        <v>12</v>
      </c>
      <c r="B232" s="3"/>
      <c r="C232" s="3"/>
      <c r="D232" s="3"/>
      <c r="E232" s="5">
        <f>E230+F230+G230+H230</f>
        <v>25826.941500000001</v>
      </c>
      <c r="F232" s="5"/>
      <c r="G232" s="5"/>
      <c r="H232" s="5"/>
      <c r="I232" s="5"/>
      <c r="J232" s="4"/>
      <c r="K232" s="4"/>
      <c r="L232" s="4"/>
      <c r="M232" s="4"/>
    </row>
    <row r="233" spans="1:13" hidden="1">
      <c r="A233" s="3" t="s">
        <v>13</v>
      </c>
      <c r="B233" s="3"/>
      <c r="C233" s="3"/>
      <c r="D233" s="3">
        <f>D229-D230</f>
        <v>219</v>
      </c>
      <c r="E233" s="5">
        <f>E231-E232</f>
        <v>-1543.1314999999995</v>
      </c>
      <c r="F233" s="5"/>
      <c r="G233" s="5"/>
      <c r="H233" s="5"/>
      <c r="I233" s="5"/>
      <c r="J233" s="4"/>
      <c r="K233" s="4"/>
      <c r="L233" s="4"/>
      <c r="M233" s="4"/>
    </row>
    <row r="234" spans="1:13" hidden="1"/>
    <row r="235" spans="1:13" hidden="1">
      <c r="A235" s="21">
        <v>43983</v>
      </c>
    </row>
    <row r="236" spans="1:13" hidden="1">
      <c r="A236" s="3" t="s">
        <v>1</v>
      </c>
      <c r="B236" s="3" t="s">
        <v>2</v>
      </c>
      <c r="C236" s="3" t="s">
        <v>3</v>
      </c>
      <c r="D236" s="3" t="s">
        <v>4</v>
      </c>
      <c r="E236" s="3" t="s">
        <v>5</v>
      </c>
      <c r="F236" s="3" t="s">
        <v>37</v>
      </c>
      <c r="G236" s="3" t="s">
        <v>7</v>
      </c>
      <c r="H236" s="3" t="s">
        <v>8</v>
      </c>
      <c r="I236" s="3" t="s">
        <v>15</v>
      </c>
      <c r="J236" s="3" t="s">
        <v>16</v>
      </c>
      <c r="K236" s="3" t="s">
        <v>17</v>
      </c>
      <c r="L236" s="3" t="s">
        <v>18</v>
      </c>
      <c r="M236" s="3" t="s">
        <v>19</v>
      </c>
    </row>
    <row r="237" spans="1:13" hidden="1">
      <c r="A237" s="3" t="s">
        <v>9</v>
      </c>
      <c r="B237" s="4">
        <f>C229</f>
        <v>758477</v>
      </c>
      <c r="C237" s="4">
        <v>774954</v>
      </c>
      <c r="D237" s="4">
        <f>C237-B237</f>
        <v>16477</v>
      </c>
      <c r="E237" s="7">
        <v>25055.279999999999</v>
      </c>
      <c r="F237" s="7">
        <v>2081.8679999999999</v>
      </c>
      <c r="G237" s="7"/>
      <c r="H237" s="7"/>
      <c r="I237" s="7" t="s">
        <v>20</v>
      </c>
      <c r="J237" s="4" t="s">
        <v>56</v>
      </c>
      <c r="K237" s="7">
        <f>E239/D237</f>
        <v>1.6469714146992775</v>
      </c>
      <c r="L237" s="4">
        <v>27</v>
      </c>
      <c r="M237" s="4">
        <f>D237/L237</f>
        <v>610.25925925925924</v>
      </c>
    </row>
    <row r="238" spans="1:13" hidden="1">
      <c r="A238" s="3" t="s">
        <v>10</v>
      </c>
      <c r="B238" s="4">
        <f>C230</f>
        <v>767162</v>
      </c>
      <c r="C238" s="4">
        <v>785486</v>
      </c>
      <c r="D238" s="4">
        <f>C238-B238</f>
        <v>18324</v>
      </c>
      <c r="E238" s="7">
        <f>(20435.74+4823.75)*1.15</f>
        <v>29048.413499999999</v>
      </c>
      <c r="F238" s="7"/>
      <c r="G238" s="7">
        <f>147.74*1.15</f>
        <v>169.90100000000001</v>
      </c>
      <c r="H238" s="7">
        <f>(596.18+101.19+22.48)*1.15</f>
        <v>827.82749999999987</v>
      </c>
      <c r="I238" s="7" t="s">
        <v>43</v>
      </c>
      <c r="J238" s="4" t="s">
        <v>57</v>
      </c>
      <c r="K238" s="11">
        <f>E240/D238</f>
        <v>1.6397152368478498</v>
      </c>
      <c r="L238" s="4">
        <v>34</v>
      </c>
      <c r="M238" s="4">
        <f>D238/L238</f>
        <v>538.94117647058829</v>
      </c>
    </row>
    <row r="239" spans="1:13" hidden="1">
      <c r="A239" s="3" t="s">
        <v>11</v>
      </c>
      <c r="B239" s="3"/>
      <c r="C239" s="3"/>
      <c r="D239" s="3"/>
      <c r="E239" s="5">
        <f>E237+F237</f>
        <v>27137.147999999997</v>
      </c>
      <c r="F239" s="5"/>
      <c r="G239" s="5"/>
      <c r="H239" s="5"/>
      <c r="I239" s="5"/>
      <c r="J239" s="4"/>
      <c r="K239" s="4"/>
      <c r="L239" s="4"/>
      <c r="M239" s="4"/>
    </row>
    <row r="240" spans="1:13" hidden="1">
      <c r="A240" s="3" t="s">
        <v>12</v>
      </c>
      <c r="B240" s="3"/>
      <c r="C240" s="3"/>
      <c r="D240" s="3"/>
      <c r="E240" s="5">
        <f>E238+F238+G238+H238</f>
        <v>30046.142</v>
      </c>
      <c r="F240" s="5"/>
      <c r="G240" s="5"/>
      <c r="H240" s="5"/>
      <c r="I240" s="5"/>
      <c r="J240" s="4"/>
      <c r="K240" s="4"/>
      <c r="L240" s="4"/>
      <c r="M240" s="4"/>
    </row>
    <row r="241" spans="1:13" hidden="1">
      <c r="A241" s="3" t="s">
        <v>13</v>
      </c>
      <c r="B241" s="3"/>
      <c r="C241" s="3"/>
      <c r="D241" s="3">
        <f>D237-D238</f>
        <v>-1847</v>
      </c>
      <c r="E241" s="5">
        <f>E239-E240</f>
        <v>-2908.9940000000024</v>
      </c>
      <c r="F241" s="5"/>
      <c r="G241" s="5"/>
      <c r="H241" s="5"/>
      <c r="I241" s="5"/>
      <c r="J241" s="4"/>
      <c r="K241" s="4"/>
      <c r="L241" s="4"/>
      <c r="M241" s="4"/>
    </row>
    <row r="242" spans="1:13" hidden="1"/>
    <row r="243" spans="1:13" hidden="1">
      <c r="A243" s="21">
        <v>44013</v>
      </c>
    </row>
    <row r="244" spans="1:13" hidden="1">
      <c r="A244" s="3" t="s">
        <v>1</v>
      </c>
      <c r="B244" s="3" t="s">
        <v>2</v>
      </c>
      <c r="C244" s="3" t="s">
        <v>3</v>
      </c>
      <c r="D244" s="3" t="s">
        <v>4</v>
      </c>
      <c r="E244" s="3" t="s">
        <v>5</v>
      </c>
      <c r="F244" s="3" t="s">
        <v>37</v>
      </c>
      <c r="G244" s="3" t="s">
        <v>7</v>
      </c>
      <c r="H244" s="3" t="s">
        <v>8</v>
      </c>
      <c r="I244" s="3" t="s">
        <v>15</v>
      </c>
      <c r="J244" s="3" t="s">
        <v>16</v>
      </c>
      <c r="K244" s="3" t="s">
        <v>17</v>
      </c>
      <c r="L244" s="3" t="s">
        <v>18</v>
      </c>
      <c r="M244" s="3" t="s">
        <v>19</v>
      </c>
    </row>
    <row r="245" spans="1:13" hidden="1">
      <c r="A245" s="3" t="s">
        <v>9</v>
      </c>
      <c r="B245" s="4">
        <f>C237</f>
        <v>774954</v>
      </c>
      <c r="C245" s="4">
        <v>794508</v>
      </c>
      <c r="D245" s="4">
        <f>C245-B245</f>
        <v>19554</v>
      </c>
      <c r="E245" s="7">
        <v>25610.04</v>
      </c>
      <c r="F245" s="7">
        <v>2548.5264999999999</v>
      </c>
      <c r="G245" s="7"/>
      <c r="H245" s="7"/>
      <c r="I245" s="7" t="s">
        <v>20</v>
      </c>
      <c r="J245" s="4" t="s">
        <v>58</v>
      </c>
      <c r="K245" s="7">
        <f>E245/D245</f>
        <v>1.3097084995397361</v>
      </c>
      <c r="L245" s="4">
        <v>36</v>
      </c>
      <c r="M245" s="4">
        <f>D245/L245</f>
        <v>543.16666666666663</v>
      </c>
    </row>
    <row r="246" spans="1:13" hidden="1">
      <c r="A246" s="3" t="s">
        <v>10</v>
      </c>
      <c r="B246" s="4">
        <v>718696</v>
      </c>
      <c r="C246" s="4">
        <v>808523</v>
      </c>
      <c r="D246" s="4">
        <f>C246-B246</f>
        <v>89827</v>
      </c>
      <c r="E246" s="7">
        <f>(98313.71+26535.21-77986.16-8146.83-340.11-4211.19-612.56)</f>
        <v>33552.070000000007</v>
      </c>
      <c r="F246" s="7"/>
      <c r="G246" s="7">
        <f>147.74*1.15</f>
        <v>169.90100000000001</v>
      </c>
      <c r="H246" s="7">
        <f>(596.18+690.23+175.39)*1.15</f>
        <v>1681.0699999999995</v>
      </c>
      <c r="I246" s="7" t="s">
        <v>20</v>
      </c>
      <c r="J246" s="4" t="s">
        <v>59</v>
      </c>
      <c r="K246" s="11">
        <f>E248/D246</f>
        <v>0.45015251539069545</v>
      </c>
      <c r="L246" s="4">
        <v>153</v>
      </c>
      <c r="M246" s="4">
        <f>D246/L246</f>
        <v>587.10457516339875</v>
      </c>
    </row>
    <row r="247" spans="1:13" hidden="1">
      <c r="A247" s="3" t="s">
        <v>11</v>
      </c>
      <c r="B247" s="3"/>
      <c r="C247" s="3"/>
      <c r="D247" s="3"/>
      <c r="E247" s="5">
        <f>E245+F245</f>
        <v>28158.566500000001</v>
      </c>
      <c r="F247" s="5"/>
      <c r="G247" s="5"/>
      <c r="H247" s="5"/>
      <c r="I247" s="5"/>
      <c r="J247" s="4"/>
      <c r="K247" s="4"/>
      <c r="L247" s="4"/>
      <c r="M247" s="4"/>
    </row>
    <row r="248" spans="1:13" hidden="1">
      <c r="A248" s="3" t="s">
        <v>12</v>
      </c>
      <c r="B248" s="3"/>
      <c r="C248" s="3"/>
      <c r="D248" s="3"/>
      <c r="E248" s="5">
        <v>40435.85</v>
      </c>
      <c r="F248" s="5"/>
      <c r="G248" s="5"/>
      <c r="H248" s="5"/>
      <c r="I248" s="5"/>
      <c r="J248" s="4"/>
      <c r="K248" s="4"/>
      <c r="L248" s="4"/>
      <c r="M248" s="4"/>
    </row>
    <row r="249" spans="1:13" hidden="1">
      <c r="A249" s="3" t="s">
        <v>13</v>
      </c>
      <c r="B249" s="3"/>
      <c r="C249" s="3"/>
      <c r="D249" s="3">
        <f>D245-D246</f>
        <v>-70273</v>
      </c>
      <c r="E249" s="5">
        <f>E247-E248</f>
        <v>-12277.283499999998</v>
      </c>
      <c r="F249" s="5"/>
      <c r="G249" s="5"/>
      <c r="H249" s="5"/>
      <c r="I249" s="5"/>
      <c r="J249" s="4"/>
      <c r="K249" s="4"/>
      <c r="L249" s="4"/>
      <c r="M249" s="4"/>
    </row>
    <row r="250" spans="1:13" hidden="1"/>
    <row r="251" spans="1:13" hidden="1">
      <c r="A251" s="21">
        <v>44044</v>
      </c>
    </row>
    <row r="252" spans="1:13" hidden="1">
      <c r="A252" s="3" t="s">
        <v>1</v>
      </c>
      <c r="B252" s="3" t="s">
        <v>2</v>
      </c>
      <c r="C252" s="3" t="s">
        <v>3</v>
      </c>
      <c r="D252" s="3" t="s">
        <v>4</v>
      </c>
      <c r="E252" s="3" t="s">
        <v>5</v>
      </c>
      <c r="F252" s="3" t="s">
        <v>37</v>
      </c>
      <c r="G252" s="3" t="s">
        <v>7</v>
      </c>
      <c r="H252" s="3" t="s">
        <v>8</v>
      </c>
      <c r="I252" s="3" t="s">
        <v>15</v>
      </c>
      <c r="J252" s="3" t="s">
        <v>16</v>
      </c>
      <c r="K252" s="3" t="s">
        <v>17</v>
      </c>
      <c r="L252" s="3" t="s">
        <v>18</v>
      </c>
      <c r="M252" s="3" t="s">
        <v>19</v>
      </c>
    </row>
    <row r="253" spans="1:13" hidden="1">
      <c r="A253" s="4" t="s">
        <v>9</v>
      </c>
      <c r="B253" s="4">
        <f>C245</f>
        <v>794508</v>
      </c>
      <c r="C253" s="4">
        <v>808129</v>
      </c>
      <c r="D253" s="4">
        <f>C253-B253</f>
        <v>13621</v>
      </c>
      <c r="E253" s="7">
        <v>22447.91</v>
      </c>
      <c r="F253" s="7">
        <v>2119.31</v>
      </c>
      <c r="G253" s="7"/>
      <c r="H253" s="7"/>
      <c r="I253" s="7" t="s">
        <v>20</v>
      </c>
      <c r="J253" s="4" t="s">
        <v>60</v>
      </c>
      <c r="K253" s="7">
        <f>E253/D253</f>
        <v>1.6480368548564717</v>
      </c>
      <c r="L253" s="4">
        <v>27</v>
      </c>
      <c r="M253" s="4">
        <f>D253/L253</f>
        <v>504.48148148148147</v>
      </c>
    </row>
    <row r="254" spans="1:13" hidden="1">
      <c r="A254" s="4" t="s">
        <v>10</v>
      </c>
      <c r="B254" s="4">
        <v>808523</v>
      </c>
      <c r="C254" s="4">
        <v>826997</v>
      </c>
      <c r="D254" s="4">
        <f>C254-B254</f>
        <v>18474</v>
      </c>
      <c r="E254" s="7">
        <f>26983.11*1.15</f>
        <v>31030.576499999999</v>
      </c>
      <c r="F254" s="7"/>
      <c r="G254" s="7">
        <f>147.74*1.15</f>
        <v>169.90100000000001</v>
      </c>
      <c r="H254" s="7">
        <f>(596.18+191.84)*1.15</f>
        <v>906.22299999999996</v>
      </c>
      <c r="I254" s="7" t="s">
        <v>43</v>
      </c>
      <c r="J254" s="4" t="s">
        <v>61</v>
      </c>
      <c r="K254" s="11">
        <f>E256/D254</f>
        <v>1.7379398343618058</v>
      </c>
      <c r="L254" s="4">
        <v>31</v>
      </c>
      <c r="M254" s="4">
        <f>D254/L254</f>
        <v>595.93548387096769</v>
      </c>
    </row>
    <row r="255" spans="1:13" hidden="1">
      <c r="A255" s="3" t="s">
        <v>11</v>
      </c>
      <c r="B255" s="3"/>
      <c r="C255" s="3"/>
      <c r="D255" s="3"/>
      <c r="E255" s="5">
        <f>E253+F253</f>
        <v>24567.22</v>
      </c>
      <c r="F255" s="5"/>
      <c r="G255" s="5"/>
      <c r="H255" s="5"/>
      <c r="I255" s="5"/>
      <c r="J255" s="4"/>
      <c r="K255" s="4"/>
      <c r="L255" s="4"/>
      <c r="M255" s="4"/>
    </row>
    <row r="256" spans="1:13" hidden="1">
      <c r="A256" s="3" t="s">
        <v>12</v>
      </c>
      <c r="B256" s="3"/>
      <c r="C256" s="3"/>
      <c r="D256" s="3"/>
      <c r="E256" s="5">
        <f>E254+G254+H254</f>
        <v>32106.700499999999</v>
      </c>
      <c r="F256" s="5"/>
      <c r="G256" s="5"/>
      <c r="H256" s="5"/>
      <c r="I256" s="5"/>
      <c r="J256" s="4"/>
      <c r="K256" s="4"/>
      <c r="L256" s="4"/>
      <c r="M256" s="4"/>
    </row>
    <row r="257" spans="1:13" hidden="1">
      <c r="A257" s="3" t="s">
        <v>13</v>
      </c>
      <c r="B257" s="3"/>
      <c r="C257" s="3"/>
      <c r="D257" s="3">
        <f>D253-D254</f>
        <v>-4853</v>
      </c>
      <c r="E257" s="5">
        <f>E255-E256</f>
        <v>-7539.4804999999978</v>
      </c>
      <c r="F257" s="5"/>
      <c r="G257" s="5"/>
      <c r="H257" s="5"/>
      <c r="I257" s="5"/>
      <c r="J257" s="4"/>
      <c r="K257" s="4"/>
      <c r="L257" s="4"/>
      <c r="M257" s="4"/>
    </row>
    <row r="258" spans="1:13" hidden="1"/>
    <row r="259" spans="1:13" hidden="1">
      <c r="A259" s="21">
        <v>44075</v>
      </c>
    </row>
    <row r="260" spans="1:13" hidden="1">
      <c r="A260" s="3" t="s">
        <v>1</v>
      </c>
      <c r="B260" s="3" t="s">
        <v>2</v>
      </c>
      <c r="C260" s="3" t="s">
        <v>3</v>
      </c>
      <c r="D260" s="3" t="s">
        <v>4</v>
      </c>
      <c r="E260" s="3" t="s">
        <v>5</v>
      </c>
      <c r="F260" s="3" t="s">
        <v>37</v>
      </c>
      <c r="G260" s="3" t="s">
        <v>7</v>
      </c>
      <c r="H260" s="3" t="s">
        <v>8</v>
      </c>
      <c r="I260" s="3" t="s">
        <v>15</v>
      </c>
      <c r="J260" s="3" t="s">
        <v>16</v>
      </c>
      <c r="K260" s="3" t="s">
        <v>17</v>
      </c>
      <c r="L260" s="3" t="s">
        <v>18</v>
      </c>
      <c r="M260" s="3" t="s">
        <v>19</v>
      </c>
    </row>
    <row r="261" spans="1:13" hidden="1">
      <c r="A261" s="4" t="s">
        <v>9</v>
      </c>
      <c r="B261" s="4">
        <f>C253</f>
        <v>808129</v>
      </c>
      <c r="C261" s="4">
        <v>822240</v>
      </c>
      <c r="D261" s="4">
        <f>C261-B261</f>
        <v>14111</v>
      </c>
      <c r="E261" s="7">
        <v>18944.64</v>
      </c>
      <c r="F261" s="7">
        <v>2300.3794999999996</v>
      </c>
      <c r="G261" s="7"/>
      <c r="H261" s="7"/>
      <c r="I261" s="7" t="s">
        <v>20</v>
      </c>
      <c r="J261" s="22" t="s">
        <v>62</v>
      </c>
      <c r="K261" s="7">
        <f>E261/D261</f>
        <v>1.3425441145205868</v>
      </c>
      <c r="L261" s="4">
        <v>33</v>
      </c>
      <c r="M261" s="4">
        <f>D261/L261</f>
        <v>427.60606060606062</v>
      </c>
    </row>
    <row r="262" spans="1:13" hidden="1">
      <c r="A262" s="4" t="s">
        <v>10</v>
      </c>
      <c r="B262" s="4">
        <v>808523</v>
      </c>
      <c r="C262" s="4">
        <v>819777</v>
      </c>
      <c r="D262" s="4">
        <f>C262-B262</f>
        <v>11254</v>
      </c>
      <c r="E262" s="7">
        <f>(16027.95-21757.8-5225.31)*1.15</f>
        <v>-12598.433999999999</v>
      </c>
      <c r="F262" s="7"/>
      <c r="G262" s="7">
        <f>147.74*1.15</f>
        <v>169.90100000000001</v>
      </c>
      <c r="H262" s="7">
        <f>(596.18+191.84)*1.15</f>
        <v>906.22299999999996</v>
      </c>
      <c r="I262" s="7" t="s">
        <v>20</v>
      </c>
      <c r="J262" s="4" t="s">
        <v>63</v>
      </c>
      <c r="K262" s="11">
        <f>E264/D262</f>
        <v>-1.0630478052248091</v>
      </c>
      <c r="L262" s="4">
        <v>61</v>
      </c>
      <c r="M262" s="4">
        <f>D262/L262</f>
        <v>184.49180327868854</v>
      </c>
    </row>
    <row r="263" spans="1:13" hidden="1">
      <c r="A263" s="3" t="s">
        <v>11</v>
      </c>
      <c r="B263" s="3"/>
      <c r="C263" s="3"/>
      <c r="D263" s="3"/>
      <c r="E263" s="5">
        <f>E261+F261</f>
        <v>21245.019499999999</v>
      </c>
      <c r="F263" s="5"/>
      <c r="G263" s="5"/>
      <c r="H263" s="5"/>
      <c r="I263" s="5"/>
      <c r="J263" s="4"/>
      <c r="K263" s="4"/>
      <c r="L263" s="4"/>
      <c r="M263" s="4"/>
    </row>
    <row r="264" spans="1:13" hidden="1">
      <c r="A264" s="3" t="s">
        <v>12</v>
      </c>
      <c r="B264" s="3"/>
      <c r="C264" s="3"/>
      <c r="D264" s="3"/>
      <c r="E264" s="5">
        <v>-11963.54</v>
      </c>
      <c r="F264" s="5"/>
      <c r="G264" s="5"/>
      <c r="H264" s="5"/>
      <c r="I264" s="5"/>
      <c r="J264" s="4"/>
      <c r="K264" s="4"/>
      <c r="L264" s="4"/>
      <c r="M264" s="4"/>
    </row>
    <row r="265" spans="1:13" hidden="1">
      <c r="A265" s="3" t="s">
        <v>13</v>
      </c>
      <c r="B265" s="3"/>
      <c r="C265" s="3"/>
      <c r="D265" s="3">
        <f>D261-D262</f>
        <v>2857</v>
      </c>
      <c r="E265" s="5">
        <f>E263-E264</f>
        <v>33208.559500000003</v>
      </c>
      <c r="F265" s="5"/>
      <c r="G265" s="5"/>
      <c r="H265" s="5"/>
      <c r="I265" s="5"/>
      <c r="J265" s="4"/>
      <c r="K265" s="4"/>
      <c r="L265" s="4"/>
      <c r="M265" s="4"/>
    </row>
    <row r="266" spans="1:13" hidden="1"/>
    <row r="267" spans="1:13" hidden="1">
      <c r="A267" s="21">
        <v>44105</v>
      </c>
    </row>
    <row r="268" spans="1:13" hidden="1">
      <c r="A268" s="3" t="s">
        <v>1</v>
      </c>
      <c r="B268" s="3" t="s">
        <v>2</v>
      </c>
      <c r="C268" s="3" t="s">
        <v>3</v>
      </c>
      <c r="D268" s="3" t="s">
        <v>4</v>
      </c>
      <c r="E268" s="3" t="s">
        <v>5</v>
      </c>
      <c r="F268" s="3" t="s">
        <v>37</v>
      </c>
      <c r="G268" s="3" t="s">
        <v>7</v>
      </c>
      <c r="H268" s="3" t="s">
        <v>8</v>
      </c>
      <c r="I268" s="3" t="s">
        <v>15</v>
      </c>
      <c r="J268" s="3" t="s">
        <v>16</v>
      </c>
      <c r="K268" s="3" t="s">
        <v>17</v>
      </c>
      <c r="L268" s="3" t="s">
        <v>18</v>
      </c>
      <c r="M268" s="3" t="s">
        <v>19</v>
      </c>
    </row>
    <row r="269" spans="1:13" hidden="1">
      <c r="A269" s="4" t="s">
        <v>9</v>
      </c>
      <c r="B269" s="4">
        <f>C261</f>
        <v>822240</v>
      </c>
      <c r="C269" s="4">
        <v>833509</v>
      </c>
      <c r="D269" s="4">
        <f>C269-B269</f>
        <v>11269</v>
      </c>
      <c r="E269" s="7">
        <v>18547.2</v>
      </c>
      <c r="F269" s="7">
        <v>2008.65</v>
      </c>
      <c r="G269" s="7"/>
      <c r="H269" s="7"/>
      <c r="I269" s="7" t="s">
        <v>20</v>
      </c>
      <c r="J269" s="22" t="s">
        <v>64</v>
      </c>
      <c r="K269" s="7">
        <f>E269/D269</f>
        <v>1.645860324784808</v>
      </c>
      <c r="L269" s="4">
        <v>29</v>
      </c>
      <c r="M269" s="4">
        <f>D269/L269</f>
        <v>388.58620689655174</v>
      </c>
    </row>
    <row r="270" spans="1:13" hidden="1">
      <c r="A270" s="4" t="s">
        <v>10</v>
      </c>
      <c r="B270" s="4">
        <f>C262</f>
        <v>819777</v>
      </c>
      <c r="C270" s="4">
        <v>831737</v>
      </c>
      <c r="D270" s="4">
        <f>C270-B270</f>
        <v>11960</v>
      </c>
      <c r="E270" s="7">
        <f>17033.43*1.15</f>
        <v>19588.444499999998</v>
      </c>
      <c r="F270" s="7"/>
      <c r="G270" s="7">
        <f>147.74*1.15</f>
        <v>169.90100000000001</v>
      </c>
      <c r="H270" s="7">
        <f>596.18*1.15</f>
        <v>685.60699999999986</v>
      </c>
      <c r="I270" s="7" t="s">
        <v>20</v>
      </c>
      <c r="J270" s="4" t="s">
        <v>65</v>
      </c>
      <c r="K270" s="11">
        <f>E272/D270</f>
        <v>1.7093605769230769</v>
      </c>
      <c r="L270" s="4">
        <v>31</v>
      </c>
      <c r="M270" s="4">
        <f>D270/L270</f>
        <v>385.80645161290323</v>
      </c>
    </row>
    <row r="271" spans="1:13" hidden="1">
      <c r="A271" s="3" t="s">
        <v>11</v>
      </c>
      <c r="B271" s="3"/>
      <c r="C271" s="3"/>
      <c r="D271" s="3"/>
      <c r="E271" s="5">
        <f>E269+F269</f>
        <v>20555.850000000002</v>
      </c>
      <c r="F271" s="5"/>
      <c r="G271" s="5"/>
      <c r="H271" s="5"/>
      <c r="I271" s="5"/>
      <c r="J271" s="4"/>
      <c r="K271" s="4"/>
      <c r="L271" s="4"/>
      <c r="M271" s="4"/>
    </row>
    <row r="272" spans="1:13" hidden="1">
      <c r="A272" s="3" t="s">
        <v>12</v>
      </c>
      <c r="B272" s="3"/>
      <c r="C272" s="3"/>
      <c r="D272" s="3"/>
      <c r="E272" s="5">
        <f>E270+F270+G270+H270</f>
        <v>20443.952499999999</v>
      </c>
      <c r="F272" s="5"/>
      <c r="G272" s="5"/>
      <c r="H272" s="5"/>
      <c r="I272" s="5"/>
      <c r="J272" s="4"/>
      <c r="K272" s="4"/>
      <c r="L272" s="4"/>
      <c r="M272" s="4"/>
    </row>
    <row r="273" spans="1:13" hidden="1">
      <c r="A273" s="3" t="s">
        <v>13</v>
      </c>
      <c r="B273" s="3"/>
      <c r="C273" s="3"/>
      <c r="D273" s="3">
        <f>D269-D270</f>
        <v>-691</v>
      </c>
      <c r="E273" s="5">
        <f>E271-E272</f>
        <v>111.89750000000276</v>
      </c>
      <c r="F273" s="5"/>
      <c r="G273" s="5"/>
      <c r="H273" s="5"/>
      <c r="I273" s="5"/>
      <c r="J273" s="4"/>
      <c r="K273" s="4"/>
      <c r="L273" s="4"/>
      <c r="M273" s="4"/>
    </row>
    <row r="274" spans="1:13" hidden="1"/>
    <row r="275" spans="1:13" hidden="1">
      <c r="A275" s="21">
        <v>44136</v>
      </c>
    </row>
    <row r="276" spans="1:13" hidden="1">
      <c r="A276" s="3" t="s">
        <v>1</v>
      </c>
      <c r="B276" s="3" t="s">
        <v>2</v>
      </c>
      <c r="C276" s="3" t="s">
        <v>3</v>
      </c>
      <c r="D276" s="3" t="s">
        <v>4</v>
      </c>
      <c r="E276" s="3" t="s">
        <v>5</v>
      </c>
      <c r="F276" s="3" t="s">
        <v>37</v>
      </c>
      <c r="G276" s="3" t="s">
        <v>7</v>
      </c>
      <c r="H276" s="3" t="s">
        <v>8</v>
      </c>
      <c r="I276" s="3" t="s">
        <v>15</v>
      </c>
      <c r="J276" s="3" t="s">
        <v>16</v>
      </c>
      <c r="K276" s="3" t="s">
        <v>17</v>
      </c>
      <c r="L276" s="3" t="s">
        <v>18</v>
      </c>
      <c r="M276" s="3" t="s">
        <v>19</v>
      </c>
    </row>
    <row r="277" spans="1:13" hidden="1">
      <c r="A277" s="4" t="s">
        <v>9</v>
      </c>
      <c r="B277" s="4">
        <f>C269</f>
        <v>833509</v>
      </c>
      <c r="C277" s="4">
        <v>844493</v>
      </c>
      <c r="D277" s="4">
        <f>C277-B277</f>
        <v>10984</v>
      </c>
      <c r="E277" s="7">
        <v>17309.34</v>
      </c>
      <c r="F277" s="7">
        <v>1904.6874999999998</v>
      </c>
      <c r="G277" s="7"/>
      <c r="H277" s="7"/>
      <c r="I277" s="7" t="s">
        <v>20</v>
      </c>
      <c r="J277" s="22" t="s">
        <v>66</v>
      </c>
      <c r="K277" s="7">
        <f>E277/D277</f>
        <v>1.5758685360524398</v>
      </c>
      <c r="L277" s="4">
        <v>28</v>
      </c>
      <c r="M277" s="4">
        <f>D277/L277</f>
        <v>392.28571428571428</v>
      </c>
    </row>
    <row r="278" spans="1:13" hidden="1">
      <c r="A278" s="4" t="s">
        <v>10</v>
      </c>
      <c r="B278" s="4">
        <f>C270</f>
        <v>831737</v>
      </c>
      <c r="C278" s="4">
        <v>843948</v>
      </c>
      <c r="D278" s="4">
        <f>C278-B278</f>
        <v>12211</v>
      </c>
      <c r="E278" s="7">
        <f>17390.91*1.15</f>
        <v>19999.546499999997</v>
      </c>
      <c r="F278" s="7"/>
      <c r="G278" s="7">
        <f>147.74*1.15</f>
        <v>169.90100000000001</v>
      </c>
      <c r="H278" s="7">
        <f>596.18*1.15</f>
        <v>685.60699999999986</v>
      </c>
      <c r="I278" s="7" t="s">
        <v>20</v>
      </c>
      <c r="J278" s="4" t="s">
        <v>67</v>
      </c>
      <c r="K278" s="11">
        <f>E278/D278</f>
        <v>1.6378303578740476</v>
      </c>
      <c r="L278" s="4">
        <v>30</v>
      </c>
      <c r="M278" s="4">
        <f>D278/L278</f>
        <v>407.03333333333336</v>
      </c>
    </row>
    <row r="279" spans="1:13" hidden="1">
      <c r="A279" s="3" t="s">
        <v>11</v>
      </c>
      <c r="B279" s="3"/>
      <c r="C279" s="3"/>
      <c r="D279" s="3"/>
      <c r="E279" s="5">
        <f>E277+F277</f>
        <v>19214.0275</v>
      </c>
      <c r="F279" s="5"/>
      <c r="G279" s="5"/>
      <c r="H279" s="5"/>
      <c r="I279" s="5"/>
      <c r="J279" s="4"/>
      <c r="K279" s="4"/>
      <c r="L279" s="4"/>
      <c r="M279" s="4"/>
    </row>
    <row r="280" spans="1:13" hidden="1">
      <c r="A280" s="3" t="s">
        <v>12</v>
      </c>
      <c r="B280" s="3"/>
      <c r="C280" s="3"/>
      <c r="D280" s="3"/>
      <c r="E280" s="5">
        <f>E278+F278+G278+H278</f>
        <v>20855.054499999998</v>
      </c>
      <c r="F280" s="5"/>
      <c r="G280" s="5"/>
      <c r="H280" s="5"/>
      <c r="I280" s="5"/>
      <c r="J280" s="4"/>
      <c r="K280" s="4"/>
      <c r="L280" s="4"/>
      <c r="M280" s="4"/>
    </row>
    <row r="281" spans="1:13" hidden="1">
      <c r="A281" s="3" t="s">
        <v>13</v>
      </c>
      <c r="B281" s="3"/>
      <c r="C281" s="3"/>
      <c r="D281" s="3">
        <f>D277-D278</f>
        <v>-1227</v>
      </c>
      <c r="E281" s="5">
        <f>E279-E280</f>
        <v>-1641.0269999999982</v>
      </c>
      <c r="F281" s="5"/>
      <c r="G281" s="5"/>
      <c r="H281" s="5"/>
      <c r="I281" s="5"/>
      <c r="J281" s="4"/>
      <c r="K281" s="4"/>
      <c r="L281" s="4"/>
      <c r="M281" s="4"/>
    </row>
    <row r="282" spans="1:13" hidden="1"/>
    <row r="283" spans="1:13" hidden="1">
      <c r="A283" s="21">
        <v>44166</v>
      </c>
    </row>
    <row r="284" spans="1:13" hidden="1">
      <c r="A284" s="3" t="s">
        <v>1</v>
      </c>
      <c r="B284" s="3" t="s">
        <v>2</v>
      </c>
      <c r="C284" s="3" t="s">
        <v>3</v>
      </c>
      <c r="D284" s="3" t="s">
        <v>4</v>
      </c>
      <c r="E284" s="3" t="s">
        <v>5</v>
      </c>
      <c r="F284" s="3" t="s">
        <v>37</v>
      </c>
      <c r="G284" s="3" t="s">
        <v>7</v>
      </c>
      <c r="H284" s="3" t="s">
        <v>8</v>
      </c>
      <c r="I284" s="3" t="s">
        <v>15</v>
      </c>
      <c r="J284" s="3" t="s">
        <v>16</v>
      </c>
      <c r="K284" s="3" t="s">
        <v>17</v>
      </c>
      <c r="L284" s="3" t="s">
        <v>18</v>
      </c>
      <c r="M284" s="3" t="s">
        <v>19</v>
      </c>
    </row>
    <row r="285" spans="1:13" hidden="1">
      <c r="A285" s="4" t="s">
        <v>9</v>
      </c>
      <c r="B285" s="4">
        <f>C277</f>
        <v>844493</v>
      </c>
      <c r="C285" s="4">
        <v>858967</v>
      </c>
      <c r="D285" s="4">
        <f>C285-B285</f>
        <v>14474</v>
      </c>
      <c r="E285" s="7">
        <v>21503.2405</v>
      </c>
      <c r="F285" s="7">
        <v>2764.8184999999999</v>
      </c>
      <c r="G285" s="7"/>
      <c r="H285" s="7"/>
      <c r="I285" s="7" t="s">
        <v>20</v>
      </c>
      <c r="J285" s="22" t="s">
        <v>68</v>
      </c>
      <c r="K285" s="7">
        <f>E285/D285</f>
        <v>1.4856460204504629</v>
      </c>
      <c r="L285" s="4">
        <v>41</v>
      </c>
      <c r="M285" s="4">
        <f>D285/L285</f>
        <v>353.02439024390242</v>
      </c>
    </row>
    <row r="286" spans="1:13" hidden="1">
      <c r="A286" s="4" t="s">
        <v>10</v>
      </c>
      <c r="B286" s="4">
        <f>C278</f>
        <v>843948</v>
      </c>
      <c r="C286" s="4">
        <v>854531</v>
      </c>
      <c r="D286" s="4">
        <f>C286-B286</f>
        <v>10583</v>
      </c>
      <c r="E286" s="7">
        <f>15072.31*1.15</f>
        <v>17333.156499999997</v>
      </c>
      <c r="F286" s="7"/>
      <c r="G286" s="7">
        <f>147.74*1.15</f>
        <v>169.90100000000001</v>
      </c>
      <c r="H286" s="7">
        <f>596.18*1.15</f>
        <v>685.60699999999986</v>
      </c>
      <c r="I286" s="7" t="s">
        <v>20</v>
      </c>
      <c r="J286" s="4" t="s">
        <v>69</v>
      </c>
      <c r="K286" s="11">
        <f>E286/D286</f>
        <v>1.6378301521307754</v>
      </c>
      <c r="L286" s="4">
        <v>31</v>
      </c>
      <c r="M286" s="4">
        <f>D286/L286</f>
        <v>341.38709677419354</v>
      </c>
    </row>
    <row r="287" spans="1:13" hidden="1">
      <c r="A287" s="3" t="s">
        <v>11</v>
      </c>
      <c r="B287" s="3"/>
      <c r="C287" s="3"/>
      <c r="D287" s="3"/>
      <c r="E287" s="5">
        <f>E285+F285</f>
        <v>24268.059000000001</v>
      </c>
      <c r="F287" s="5"/>
      <c r="G287" s="5"/>
      <c r="H287" s="5"/>
      <c r="I287" s="5"/>
      <c r="J287" s="4"/>
      <c r="K287" s="4"/>
      <c r="L287" s="4"/>
      <c r="M287" s="4"/>
    </row>
    <row r="288" spans="1:13" hidden="1">
      <c r="A288" s="3" t="s">
        <v>12</v>
      </c>
      <c r="B288" s="3"/>
      <c r="C288" s="3"/>
      <c r="D288" s="3"/>
      <c r="E288" s="5">
        <f>E286+F286+G286+H286</f>
        <v>18188.664499999999</v>
      </c>
      <c r="F288" s="5"/>
      <c r="G288" s="5"/>
      <c r="H288" s="5"/>
      <c r="I288" s="5"/>
      <c r="J288" s="4"/>
      <c r="K288" s="4"/>
      <c r="L288" s="4"/>
      <c r="M288" s="4"/>
    </row>
    <row r="289" spans="1:13" hidden="1">
      <c r="A289" s="3" t="s">
        <v>13</v>
      </c>
      <c r="B289" s="3"/>
      <c r="C289" s="3"/>
      <c r="D289" s="3">
        <f>D285-D286</f>
        <v>3891</v>
      </c>
      <c r="E289" s="5">
        <f>E287-E288</f>
        <v>6079.3945000000022</v>
      </c>
      <c r="F289" s="5"/>
      <c r="G289" s="5"/>
      <c r="H289" s="5"/>
      <c r="I289" s="5"/>
      <c r="J289" s="4"/>
      <c r="K289" s="4"/>
      <c r="L289" s="4"/>
      <c r="M289" s="4"/>
    </row>
    <row r="291" spans="1:13">
      <c r="A291" s="21">
        <v>44197</v>
      </c>
    </row>
    <row r="292" spans="1:13" hidden="1">
      <c r="A292" s="3" t="s">
        <v>1</v>
      </c>
      <c r="B292" s="3" t="s">
        <v>2</v>
      </c>
      <c r="C292" s="3" t="s">
        <v>3</v>
      </c>
      <c r="D292" s="3" t="s">
        <v>4</v>
      </c>
      <c r="E292" s="3" t="s">
        <v>5</v>
      </c>
      <c r="F292" s="3" t="s">
        <v>37</v>
      </c>
      <c r="G292" s="3" t="s">
        <v>7</v>
      </c>
      <c r="H292" s="3" t="s">
        <v>8</v>
      </c>
      <c r="I292" s="3" t="s">
        <v>15</v>
      </c>
      <c r="J292" s="3" t="s">
        <v>16</v>
      </c>
      <c r="K292" s="3" t="s">
        <v>17</v>
      </c>
      <c r="L292" s="3" t="s">
        <v>18</v>
      </c>
      <c r="M292" s="3" t="s">
        <v>19</v>
      </c>
    </row>
    <row r="293" spans="1:13" hidden="1">
      <c r="A293" s="4" t="s">
        <v>9</v>
      </c>
      <c r="B293" s="4">
        <f>C285</f>
        <v>858967</v>
      </c>
      <c r="C293" s="4">
        <v>867951</v>
      </c>
      <c r="D293" s="4">
        <f>C293-B293</f>
        <v>8984</v>
      </c>
      <c r="E293" s="7">
        <v>17743.21</v>
      </c>
      <c r="F293" s="7">
        <v>2295.35</v>
      </c>
      <c r="G293" s="7"/>
      <c r="H293" s="7"/>
      <c r="I293" s="7" t="s">
        <v>20</v>
      </c>
      <c r="J293" s="22" t="s">
        <v>70</v>
      </c>
      <c r="K293" s="7">
        <f>E293/D293</f>
        <v>1.9749788512911843</v>
      </c>
      <c r="L293" s="4">
        <v>22</v>
      </c>
      <c r="M293" s="4">
        <f>D293/L293</f>
        <v>408.36363636363637</v>
      </c>
    </row>
    <row r="294" spans="1:13" hidden="1">
      <c r="A294" s="4" t="s">
        <v>10</v>
      </c>
      <c r="B294" s="4">
        <f>C286</f>
        <v>854531</v>
      </c>
      <c r="C294" s="4">
        <v>865549</v>
      </c>
      <c r="D294" s="4">
        <f>C294-B294</f>
        <v>11018</v>
      </c>
      <c r="E294" s="7">
        <f>15691.84*1.15</f>
        <v>18045.615999999998</v>
      </c>
      <c r="F294" s="7"/>
      <c r="G294" s="7">
        <f>147.74*1.15</f>
        <v>169.90100000000001</v>
      </c>
      <c r="H294" s="7">
        <f>596.18*1.15</f>
        <v>685.60699999999986</v>
      </c>
      <c r="I294" s="7" t="s">
        <v>20</v>
      </c>
      <c r="J294" s="4" t="s">
        <v>71</v>
      </c>
      <c r="K294" s="11">
        <f>E294/D294</f>
        <v>1.6378304592485022</v>
      </c>
      <c r="L294" s="4">
        <v>31</v>
      </c>
      <c r="M294" s="4">
        <f>D294/L294</f>
        <v>355.41935483870969</v>
      </c>
    </row>
    <row r="295" spans="1:13" hidden="1">
      <c r="A295" s="3" t="s">
        <v>11</v>
      </c>
      <c r="B295" s="3"/>
      <c r="C295" s="3"/>
      <c r="D295" s="3"/>
      <c r="E295" s="5">
        <f>E293+F293</f>
        <v>20038.559999999998</v>
      </c>
      <c r="F295" s="5"/>
      <c r="G295" s="5"/>
      <c r="H295" s="5"/>
      <c r="I295" s="5"/>
      <c r="J295" s="4"/>
      <c r="K295" s="4"/>
      <c r="L295" s="4"/>
      <c r="M295" s="4"/>
    </row>
    <row r="296" spans="1:13" hidden="1">
      <c r="A296" s="3" t="s">
        <v>12</v>
      </c>
      <c r="B296" s="3"/>
      <c r="C296" s="3"/>
      <c r="D296" s="3"/>
      <c r="E296" s="5">
        <f>E294+F294+G294+H294</f>
        <v>18901.124</v>
      </c>
      <c r="F296" s="5"/>
      <c r="G296" s="5"/>
      <c r="H296" s="5"/>
      <c r="I296" s="5"/>
      <c r="J296" s="4"/>
      <c r="K296" s="4"/>
      <c r="L296" s="4"/>
      <c r="M296" s="4"/>
    </row>
    <row r="297" spans="1:13" hidden="1">
      <c r="A297" s="3" t="s">
        <v>13</v>
      </c>
      <c r="B297" s="3"/>
      <c r="C297" s="3"/>
      <c r="D297" s="3">
        <f>D293-D294</f>
        <v>-2034</v>
      </c>
      <c r="E297" s="5">
        <f>E295-E296</f>
        <v>1137.4359999999979</v>
      </c>
      <c r="F297" s="5"/>
      <c r="G297" s="5"/>
      <c r="H297" s="5"/>
      <c r="I297" s="5"/>
      <c r="J297" s="4"/>
      <c r="K297" s="4"/>
      <c r="L297" s="4"/>
      <c r="M297" s="4"/>
    </row>
    <row r="298" spans="1:13" hidden="1"/>
    <row r="299" spans="1:13" hidden="1">
      <c r="A299" s="21">
        <v>44228</v>
      </c>
    </row>
    <row r="300" spans="1:13" hidden="1">
      <c r="A300" s="3" t="s">
        <v>1</v>
      </c>
      <c r="B300" s="3" t="s">
        <v>2</v>
      </c>
      <c r="C300" s="3" t="s">
        <v>3</v>
      </c>
      <c r="D300" s="3" t="s">
        <v>4</v>
      </c>
      <c r="E300" s="3" t="s">
        <v>5</v>
      </c>
      <c r="F300" s="3" t="s">
        <v>37</v>
      </c>
      <c r="G300" s="3" t="s">
        <v>7</v>
      </c>
      <c r="H300" s="3" t="s">
        <v>8</v>
      </c>
      <c r="I300" s="3" t="s">
        <v>15</v>
      </c>
      <c r="J300" s="3" t="s">
        <v>16</v>
      </c>
      <c r="K300" s="3" t="s">
        <v>17</v>
      </c>
      <c r="L300" s="3" t="s">
        <v>18</v>
      </c>
      <c r="M300" s="3" t="s">
        <v>19</v>
      </c>
    </row>
    <row r="301" spans="1:13" hidden="1">
      <c r="A301" s="4" t="s">
        <v>9</v>
      </c>
      <c r="B301" s="4">
        <f>C293</f>
        <v>867951</v>
      </c>
      <c r="C301" s="4">
        <v>878075</v>
      </c>
      <c r="D301" s="4">
        <f>C301-B301</f>
        <v>10124</v>
      </c>
      <c r="E301" s="7">
        <v>17388</v>
      </c>
      <c r="F301" s="7">
        <v>757.85</v>
      </c>
      <c r="G301" s="7"/>
      <c r="H301" s="7"/>
      <c r="I301" s="7" t="s">
        <v>20</v>
      </c>
      <c r="J301" s="22" t="s">
        <v>72</v>
      </c>
      <c r="K301" s="7">
        <f>E301/D301</f>
        <v>1.7175029632556302</v>
      </c>
      <c r="L301" s="4">
        <v>28</v>
      </c>
      <c r="M301" s="4">
        <f>D301/L301</f>
        <v>361.57142857142856</v>
      </c>
    </row>
    <row r="302" spans="1:13" hidden="1">
      <c r="A302" s="4" t="s">
        <v>10</v>
      </c>
      <c r="B302" s="4">
        <f>C294</f>
        <v>865549</v>
      </c>
      <c r="C302" s="4">
        <v>877893</v>
      </c>
      <c r="D302" s="4">
        <f>C302-B302</f>
        <v>12344</v>
      </c>
      <c r="E302" s="7">
        <f>17580.32*1.15</f>
        <v>20217.367999999999</v>
      </c>
      <c r="F302" s="7"/>
      <c r="G302" s="7">
        <f>147.74*1.15</f>
        <v>169.90100000000001</v>
      </c>
      <c r="H302" s="7">
        <f>596.18*1.15</f>
        <v>685.60699999999986</v>
      </c>
      <c r="I302" s="7" t="s">
        <v>20</v>
      </c>
      <c r="J302" s="4" t="s">
        <v>73</v>
      </c>
      <c r="K302" s="11">
        <f>E302/D302</f>
        <v>1.6378295528191833</v>
      </c>
      <c r="L302" s="4">
        <v>28</v>
      </c>
      <c r="M302" s="4">
        <f>D302/L302</f>
        <v>440.85714285714283</v>
      </c>
    </row>
    <row r="303" spans="1:13" hidden="1">
      <c r="A303" s="3" t="s">
        <v>11</v>
      </c>
      <c r="B303" s="3"/>
      <c r="C303" s="3"/>
      <c r="D303" s="3"/>
      <c r="E303" s="5">
        <f>E301+F301</f>
        <v>18145.849999999999</v>
      </c>
      <c r="F303" s="5"/>
      <c r="G303" s="5"/>
      <c r="H303" s="5"/>
      <c r="I303" s="5"/>
      <c r="J303" s="4"/>
      <c r="K303" s="4"/>
      <c r="L303" s="4"/>
      <c r="M303" s="4"/>
    </row>
    <row r="304" spans="1:13" hidden="1">
      <c r="A304" s="3" t="s">
        <v>12</v>
      </c>
      <c r="B304" s="3"/>
      <c r="C304" s="3"/>
      <c r="D304" s="3"/>
      <c r="E304" s="5">
        <f>E302+F302+G302+H302</f>
        <v>21072.876</v>
      </c>
      <c r="F304" s="5"/>
      <c r="G304" s="5"/>
      <c r="H304" s="5"/>
      <c r="I304" s="5"/>
      <c r="J304" s="4"/>
      <c r="K304" s="4"/>
      <c r="L304" s="4"/>
      <c r="M304" s="4"/>
    </row>
    <row r="305" spans="1:13" hidden="1">
      <c r="A305" s="3" t="s">
        <v>13</v>
      </c>
      <c r="B305" s="3"/>
      <c r="C305" s="3"/>
      <c r="D305" s="3">
        <f>D301-D302</f>
        <v>-2220</v>
      </c>
      <c r="E305" s="5">
        <f>E303-E304</f>
        <v>-2927.0260000000017</v>
      </c>
      <c r="F305" s="5"/>
      <c r="G305" s="5"/>
      <c r="H305" s="5"/>
      <c r="I305" s="5"/>
      <c r="J305" s="4"/>
      <c r="K305" s="4"/>
      <c r="L305" s="4"/>
      <c r="M305" s="4"/>
    </row>
    <row r="306" spans="1:13" hidden="1"/>
    <row r="307" spans="1:13" hidden="1">
      <c r="A307" s="21">
        <v>44256</v>
      </c>
    </row>
    <row r="308" spans="1:13" hidden="1">
      <c r="A308" s="3" t="s">
        <v>1</v>
      </c>
      <c r="B308" s="3" t="s">
        <v>2</v>
      </c>
      <c r="C308" s="3" t="s">
        <v>3</v>
      </c>
      <c r="D308" s="3" t="s">
        <v>4</v>
      </c>
      <c r="E308" s="3" t="s">
        <v>5</v>
      </c>
      <c r="F308" s="3" t="s">
        <v>37</v>
      </c>
      <c r="G308" s="3" t="s">
        <v>7</v>
      </c>
      <c r="H308" s="3" t="s">
        <v>8</v>
      </c>
      <c r="I308" s="3" t="s">
        <v>15</v>
      </c>
      <c r="J308" s="3" t="s">
        <v>16</v>
      </c>
      <c r="K308" s="3" t="s">
        <v>17</v>
      </c>
      <c r="L308" s="3" t="s">
        <v>18</v>
      </c>
      <c r="M308" s="3" t="s">
        <v>19</v>
      </c>
    </row>
    <row r="309" spans="1:13" hidden="1">
      <c r="A309" s="4" t="s">
        <v>9</v>
      </c>
      <c r="B309" s="4">
        <f>C301</f>
        <v>878075</v>
      </c>
      <c r="C309" s="4">
        <v>891826</v>
      </c>
      <c r="D309" s="4">
        <f>C309-B309</f>
        <v>13751</v>
      </c>
      <c r="E309" s="7">
        <v>19074.64</v>
      </c>
      <c r="F309" s="7">
        <v>2478.11</v>
      </c>
      <c r="G309" s="7"/>
      <c r="H309" s="7"/>
      <c r="I309" s="7" t="s">
        <v>20</v>
      </c>
      <c r="J309" s="22" t="s">
        <v>74</v>
      </c>
      <c r="K309" s="7">
        <f>E309/D309</f>
        <v>1.3871456621336629</v>
      </c>
      <c r="L309" s="4">
        <v>33</v>
      </c>
      <c r="M309" s="4">
        <f>D309/L309</f>
        <v>416.69696969696969</v>
      </c>
    </row>
    <row r="310" spans="1:13" hidden="1">
      <c r="A310" s="4" t="s">
        <v>10</v>
      </c>
      <c r="B310" s="4">
        <f>C302</f>
        <v>877893</v>
      </c>
      <c r="C310" s="4">
        <v>889141</v>
      </c>
      <c r="D310" s="4">
        <f>C310-B310</f>
        <v>11248</v>
      </c>
      <c r="E310" s="7">
        <f>16019.4*1.15</f>
        <v>18422.309999999998</v>
      </c>
      <c r="F310" s="7"/>
      <c r="G310" s="7">
        <f>147.74*1.15</f>
        <v>169.90100000000001</v>
      </c>
      <c r="H310" s="7">
        <f>596.18*1.15</f>
        <v>685.60699999999986</v>
      </c>
      <c r="I310" s="7" t="s">
        <v>20</v>
      </c>
      <c r="J310" s="4" t="s">
        <v>75</v>
      </c>
      <c r="K310" s="11">
        <f>E310/D310</f>
        <v>1.6378298364153625</v>
      </c>
      <c r="L310" s="4">
        <v>31</v>
      </c>
      <c r="M310" s="4">
        <f>D310/L310</f>
        <v>362.83870967741933</v>
      </c>
    </row>
    <row r="311" spans="1:13" hidden="1">
      <c r="A311" s="3" t="s">
        <v>11</v>
      </c>
      <c r="B311" s="3"/>
      <c r="C311" s="3"/>
      <c r="D311" s="3"/>
      <c r="E311" s="5">
        <f>E309+F309</f>
        <v>21552.75</v>
      </c>
      <c r="F311" s="5"/>
      <c r="G311" s="5"/>
      <c r="H311" s="5"/>
      <c r="I311" s="5"/>
      <c r="J311" s="4"/>
      <c r="K311" s="4"/>
      <c r="L311" s="4"/>
      <c r="M311" s="4"/>
    </row>
    <row r="312" spans="1:13" hidden="1">
      <c r="A312" s="3" t="s">
        <v>12</v>
      </c>
      <c r="B312" s="3"/>
      <c r="C312" s="3"/>
      <c r="D312" s="3"/>
      <c r="E312" s="5">
        <f>E310+F310+G310+H310</f>
        <v>19277.817999999999</v>
      </c>
      <c r="F312" s="5"/>
      <c r="G312" s="5"/>
      <c r="H312" s="5"/>
      <c r="I312" s="5"/>
      <c r="J312" s="4"/>
      <c r="K312" s="4"/>
      <c r="L312" s="4"/>
      <c r="M312" s="4"/>
    </row>
    <row r="313" spans="1:13" hidden="1">
      <c r="A313" s="3" t="s">
        <v>13</v>
      </c>
      <c r="B313" s="3"/>
      <c r="C313" s="3"/>
      <c r="D313" s="3">
        <f>D309-D310</f>
        <v>2503</v>
      </c>
      <c r="E313" s="5">
        <f>E311-E312</f>
        <v>2274.9320000000007</v>
      </c>
      <c r="F313" s="5"/>
      <c r="G313" s="5"/>
      <c r="H313" s="5"/>
      <c r="I313" s="5"/>
      <c r="J313" s="4"/>
      <c r="K313" s="4"/>
      <c r="L313" s="4"/>
      <c r="M313" s="4"/>
    </row>
    <row r="314" spans="1:13" hidden="1"/>
    <row r="315" spans="1:13" hidden="1">
      <c r="A315" s="21">
        <v>44287</v>
      </c>
    </row>
    <row r="316" spans="1:13" hidden="1">
      <c r="A316" s="3" t="s">
        <v>1</v>
      </c>
      <c r="B316" s="3" t="s">
        <v>2</v>
      </c>
      <c r="C316" s="3" t="s">
        <v>3</v>
      </c>
      <c r="D316" s="3" t="s">
        <v>4</v>
      </c>
      <c r="E316" s="3" t="s">
        <v>5</v>
      </c>
      <c r="F316" s="3" t="s">
        <v>37</v>
      </c>
      <c r="G316" s="3" t="s">
        <v>7</v>
      </c>
      <c r="H316" s="3" t="s">
        <v>8</v>
      </c>
      <c r="I316" s="3" t="s">
        <v>15</v>
      </c>
      <c r="J316" s="3" t="s">
        <v>16</v>
      </c>
      <c r="K316" s="3" t="s">
        <v>17</v>
      </c>
      <c r="L316" s="3" t="s">
        <v>18</v>
      </c>
      <c r="M316" s="3" t="s">
        <v>19</v>
      </c>
    </row>
    <row r="317" spans="1:13" hidden="1">
      <c r="A317" s="4" t="s">
        <v>9</v>
      </c>
      <c r="B317" s="4">
        <f>C309</f>
        <v>891826</v>
      </c>
      <c r="C317" s="4">
        <v>903739</v>
      </c>
      <c r="D317" s="4">
        <f>C317-B317</f>
        <v>11913</v>
      </c>
      <c r="E317" s="7">
        <v>17956.84</v>
      </c>
      <c r="F317" s="7">
        <v>1772.23</v>
      </c>
      <c r="G317" s="7"/>
      <c r="H317" s="7"/>
      <c r="I317" s="7" t="s">
        <v>20</v>
      </c>
      <c r="J317" s="22" t="s">
        <v>76</v>
      </c>
      <c r="K317" s="7">
        <f>E317/D317</f>
        <v>1.507331486611265</v>
      </c>
      <c r="L317" s="4">
        <v>29</v>
      </c>
      <c r="M317" s="4">
        <f>D317/L317</f>
        <v>410.79310344827587</v>
      </c>
    </row>
    <row r="318" spans="1:13" hidden="1">
      <c r="A318" s="4" t="s">
        <v>10</v>
      </c>
      <c r="B318" s="4">
        <f>C310</f>
        <v>889141</v>
      </c>
      <c r="C318" s="4">
        <v>901914</v>
      </c>
      <c r="D318" s="4">
        <f>C318-B318</f>
        <v>12773</v>
      </c>
      <c r="E318" s="7">
        <f>18191.31*1.15</f>
        <v>20920.0065</v>
      </c>
      <c r="F318" s="7"/>
      <c r="G318" s="7">
        <f>147.74*1.15</f>
        <v>169.90100000000001</v>
      </c>
      <c r="H318" s="7">
        <f>596.18*1.15</f>
        <v>685.60699999999986</v>
      </c>
      <c r="I318" s="7" t="s">
        <v>20</v>
      </c>
      <c r="J318" s="4" t="s">
        <v>77</v>
      </c>
      <c r="K318" s="11">
        <f>E318/D318</f>
        <v>1.6378303061144601</v>
      </c>
      <c r="L318" s="4">
        <v>30</v>
      </c>
      <c r="M318" s="4">
        <f>D318/L318</f>
        <v>425.76666666666665</v>
      </c>
    </row>
    <row r="319" spans="1:13" hidden="1">
      <c r="A319" s="3" t="s">
        <v>11</v>
      </c>
      <c r="B319" s="3"/>
      <c r="C319" s="3"/>
      <c r="D319" s="3"/>
      <c r="E319" s="5">
        <f>E317+F317</f>
        <v>19729.07</v>
      </c>
      <c r="F319" s="5"/>
      <c r="G319" s="5"/>
      <c r="H319" s="5"/>
      <c r="I319" s="5"/>
      <c r="J319" s="4"/>
      <c r="K319" s="4"/>
      <c r="L319" s="4"/>
      <c r="M319" s="4"/>
    </row>
    <row r="320" spans="1:13" hidden="1">
      <c r="A320" s="3" t="s">
        <v>12</v>
      </c>
      <c r="B320" s="3"/>
      <c r="C320" s="3"/>
      <c r="D320" s="3"/>
      <c r="E320" s="5">
        <f>E318+F318+G318+H318</f>
        <v>21775.514500000001</v>
      </c>
      <c r="F320" s="5"/>
      <c r="G320" s="5"/>
      <c r="H320" s="5"/>
      <c r="I320" s="5"/>
      <c r="J320" s="4"/>
      <c r="K320" s="4"/>
      <c r="L320" s="4"/>
      <c r="M320" s="4"/>
    </row>
    <row r="321" spans="1:13" hidden="1">
      <c r="A321" s="3" t="s">
        <v>13</v>
      </c>
      <c r="B321" s="3"/>
      <c r="C321" s="3"/>
      <c r="D321" s="3">
        <f>D317-D318</f>
        <v>-860</v>
      </c>
      <c r="E321" s="5">
        <f>E319-E320</f>
        <v>-2046.4445000000014</v>
      </c>
      <c r="F321" s="5"/>
      <c r="G321" s="5"/>
      <c r="H321" s="5"/>
      <c r="I321" s="5"/>
      <c r="J321" s="4"/>
      <c r="K321" s="4"/>
      <c r="L321" s="4"/>
      <c r="M321" s="4"/>
    </row>
    <row r="322" spans="1:13" hidden="1"/>
    <row r="323" spans="1:13" hidden="1">
      <c r="A323" s="21">
        <v>44317</v>
      </c>
    </row>
    <row r="324" spans="1:13" hidden="1">
      <c r="A324" s="3" t="s">
        <v>1</v>
      </c>
      <c r="B324" s="3" t="s">
        <v>2</v>
      </c>
      <c r="C324" s="3" t="s">
        <v>3</v>
      </c>
      <c r="D324" s="3" t="s">
        <v>4</v>
      </c>
      <c r="E324" s="3" t="s">
        <v>5</v>
      </c>
      <c r="F324" s="3" t="s">
        <v>37</v>
      </c>
      <c r="G324" s="3" t="s">
        <v>7</v>
      </c>
      <c r="H324" s="3" t="s">
        <v>8</v>
      </c>
      <c r="I324" s="3" t="s">
        <v>15</v>
      </c>
      <c r="J324" s="3" t="s">
        <v>16</v>
      </c>
      <c r="K324" s="3" t="s">
        <v>17</v>
      </c>
      <c r="L324" s="3" t="s">
        <v>18</v>
      </c>
      <c r="M324" s="3" t="s">
        <v>19</v>
      </c>
    </row>
    <row r="325" spans="1:13" hidden="1">
      <c r="A325" s="4" t="s">
        <v>9</v>
      </c>
      <c r="B325" s="4">
        <f>C317</f>
        <v>903739</v>
      </c>
      <c r="C325" s="4">
        <v>916295</v>
      </c>
      <c r="D325" s="4">
        <f>C325-B325</f>
        <v>12556</v>
      </c>
      <c r="E325" s="7">
        <v>21304.44</v>
      </c>
      <c r="F325" s="7">
        <v>1778.95</v>
      </c>
      <c r="G325" s="7"/>
      <c r="H325" s="7"/>
      <c r="I325" s="7" t="s">
        <v>20</v>
      </c>
      <c r="J325" s="22" t="s">
        <v>78</v>
      </c>
      <c r="K325" s="7">
        <f>E325/D325</f>
        <v>1.6967537432303281</v>
      </c>
      <c r="L325" s="4">
        <v>28</v>
      </c>
      <c r="M325" s="4">
        <f>D325/L325</f>
        <v>448.42857142857144</v>
      </c>
    </row>
    <row r="326" spans="1:13" hidden="1">
      <c r="A326" s="4" t="s">
        <v>10</v>
      </c>
      <c r="B326" s="4">
        <f>C318</f>
        <v>901914</v>
      </c>
      <c r="C326" s="4">
        <v>915213</v>
      </c>
      <c r="D326" s="4">
        <f>C326-B326</f>
        <v>13299</v>
      </c>
      <c r="E326" s="7">
        <f>18940.44*1.15</f>
        <v>21781.505999999998</v>
      </c>
      <c r="F326" s="7"/>
      <c r="G326" s="7">
        <f>147.74*1.15</f>
        <v>169.90100000000001</v>
      </c>
      <c r="H326" s="7">
        <f>596.18*1.15</f>
        <v>685.60699999999986</v>
      </c>
      <c r="I326" s="7" t="s">
        <v>20</v>
      </c>
      <c r="J326" s="4" t="s">
        <v>79</v>
      </c>
      <c r="K326" s="11">
        <f>E326/D326</f>
        <v>1.6378303631852018</v>
      </c>
      <c r="L326" s="4">
        <v>31</v>
      </c>
      <c r="M326" s="4">
        <f>D326/L326</f>
        <v>429</v>
      </c>
    </row>
    <row r="327" spans="1:13" hidden="1">
      <c r="A327" s="3" t="s">
        <v>11</v>
      </c>
      <c r="B327" s="3"/>
      <c r="C327" s="3"/>
      <c r="D327" s="3"/>
      <c r="E327" s="5">
        <f>E325+F325</f>
        <v>23083.39</v>
      </c>
      <c r="F327" s="5"/>
      <c r="G327" s="5"/>
      <c r="H327" s="5"/>
      <c r="I327" s="5"/>
      <c r="J327" s="4"/>
      <c r="K327" s="4"/>
      <c r="L327" s="4"/>
      <c r="M327" s="4"/>
    </row>
    <row r="328" spans="1:13" hidden="1">
      <c r="A328" s="3" t="s">
        <v>12</v>
      </c>
      <c r="B328" s="3"/>
      <c r="C328" s="3"/>
      <c r="D328" s="3"/>
      <c r="E328" s="5">
        <f>E326+F326+G326+H326</f>
        <v>22637.013999999999</v>
      </c>
      <c r="F328" s="5"/>
      <c r="G328" s="5"/>
      <c r="H328" s="5"/>
      <c r="I328" s="5"/>
      <c r="J328" s="4"/>
      <c r="K328" s="4"/>
      <c r="L328" s="4"/>
      <c r="M328" s="4"/>
    </row>
    <row r="329" spans="1:13" hidden="1">
      <c r="A329" s="3" t="s">
        <v>13</v>
      </c>
      <c r="B329" s="3"/>
      <c r="C329" s="3"/>
      <c r="D329" s="3">
        <f>D325-D326</f>
        <v>-743</v>
      </c>
      <c r="E329" s="5">
        <f>E327-E328</f>
        <v>446.3760000000002</v>
      </c>
      <c r="F329" s="5"/>
      <c r="G329" s="5"/>
      <c r="H329" s="5"/>
      <c r="I329" s="5"/>
      <c r="J329" s="4"/>
      <c r="K329" s="4"/>
      <c r="L329" s="4"/>
      <c r="M329" s="4"/>
    </row>
    <row r="330" spans="1:13" hidden="1"/>
    <row r="331" spans="1:13" hidden="1">
      <c r="A331" s="21">
        <v>44348</v>
      </c>
    </row>
    <row r="332" spans="1:13" hidden="1">
      <c r="A332" s="3" t="s">
        <v>1</v>
      </c>
      <c r="B332" s="3" t="s">
        <v>2</v>
      </c>
      <c r="C332" s="3" t="s">
        <v>3</v>
      </c>
      <c r="D332" s="3" t="s">
        <v>4</v>
      </c>
      <c r="E332" s="3" t="s">
        <v>5</v>
      </c>
      <c r="F332" s="3" t="s">
        <v>37</v>
      </c>
      <c r="G332" s="3" t="s">
        <v>7</v>
      </c>
      <c r="H332" s="3" t="s">
        <v>8</v>
      </c>
      <c r="I332" s="3" t="s">
        <v>15</v>
      </c>
      <c r="J332" s="3" t="s">
        <v>16</v>
      </c>
      <c r="K332" s="3" t="s">
        <v>17</v>
      </c>
      <c r="L332" s="3" t="s">
        <v>18</v>
      </c>
      <c r="M332" s="3" t="s">
        <v>19</v>
      </c>
    </row>
    <row r="333" spans="1:13" hidden="1">
      <c r="A333" s="4" t="s">
        <v>9</v>
      </c>
      <c r="B333" s="4">
        <f>C325</f>
        <v>916295</v>
      </c>
      <c r="C333" s="4">
        <v>932531</v>
      </c>
      <c r="D333" s="4">
        <f>C333-B333</f>
        <v>16236</v>
      </c>
      <c r="E333" s="7">
        <v>22115.4</v>
      </c>
      <c r="F333" s="7">
        <f>2061.57*1.15</f>
        <v>2370.8054999999999</v>
      </c>
      <c r="G333" s="7"/>
      <c r="H333" s="7"/>
      <c r="I333" s="7" t="s">
        <v>20</v>
      </c>
      <c r="J333" s="22" t="s">
        <v>80</v>
      </c>
      <c r="K333" s="7">
        <f>E333/D333</f>
        <v>1.3621212121212123</v>
      </c>
      <c r="L333" s="4">
        <v>28</v>
      </c>
      <c r="M333" s="4">
        <f>D333/L333</f>
        <v>579.85714285714289</v>
      </c>
    </row>
    <row r="334" spans="1:13" hidden="1">
      <c r="A334" s="4" t="s">
        <v>10</v>
      </c>
      <c r="B334" s="4">
        <f>C326</f>
        <v>915213</v>
      </c>
      <c r="C334" s="4">
        <v>929780</v>
      </c>
      <c r="D334" s="4">
        <f>C334-B334</f>
        <v>14567</v>
      </c>
      <c r="E334" s="7">
        <f>20746.32*1.15</f>
        <v>23858.267999999996</v>
      </c>
      <c r="F334" s="7"/>
      <c r="G334" s="7">
        <f>169.29*1.15</f>
        <v>194.68349999999998</v>
      </c>
      <c r="H334" s="7">
        <f>683.14*1.15</f>
        <v>785.61099999999988</v>
      </c>
      <c r="I334" s="7" t="s">
        <v>20</v>
      </c>
      <c r="J334" s="4" t="s">
        <v>81</v>
      </c>
      <c r="K334" s="11">
        <f>E334/D334</f>
        <v>1.6378298894762131</v>
      </c>
      <c r="L334" s="4">
        <v>30</v>
      </c>
      <c r="M334" s="4">
        <f>D334/L334</f>
        <v>485.56666666666666</v>
      </c>
    </row>
    <row r="335" spans="1:13" hidden="1">
      <c r="A335" s="3" t="s">
        <v>11</v>
      </c>
      <c r="B335" s="3"/>
      <c r="C335" s="3"/>
      <c r="D335" s="3"/>
      <c r="E335" s="5">
        <f>E333+F333</f>
        <v>24486.2055</v>
      </c>
      <c r="F335" s="5"/>
      <c r="G335" s="5"/>
      <c r="H335" s="5"/>
      <c r="I335" s="5"/>
      <c r="J335" s="4"/>
      <c r="K335" s="4"/>
      <c r="L335" s="4"/>
      <c r="M335" s="4"/>
    </row>
    <row r="336" spans="1:13" hidden="1">
      <c r="A336" s="3" t="s">
        <v>12</v>
      </c>
      <c r="B336" s="3"/>
      <c r="C336" s="3"/>
      <c r="D336" s="3"/>
      <c r="E336" s="5">
        <f>E334+F334+G334+H334</f>
        <v>24838.562499999996</v>
      </c>
      <c r="F336" s="5"/>
      <c r="G336" s="5"/>
      <c r="H336" s="5"/>
      <c r="I336" s="5"/>
      <c r="J336" s="4"/>
      <c r="K336" s="4"/>
      <c r="L336" s="4"/>
      <c r="M336" s="4"/>
    </row>
    <row r="337" spans="1:13" hidden="1">
      <c r="A337" s="3" t="s">
        <v>13</v>
      </c>
      <c r="B337" s="3"/>
      <c r="C337" s="3"/>
      <c r="D337" s="3">
        <f>D333-D334</f>
        <v>1669</v>
      </c>
      <c r="E337" s="5">
        <f>E335-E336</f>
        <v>-352.35699999999633</v>
      </c>
      <c r="F337" s="5"/>
      <c r="G337" s="5"/>
      <c r="H337" s="5"/>
      <c r="I337" s="5"/>
      <c r="J337" s="4"/>
      <c r="K337" s="4"/>
      <c r="L337" s="4"/>
      <c r="M337" s="4"/>
    </row>
    <row r="338" spans="1:13" hidden="1"/>
    <row r="339" spans="1:13" hidden="1">
      <c r="A339" s="21">
        <v>44378</v>
      </c>
    </row>
    <row r="340" spans="1:13" hidden="1">
      <c r="A340" s="3" t="s">
        <v>1</v>
      </c>
      <c r="B340" s="3" t="s">
        <v>2</v>
      </c>
      <c r="C340" s="3" t="s">
        <v>3</v>
      </c>
      <c r="D340" s="3" t="s">
        <v>4</v>
      </c>
      <c r="E340" s="3" t="s">
        <v>5</v>
      </c>
      <c r="F340" s="3" t="s">
        <v>37</v>
      </c>
      <c r="G340" s="3" t="s">
        <v>7</v>
      </c>
      <c r="H340" s="3" t="s">
        <v>8</v>
      </c>
      <c r="I340" s="3" t="s">
        <v>15</v>
      </c>
      <c r="J340" s="3" t="s">
        <v>16</v>
      </c>
      <c r="K340" s="3" t="s">
        <v>17</v>
      </c>
      <c r="L340" s="3" t="s">
        <v>18</v>
      </c>
      <c r="M340" s="3" t="s">
        <v>19</v>
      </c>
    </row>
    <row r="341" spans="1:13" hidden="1">
      <c r="A341" s="4" t="s">
        <v>9</v>
      </c>
      <c r="B341" s="4">
        <f>C333</f>
        <v>932531</v>
      </c>
      <c r="C341" s="4">
        <v>946561</v>
      </c>
      <c r="D341" s="4">
        <f>C341-B341</f>
        <v>14030</v>
      </c>
      <c r="E341" s="7">
        <v>24091.599999999999</v>
      </c>
      <c r="F341" s="7">
        <v>1938.61</v>
      </c>
      <c r="G341" s="7">
        <f>169.29*1.15</f>
        <v>194.68349999999998</v>
      </c>
      <c r="H341" s="7">
        <f>683.14*1.15</f>
        <v>785.61099999999988</v>
      </c>
      <c r="I341" s="7" t="s">
        <v>20</v>
      </c>
      <c r="J341" s="24" t="s">
        <v>82</v>
      </c>
      <c r="K341" s="7">
        <f>(E341+F341)/D341</f>
        <v>1.8553250178189593</v>
      </c>
      <c r="L341" s="4">
        <v>28</v>
      </c>
      <c r="M341" s="4">
        <f>D341/L341</f>
        <v>501.07142857142856</v>
      </c>
    </row>
    <row r="342" spans="1:13" hidden="1">
      <c r="A342" s="4" t="s">
        <v>10</v>
      </c>
      <c r="B342" s="4">
        <f>C334</f>
        <v>929780</v>
      </c>
      <c r="C342" s="4">
        <v>944230</v>
      </c>
      <c r="D342" s="4">
        <f>C342-B342</f>
        <v>14450</v>
      </c>
      <c r="E342" s="7">
        <v>27118.1</v>
      </c>
      <c r="F342" s="7"/>
      <c r="G342" s="7">
        <f>169.29*1.15</f>
        <v>194.68349999999998</v>
      </c>
      <c r="H342" s="7">
        <f>683.14*1.15</f>
        <v>785.61099999999988</v>
      </c>
      <c r="I342" s="7" t="s">
        <v>20</v>
      </c>
      <c r="J342" s="24" t="s">
        <v>83</v>
      </c>
      <c r="K342" s="11">
        <f>E342/D342</f>
        <v>1.8766851211072664</v>
      </c>
      <c r="L342" s="4">
        <v>30</v>
      </c>
      <c r="M342" s="4">
        <f>D342/L342</f>
        <v>481.66666666666669</v>
      </c>
    </row>
    <row r="343" spans="1:13" hidden="1">
      <c r="A343" s="3" t="s">
        <v>11</v>
      </c>
      <c r="B343" s="3"/>
      <c r="C343" s="3"/>
      <c r="D343" s="3"/>
      <c r="E343" s="5">
        <f>E341+F341+G341+H341</f>
        <v>27010.504499999999</v>
      </c>
      <c r="F343" s="5"/>
      <c r="G343" s="5"/>
      <c r="H343" s="5"/>
      <c r="I343" s="5"/>
      <c r="J343" s="4"/>
      <c r="K343" s="4"/>
      <c r="L343" s="4"/>
      <c r="M343" s="4"/>
    </row>
    <row r="344" spans="1:13" hidden="1">
      <c r="A344" s="3" t="s">
        <v>12</v>
      </c>
      <c r="B344" s="3"/>
      <c r="C344" s="3"/>
      <c r="D344" s="3"/>
      <c r="E344" s="5">
        <f>E342+F342+G342+H342</f>
        <v>28098.394499999999</v>
      </c>
      <c r="F344" s="5"/>
      <c r="G344" s="5"/>
      <c r="H344" s="5"/>
      <c r="I344" s="5"/>
      <c r="J344" s="4"/>
      <c r="K344" s="4"/>
      <c r="L344" s="4"/>
      <c r="M344" s="4"/>
    </row>
    <row r="345" spans="1:13" hidden="1">
      <c r="A345" s="3" t="s">
        <v>13</v>
      </c>
      <c r="B345" s="3"/>
      <c r="C345" s="3"/>
      <c r="D345" s="3">
        <f>D341-D342</f>
        <v>-420</v>
      </c>
      <c r="E345" s="5">
        <f>E343-E344</f>
        <v>-1087.8899999999994</v>
      </c>
      <c r="F345" s="5"/>
      <c r="G345" s="5"/>
      <c r="H345" s="5"/>
      <c r="I345" s="5"/>
      <c r="J345" s="4"/>
      <c r="K345" s="4"/>
      <c r="L345" s="4"/>
      <c r="M345" s="4"/>
    </row>
    <row r="346" spans="1:13" hidden="1"/>
    <row r="347" spans="1:13" hidden="1">
      <c r="A347" s="21">
        <v>44409</v>
      </c>
    </row>
    <row r="348" spans="1:13" hidden="1">
      <c r="A348" s="3" t="s">
        <v>1</v>
      </c>
      <c r="B348" s="3" t="s">
        <v>2</v>
      </c>
      <c r="C348" s="3" t="s">
        <v>3</v>
      </c>
      <c r="D348" s="3" t="s">
        <v>4</v>
      </c>
      <c r="E348" s="3" t="s">
        <v>5</v>
      </c>
      <c r="F348" s="3" t="s">
        <v>37</v>
      </c>
      <c r="G348" s="3" t="s">
        <v>7</v>
      </c>
      <c r="H348" s="3" t="s">
        <v>8</v>
      </c>
      <c r="I348" s="3" t="s">
        <v>15</v>
      </c>
      <c r="J348" s="3" t="s">
        <v>16</v>
      </c>
      <c r="K348" s="3" t="s">
        <v>17</v>
      </c>
      <c r="L348" s="3" t="s">
        <v>18</v>
      </c>
      <c r="M348" s="3" t="s">
        <v>19</v>
      </c>
    </row>
    <row r="349" spans="1:13" hidden="1">
      <c r="A349" s="4" t="s">
        <v>9</v>
      </c>
      <c r="B349" s="4">
        <f>C341</f>
        <v>946561</v>
      </c>
      <c r="C349" s="4">
        <v>961722</v>
      </c>
      <c r="D349" s="4">
        <f>C349-B349</f>
        <v>15161</v>
      </c>
      <c r="E349" s="7">
        <v>22714</v>
      </c>
      <c r="F349" s="7">
        <f>1975.85*1.15</f>
        <v>2272.2274999999995</v>
      </c>
      <c r="G349" s="7">
        <f>169.29*1.15</f>
        <v>194.68349999999998</v>
      </c>
      <c r="H349" s="7">
        <f>683.14*1.15</f>
        <v>785.61099999999988</v>
      </c>
      <c r="I349" s="7" t="s">
        <v>20</v>
      </c>
      <c r="J349" s="24" t="s">
        <v>84</v>
      </c>
      <c r="K349" s="7">
        <f>(E349+F349)/D349</f>
        <v>1.6480593298595081</v>
      </c>
      <c r="L349" s="4">
        <v>35</v>
      </c>
      <c r="M349" s="4">
        <f>D349/L349</f>
        <v>433.17142857142858</v>
      </c>
    </row>
    <row r="350" spans="1:13" hidden="1">
      <c r="A350" s="4" t="s">
        <v>10</v>
      </c>
      <c r="B350" s="4">
        <f>C342</f>
        <v>944230</v>
      </c>
      <c r="C350" s="4">
        <v>958124</v>
      </c>
      <c r="D350" s="4">
        <f>C350-B350</f>
        <v>13894</v>
      </c>
      <c r="E350" s="7">
        <f>22673.62*1.15</f>
        <v>26074.662999999997</v>
      </c>
      <c r="F350" s="7"/>
      <c r="G350" s="7">
        <f>169.29*1.15</f>
        <v>194.68349999999998</v>
      </c>
      <c r="H350" s="7">
        <f>683.14*1.15</f>
        <v>785.61099999999988</v>
      </c>
      <c r="I350" s="7" t="s">
        <v>20</v>
      </c>
      <c r="J350" s="24" t="s">
        <v>85</v>
      </c>
      <c r="K350" s="11">
        <f>E350/D350</f>
        <v>1.876685115877357</v>
      </c>
      <c r="L350" s="4">
        <v>31</v>
      </c>
      <c r="M350" s="4">
        <f>D350/L350</f>
        <v>448.19354838709677</v>
      </c>
    </row>
    <row r="351" spans="1:13" hidden="1">
      <c r="A351" s="3" t="s">
        <v>11</v>
      </c>
      <c r="B351" s="3"/>
      <c r="C351" s="3"/>
      <c r="D351" s="3"/>
      <c r="E351" s="5">
        <f>E349+F349+G349+H349</f>
        <v>25966.522000000001</v>
      </c>
      <c r="F351" s="5"/>
      <c r="G351" s="5"/>
      <c r="H351" s="5"/>
      <c r="I351" s="5"/>
      <c r="J351" s="4"/>
      <c r="K351" s="4"/>
      <c r="L351" s="4"/>
      <c r="M351" s="4"/>
    </row>
    <row r="352" spans="1:13" hidden="1">
      <c r="A352" s="3" t="s">
        <v>12</v>
      </c>
      <c r="B352" s="3"/>
      <c r="C352" s="3"/>
      <c r="D352" s="3"/>
      <c r="E352" s="5">
        <f>E350+F350+G350+H350</f>
        <v>27054.957499999997</v>
      </c>
      <c r="F352" s="5"/>
      <c r="G352" s="5"/>
      <c r="H352" s="5"/>
      <c r="I352" s="5"/>
      <c r="J352" s="4"/>
      <c r="K352" s="4"/>
      <c r="L352" s="4"/>
      <c r="M352" s="4"/>
    </row>
    <row r="353" spans="1:13" hidden="1">
      <c r="A353" s="3" t="s">
        <v>13</v>
      </c>
      <c r="B353" s="3"/>
      <c r="C353" s="3"/>
      <c r="D353" s="3">
        <f>D349-D350</f>
        <v>1267</v>
      </c>
      <c r="E353" s="5">
        <f>E351-E352</f>
        <v>-1088.435499999996</v>
      </c>
      <c r="F353" s="5"/>
      <c r="G353" s="5"/>
      <c r="H353" s="5"/>
      <c r="I353" s="5"/>
      <c r="J353" s="4"/>
      <c r="K353" s="4"/>
      <c r="L353" s="4"/>
      <c r="M353" s="4"/>
    </row>
    <row r="354" spans="1:13" hidden="1"/>
    <row r="355" spans="1:13" hidden="1">
      <c r="A355" s="21">
        <v>44440</v>
      </c>
    </row>
    <row r="356" spans="1:13" hidden="1">
      <c r="A356" s="3" t="s">
        <v>1</v>
      </c>
      <c r="B356" s="3" t="s">
        <v>2</v>
      </c>
      <c r="C356" s="3" t="s">
        <v>3</v>
      </c>
      <c r="D356" s="3" t="s">
        <v>4</v>
      </c>
      <c r="E356" s="3" t="s">
        <v>5</v>
      </c>
      <c r="F356" s="3" t="s">
        <v>37</v>
      </c>
      <c r="G356" s="3" t="s">
        <v>7</v>
      </c>
      <c r="H356" s="3" t="s">
        <v>8</v>
      </c>
      <c r="I356" s="3" t="s">
        <v>15</v>
      </c>
      <c r="J356" s="3" t="s">
        <v>16</v>
      </c>
      <c r="K356" s="3" t="s">
        <v>17</v>
      </c>
      <c r="L356" s="3" t="s">
        <v>18</v>
      </c>
      <c r="M356" s="3" t="s">
        <v>19</v>
      </c>
    </row>
    <row r="357" spans="1:13" hidden="1">
      <c r="A357" s="4" t="s">
        <v>9</v>
      </c>
      <c r="B357" s="4">
        <f>C349</f>
        <v>961722</v>
      </c>
      <c r="C357" s="4">
        <v>973562</v>
      </c>
      <c r="D357" s="4">
        <f>C357-B357</f>
        <v>11840</v>
      </c>
      <c r="E357" s="7">
        <v>26066.16</v>
      </c>
      <c r="F357" s="7">
        <f>1411.57*1.15</f>
        <v>1623.3054999999997</v>
      </c>
      <c r="G357" s="7">
        <f>169.29*1.15</f>
        <v>194.68349999999998</v>
      </c>
      <c r="H357" s="7">
        <f>683.14*1.15</f>
        <v>785.61099999999988</v>
      </c>
      <c r="I357" s="7" t="s">
        <v>20</v>
      </c>
      <c r="J357" s="24" t="s">
        <v>86</v>
      </c>
      <c r="K357" s="7">
        <f>(E357+F357)/D357</f>
        <v>2.3386372888513511</v>
      </c>
      <c r="L357" s="4">
        <v>28</v>
      </c>
      <c r="M357" s="4">
        <f>D357/L357</f>
        <v>422.85714285714283</v>
      </c>
    </row>
    <row r="358" spans="1:13" hidden="1">
      <c r="A358" s="4" t="s">
        <v>10</v>
      </c>
      <c r="B358" s="4">
        <f>C350</f>
        <v>958124</v>
      </c>
      <c r="C358" s="4">
        <v>971316</v>
      </c>
      <c r="D358" s="4">
        <f>C358-B358</f>
        <v>13192</v>
      </c>
      <c r="E358" s="7">
        <f>21528.02*1.15</f>
        <v>24757.222999999998</v>
      </c>
      <c r="F358" s="7"/>
      <c r="G358" s="7">
        <f>169.29*1.15</f>
        <v>194.68349999999998</v>
      </c>
      <c r="H358" s="7">
        <f>683.14*1.15</f>
        <v>785.61099999999988</v>
      </c>
      <c r="I358" s="7" t="s">
        <v>20</v>
      </c>
      <c r="J358" s="24" t="s">
        <v>87</v>
      </c>
      <c r="K358" s="11">
        <f>E358/D358</f>
        <v>1.8766845815645845</v>
      </c>
      <c r="L358" s="4">
        <v>30</v>
      </c>
      <c r="M358" s="4">
        <f>D358/L358</f>
        <v>439.73333333333335</v>
      </c>
    </row>
    <row r="359" spans="1:13" hidden="1">
      <c r="A359" s="3" t="s">
        <v>11</v>
      </c>
      <c r="B359" s="3"/>
      <c r="C359" s="3"/>
      <c r="D359" s="3"/>
      <c r="E359" s="5">
        <f>E357+F357+G357+H357</f>
        <v>28669.759999999998</v>
      </c>
      <c r="F359" s="5"/>
      <c r="G359" s="5"/>
      <c r="H359" s="5"/>
      <c r="I359" s="5"/>
      <c r="J359" s="4"/>
      <c r="K359" s="4"/>
      <c r="L359" s="4"/>
      <c r="M359" s="4"/>
    </row>
    <row r="360" spans="1:13" hidden="1">
      <c r="A360" s="3" t="s">
        <v>12</v>
      </c>
      <c r="B360" s="3"/>
      <c r="C360" s="3"/>
      <c r="D360" s="3"/>
      <c r="E360" s="5">
        <f>E358+F358+G358+H358</f>
        <v>25737.517499999998</v>
      </c>
      <c r="F360" s="5"/>
      <c r="G360" s="5"/>
      <c r="H360" s="5"/>
      <c r="I360" s="5"/>
      <c r="J360" s="4"/>
      <c r="K360" s="4"/>
      <c r="L360" s="4"/>
      <c r="M360" s="4"/>
    </row>
    <row r="361" spans="1:13" hidden="1">
      <c r="A361" s="3" t="s">
        <v>13</v>
      </c>
      <c r="B361" s="3"/>
      <c r="C361" s="3"/>
      <c r="D361" s="3">
        <f>D357-D358</f>
        <v>-1352</v>
      </c>
      <c r="E361" s="5">
        <f>E359-E360</f>
        <v>2932.2425000000003</v>
      </c>
      <c r="F361" s="5"/>
      <c r="G361" s="5"/>
      <c r="H361" s="5"/>
      <c r="I361" s="5"/>
      <c r="J361" s="4"/>
      <c r="K361" s="4"/>
      <c r="L361" s="4"/>
      <c r="M361" s="4"/>
    </row>
    <row r="362" spans="1:13" hidden="1"/>
    <row r="363" spans="1:13" hidden="1">
      <c r="A363" s="21">
        <v>44470</v>
      </c>
    </row>
    <row r="364" spans="1:13" hidden="1">
      <c r="A364" s="3" t="s">
        <v>1</v>
      </c>
      <c r="B364" s="3" t="s">
        <v>2</v>
      </c>
      <c r="C364" s="3" t="s">
        <v>3</v>
      </c>
      <c r="D364" s="3" t="s">
        <v>4</v>
      </c>
      <c r="E364" s="3" t="s">
        <v>5</v>
      </c>
      <c r="F364" s="3" t="s">
        <v>37</v>
      </c>
      <c r="G364" s="3" t="s">
        <v>7</v>
      </c>
      <c r="H364" s="3" t="s">
        <v>8</v>
      </c>
      <c r="I364" s="3" t="s">
        <v>15</v>
      </c>
      <c r="J364" s="3" t="s">
        <v>16</v>
      </c>
      <c r="K364" s="3" t="s">
        <v>17</v>
      </c>
      <c r="L364" s="3" t="s">
        <v>18</v>
      </c>
      <c r="M364" s="3" t="s">
        <v>19</v>
      </c>
    </row>
    <row r="365" spans="1:13" hidden="1">
      <c r="A365" s="4" t="s">
        <v>9</v>
      </c>
      <c r="B365" s="4">
        <f>C357</f>
        <v>973562</v>
      </c>
      <c r="C365" s="4">
        <v>984654</v>
      </c>
      <c r="D365" s="4">
        <f>C365-B365</f>
        <v>11092</v>
      </c>
      <c r="E365" s="7">
        <v>19342.98</v>
      </c>
      <c r="F365" s="7">
        <f>1424.48*1.15</f>
        <v>1638.1519999999998</v>
      </c>
      <c r="G365" s="7">
        <f>169.29*1.15</f>
        <v>194.68349999999998</v>
      </c>
      <c r="H365" s="7">
        <f>683.14*1.15</f>
        <v>785.61099999999988</v>
      </c>
      <c r="I365" s="7" t="s">
        <v>20</v>
      </c>
      <c r="J365" s="24" t="s">
        <v>88</v>
      </c>
      <c r="K365" s="7">
        <f>(E365+F365)/D365</f>
        <v>1.8915553552109627</v>
      </c>
      <c r="L365" s="4">
        <v>29</v>
      </c>
      <c r="M365" s="4">
        <f>D365/L365</f>
        <v>382.48275862068965</v>
      </c>
    </row>
    <row r="366" spans="1:13" hidden="1">
      <c r="A366" s="4" t="s">
        <v>10</v>
      </c>
      <c r="B366" s="4">
        <f>C358</f>
        <v>971316</v>
      </c>
      <c r="C366" s="4">
        <v>983296</v>
      </c>
      <c r="D366" s="4">
        <f>C366-B366</f>
        <v>11980</v>
      </c>
      <c r="E366" s="7">
        <f>19550.16*1.15</f>
        <v>22482.683999999997</v>
      </c>
      <c r="F366" s="7"/>
      <c r="G366" s="7">
        <f>169.29*1.15</f>
        <v>194.68349999999998</v>
      </c>
      <c r="H366" s="7">
        <f>683.14*1.15</f>
        <v>785.61099999999988</v>
      </c>
      <c r="I366" s="7" t="s">
        <v>20</v>
      </c>
      <c r="J366" s="24" t="s">
        <v>89</v>
      </c>
      <c r="K366" s="11">
        <f>E366/D366</f>
        <v>1.8766848080133554</v>
      </c>
      <c r="L366" s="4">
        <v>31</v>
      </c>
      <c r="M366" s="4">
        <f>D366/L366</f>
        <v>386.45161290322579</v>
      </c>
    </row>
    <row r="367" spans="1:13" hidden="1">
      <c r="A367" s="3" t="s">
        <v>11</v>
      </c>
      <c r="B367" s="3"/>
      <c r="C367" s="3"/>
      <c r="D367" s="3"/>
      <c r="E367" s="5">
        <f>E365+F365+G365+H365</f>
        <v>21961.426499999998</v>
      </c>
      <c r="F367" s="5"/>
      <c r="G367" s="5"/>
      <c r="H367" s="5"/>
      <c r="I367" s="5"/>
      <c r="J367" s="4"/>
      <c r="K367" s="4"/>
      <c r="L367" s="4"/>
      <c r="M367" s="4"/>
    </row>
    <row r="368" spans="1:13" hidden="1">
      <c r="A368" s="3" t="s">
        <v>12</v>
      </c>
      <c r="B368" s="3"/>
      <c r="C368" s="3"/>
      <c r="D368" s="3"/>
      <c r="E368" s="5">
        <f>E366+F366+G366+H366</f>
        <v>23462.978499999997</v>
      </c>
      <c r="F368" s="5"/>
      <c r="G368" s="5"/>
      <c r="H368" s="5"/>
      <c r="I368" s="5"/>
      <c r="J368" s="4"/>
      <c r="K368" s="4"/>
      <c r="L368" s="4"/>
      <c r="M368" s="4"/>
    </row>
    <row r="369" spans="1:13" hidden="1">
      <c r="A369" s="3" t="s">
        <v>13</v>
      </c>
      <c r="B369" s="3"/>
      <c r="C369" s="3"/>
      <c r="D369" s="3">
        <f>D365-D366</f>
        <v>-888</v>
      </c>
      <c r="E369" s="5">
        <f>E367-E368</f>
        <v>-1501.5519999999997</v>
      </c>
      <c r="F369" s="5"/>
      <c r="G369" s="5"/>
      <c r="H369" s="5"/>
      <c r="I369" s="5"/>
      <c r="J369" s="4"/>
      <c r="K369" s="4"/>
      <c r="L369" s="4"/>
      <c r="M369" s="4"/>
    </row>
    <row r="370" spans="1:13" hidden="1"/>
    <row r="371" spans="1:13" hidden="1">
      <c r="A371" s="21">
        <v>44501</v>
      </c>
    </row>
    <row r="372" spans="1:13" hidden="1">
      <c r="A372" s="3" t="s">
        <v>1</v>
      </c>
      <c r="B372" s="3" t="s">
        <v>2</v>
      </c>
      <c r="C372" s="3" t="s">
        <v>3</v>
      </c>
      <c r="D372" s="3" t="s">
        <v>4</v>
      </c>
      <c r="E372" s="3" t="s">
        <v>5</v>
      </c>
      <c r="F372" s="3" t="s">
        <v>37</v>
      </c>
      <c r="G372" s="3" t="s">
        <v>7</v>
      </c>
      <c r="H372" s="3" t="s">
        <v>8</v>
      </c>
      <c r="I372" s="3" t="s">
        <v>15</v>
      </c>
      <c r="J372" s="3" t="s">
        <v>16</v>
      </c>
      <c r="K372" s="3" t="s">
        <v>17</v>
      </c>
      <c r="L372" s="3" t="s">
        <v>18</v>
      </c>
      <c r="M372" s="3" t="s">
        <v>19</v>
      </c>
    </row>
    <row r="373" spans="1:13" hidden="1">
      <c r="A373" s="4" t="s">
        <v>9</v>
      </c>
      <c r="B373" s="4">
        <f>C365</f>
        <v>984654</v>
      </c>
      <c r="C373" s="4">
        <v>998917</v>
      </c>
      <c r="D373" s="4">
        <f>C373-B373</f>
        <v>14263</v>
      </c>
      <c r="E373" s="7">
        <v>19024</v>
      </c>
      <c r="F373" s="7">
        <f>1412.06*1.15</f>
        <v>1623.8689999999999</v>
      </c>
      <c r="G373" s="7">
        <f>169.29*1.15</f>
        <v>194.68349999999998</v>
      </c>
      <c r="H373" s="7">
        <f>683.14*1.15</f>
        <v>785.61099999999988</v>
      </c>
      <c r="I373" s="7" t="s">
        <v>20</v>
      </c>
      <c r="J373" s="24" t="s">
        <v>90</v>
      </c>
      <c r="K373" s="7">
        <f>(E373+F373)/D373</f>
        <v>1.4476525976302319</v>
      </c>
      <c r="L373" s="4">
        <v>35</v>
      </c>
      <c r="M373" s="4">
        <f>D373/L373</f>
        <v>407.51428571428573</v>
      </c>
    </row>
    <row r="374" spans="1:13" hidden="1">
      <c r="A374" s="4" t="s">
        <v>10</v>
      </c>
      <c r="B374" s="4">
        <f>C366</f>
        <v>983296</v>
      </c>
      <c r="C374" s="4">
        <v>995702</v>
      </c>
      <c r="D374" s="4">
        <f>C374-B374</f>
        <v>12406</v>
      </c>
      <c r="E374" s="7">
        <f>20245.35*1.15</f>
        <v>23282.152499999997</v>
      </c>
      <c r="F374" s="7"/>
      <c r="G374" s="7">
        <f>169.29*1.15</f>
        <v>194.68349999999998</v>
      </c>
      <c r="H374" s="7">
        <f>683.14*1.15</f>
        <v>785.61099999999988</v>
      </c>
      <c r="I374" s="7" t="s">
        <v>20</v>
      </c>
      <c r="J374" s="24" t="s">
        <v>91</v>
      </c>
      <c r="K374" s="11">
        <f>E374/D374</f>
        <v>1.8766848702240848</v>
      </c>
      <c r="L374" s="4">
        <v>30</v>
      </c>
      <c r="M374" s="4">
        <f>D374/L374</f>
        <v>413.53333333333336</v>
      </c>
    </row>
    <row r="375" spans="1:13" hidden="1">
      <c r="A375" s="3" t="s">
        <v>11</v>
      </c>
      <c r="B375" s="3"/>
      <c r="C375" s="3"/>
      <c r="D375" s="3"/>
      <c r="E375" s="5">
        <f>E373+F373+G373+H373</f>
        <v>21628.163499999999</v>
      </c>
      <c r="F375" s="5"/>
      <c r="G375" s="5"/>
      <c r="H375" s="5"/>
      <c r="I375" s="5"/>
      <c r="J375" s="4"/>
      <c r="K375" s="4"/>
      <c r="L375" s="4"/>
      <c r="M375" s="4"/>
    </row>
    <row r="376" spans="1:13" hidden="1">
      <c r="A376" s="3" t="s">
        <v>12</v>
      </c>
      <c r="B376" s="3"/>
      <c r="C376" s="3"/>
      <c r="D376" s="3"/>
      <c r="E376" s="5">
        <f>E374+F374+G374+H374</f>
        <v>24262.446999999996</v>
      </c>
      <c r="F376" s="5"/>
      <c r="G376" s="5"/>
      <c r="H376" s="5"/>
      <c r="I376" s="5"/>
      <c r="J376" s="4"/>
      <c r="K376" s="4"/>
      <c r="L376" s="4"/>
      <c r="M376" s="4"/>
    </row>
    <row r="377" spans="1:13" hidden="1">
      <c r="A377" s="3" t="s">
        <v>13</v>
      </c>
      <c r="B377" s="3"/>
      <c r="C377" s="3"/>
      <c r="D377" s="3">
        <f>D373-D374</f>
        <v>1857</v>
      </c>
      <c r="E377" s="5">
        <f>E375-E376</f>
        <v>-2634.2834999999977</v>
      </c>
      <c r="F377" s="5"/>
      <c r="G377" s="5"/>
      <c r="H377" s="5"/>
      <c r="I377" s="5"/>
      <c r="J377" s="4"/>
      <c r="K377" s="4"/>
      <c r="L377" s="4"/>
      <c r="M377" s="4"/>
    </row>
    <row r="378" spans="1:13" hidden="1"/>
    <row r="379" spans="1:13" hidden="1">
      <c r="A379" s="21">
        <v>44531</v>
      </c>
    </row>
    <row r="380" spans="1:13" hidden="1">
      <c r="A380" s="3" t="s">
        <v>1</v>
      </c>
      <c r="B380" s="3" t="s">
        <v>2</v>
      </c>
      <c r="C380" s="3" t="s">
        <v>3</v>
      </c>
      <c r="D380" s="3" t="s">
        <v>4</v>
      </c>
      <c r="E380" s="3" t="s">
        <v>5</v>
      </c>
      <c r="F380" s="3" t="s">
        <v>37</v>
      </c>
      <c r="G380" s="3" t="s">
        <v>7</v>
      </c>
      <c r="H380" s="3" t="s">
        <v>8</v>
      </c>
      <c r="I380" s="3" t="s">
        <v>15</v>
      </c>
      <c r="J380" s="3" t="s">
        <v>16</v>
      </c>
      <c r="K380" s="3" t="s">
        <v>17</v>
      </c>
      <c r="L380" s="3" t="s">
        <v>18</v>
      </c>
      <c r="M380" s="3" t="s">
        <v>19</v>
      </c>
    </row>
    <row r="381" spans="1:13" hidden="1">
      <c r="A381" s="4" t="s">
        <v>9</v>
      </c>
      <c r="B381" s="4">
        <f>C373</f>
        <v>998917</v>
      </c>
      <c r="C381" s="4">
        <v>1012610</v>
      </c>
      <c r="D381" s="4">
        <f>C381-B381</f>
        <v>13693</v>
      </c>
      <c r="E381" s="7">
        <v>20302.38</v>
      </c>
      <c r="F381" s="7">
        <f>1492.85*1.15</f>
        <v>1716.7774999999997</v>
      </c>
      <c r="G381" s="7">
        <f>169.29*1.15</f>
        <v>194.68349999999998</v>
      </c>
      <c r="H381" s="7">
        <f>683.14*1.15</f>
        <v>785.61099999999988</v>
      </c>
      <c r="I381" s="7" t="s">
        <v>20</v>
      </c>
      <c r="J381" s="24" t="s">
        <v>92</v>
      </c>
      <c r="K381" s="7">
        <f>(E381+F381)/D381</f>
        <v>1.6080594099174761</v>
      </c>
      <c r="L381" s="4">
        <v>35</v>
      </c>
      <c r="M381" s="4">
        <f>D381/L381</f>
        <v>391.22857142857146</v>
      </c>
    </row>
    <row r="382" spans="1:13" hidden="1">
      <c r="A382" s="4" t="s">
        <v>10</v>
      </c>
      <c r="B382" s="4">
        <f>C374</f>
        <v>995702</v>
      </c>
      <c r="C382" s="4">
        <v>1008117</v>
      </c>
      <c r="D382" s="4">
        <f>C382-B382</f>
        <v>12415</v>
      </c>
      <c r="E382" s="7">
        <f>20357.95*1.15</f>
        <v>23411.642499999998</v>
      </c>
      <c r="F382" s="7"/>
      <c r="G382" s="7">
        <f>169.29*1.15</f>
        <v>194.68349999999998</v>
      </c>
      <c r="H382" s="7">
        <f>683.14*1.15</f>
        <v>785.61099999999988</v>
      </c>
      <c r="I382" s="7" t="s">
        <v>20</v>
      </c>
      <c r="J382" s="24" t="s">
        <v>93</v>
      </c>
      <c r="K382" s="11">
        <f>E382/D382</f>
        <v>1.8857545308095045</v>
      </c>
      <c r="L382" s="4">
        <v>31</v>
      </c>
      <c r="M382" s="4">
        <f>D382/L382</f>
        <v>400.48387096774195</v>
      </c>
    </row>
    <row r="383" spans="1:13" hidden="1">
      <c r="A383" s="3" t="s">
        <v>11</v>
      </c>
      <c r="B383" s="3"/>
      <c r="C383" s="3"/>
      <c r="D383" s="3"/>
      <c r="E383" s="5">
        <f>E381+F381+G381+H381</f>
        <v>22999.452000000001</v>
      </c>
      <c r="F383" s="5"/>
      <c r="G383" s="5"/>
      <c r="H383" s="5"/>
      <c r="I383" s="5"/>
      <c r="J383" s="4"/>
      <c r="K383" s="4"/>
      <c r="L383" s="4"/>
      <c r="M383" s="4"/>
    </row>
    <row r="384" spans="1:13" hidden="1">
      <c r="A384" s="3" t="s">
        <v>12</v>
      </c>
      <c r="B384" s="3"/>
      <c r="C384" s="3"/>
      <c r="D384" s="3"/>
      <c r="E384" s="5">
        <f>E382+F382+G382+H382</f>
        <v>24391.936999999998</v>
      </c>
      <c r="F384" s="5"/>
      <c r="G384" s="5"/>
      <c r="H384" s="5"/>
      <c r="I384" s="5"/>
      <c r="J384" s="4"/>
      <c r="K384" s="4"/>
      <c r="L384" s="4"/>
      <c r="M384" s="4"/>
    </row>
    <row r="385" spans="1:13" hidden="1">
      <c r="A385" s="3" t="s">
        <v>13</v>
      </c>
      <c r="B385" s="3"/>
      <c r="C385" s="3"/>
      <c r="D385" s="3">
        <f>D381-D382</f>
        <v>1278</v>
      </c>
      <c r="E385" s="5">
        <f>E383-E384</f>
        <v>-1392.4849999999969</v>
      </c>
      <c r="F385" s="5"/>
      <c r="G385" s="5"/>
      <c r="H385" s="5"/>
      <c r="I385" s="5"/>
      <c r="J385" s="4"/>
      <c r="K385" s="4"/>
      <c r="L385" s="4"/>
      <c r="M385" s="4"/>
    </row>
    <row r="387" spans="1:13">
      <c r="A387" s="21">
        <v>44562</v>
      </c>
    </row>
    <row r="388" spans="1:13" hidden="1">
      <c r="A388" s="3" t="s">
        <v>1</v>
      </c>
      <c r="B388" s="3" t="s">
        <v>2</v>
      </c>
      <c r="C388" s="3" t="s">
        <v>3</v>
      </c>
      <c r="D388" s="3" t="s">
        <v>4</v>
      </c>
      <c r="E388" s="3" t="s">
        <v>5</v>
      </c>
      <c r="F388" s="3" t="s">
        <v>37</v>
      </c>
      <c r="G388" s="3" t="s">
        <v>7</v>
      </c>
      <c r="H388" s="3" t="s">
        <v>8</v>
      </c>
      <c r="I388" s="3" t="s">
        <v>15</v>
      </c>
      <c r="J388" s="3" t="s">
        <v>16</v>
      </c>
      <c r="K388" s="3" t="s">
        <v>17</v>
      </c>
      <c r="L388" s="3" t="s">
        <v>18</v>
      </c>
      <c r="M388" s="3" t="s">
        <v>19</v>
      </c>
    </row>
    <row r="389" spans="1:13" hidden="1">
      <c r="A389" s="4" t="s">
        <v>9</v>
      </c>
      <c r="B389" s="4">
        <f>C381</f>
        <v>1012610</v>
      </c>
      <c r="C389" s="4">
        <v>1021411</v>
      </c>
      <c r="D389" s="4">
        <f>C389-B389</f>
        <v>8801</v>
      </c>
      <c r="E389" s="7">
        <v>18589.400000000001</v>
      </c>
      <c r="F389" s="7">
        <f>955.03*1.15</f>
        <v>1098.2845</v>
      </c>
      <c r="G389" s="7">
        <f>169.29*1.15</f>
        <v>194.68349999999998</v>
      </c>
      <c r="H389" s="7">
        <f>683.14*1.15</f>
        <v>785.61099999999988</v>
      </c>
      <c r="I389" s="7" t="s">
        <v>20</v>
      </c>
      <c r="J389" s="24" t="s">
        <v>94</v>
      </c>
      <c r="K389" s="7">
        <f>(E389+F389)/D389</f>
        <v>2.2369826724235886</v>
      </c>
      <c r="L389" s="4">
        <v>22</v>
      </c>
      <c r="M389" s="4">
        <f>D389/L389</f>
        <v>400.04545454545456</v>
      </c>
    </row>
    <row r="390" spans="1:13" hidden="1">
      <c r="A390" s="4" t="s">
        <v>10</v>
      </c>
      <c r="B390" s="4">
        <f>C382</f>
        <v>1008117</v>
      </c>
      <c r="C390" s="4">
        <v>1020424</v>
      </c>
      <c r="D390" s="4">
        <f>C390-B390</f>
        <v>12307</v>
      </c>
      <c r="E390" s="7">
        <f>19985.88*1.15</f>
        <v>22983.761999999999</v>
      </c>
      <c r="F390" s="7"/>
      <c r="G390" s="7">
        <f>169.29*1.15</f>
        <v>194.68349999999998</v>
      </c>
      <c r="H390" s="7">
        <f>683.14*1.15</f>
        <v>785.61099999999988</v>
      </c>
      <c r="I390" s="7" t="s">
        <v>20</v>
      </c>
      <c r="J390" s="24" t="s">
        <v>95</v>
      </c>
      <c r="K390" s="11">
        <f>E390/D390</f>
        <v>1.8675357113837652</v>
      </c>
      <c r="L390" s="4">
        <v>31</v>
      </c>
      <c r="M390" s="4">
        <f>D390/L390</f>
        <v>397</v>
      </c>
    </row>
    <row r="391" spans="1:13" hidden="1">
      <c r="A391" s="3" t="s">
        <v>11</v>
      </c>
      <c r="B391" s="3"/>
      <c r="C391" s="3"/>
      <c r="D391" s="3"/>
      <c r="E391" s="5">
        <f>E389+F389+G389+H389</f>
        <v>20667.979000000003</v>
      </c>
      <c r="F391" s="5"/>
      <c r="G391" s="5"/>
      <c r="H391" s="5"/>
      <c r="I391" s="5"/>
      <c r="J391" s="4"/>
      <c r="K391" s="4"/>
      <c r="L391" s="4"/>
      <c r="M391" s="4"/>
    </row>
    <row r="392" spans="1:13" hidden="1">
      <c r="A392" s="3" t="s">
        <v>12</v>
      </c>
      <c r="B392" s="3"/>
      <c r="C392" s="3"/>
      <c r="D392" s="3"/>
      <c r="E392" s="5">
        <f>E390+F390+G390+H390</f>
        <v>23964.056499999999</v>
      </c>
      <c r="F392" s="5"/>
      <c r="G392" s="5"/>
      <c r="H392" s="5"/>
      <c r="I392" s="5"/>
      <c r="J392" s="4"/>
      <c r="K392" s="4"/>
      <c r="L392" s="4"/>
      <c r="M392" s="4"/>
    </row>
    <row r="393" spans="1:13" hidden="1">
      <c r="A393" s="3" t="s">
        <v>13</v>
      </c>
      <c r="B393" s="3"/>
      <c r="C393" s="3"/>
      <c r="D393" s="3">
        <f>D389-D390</f>
        <v>-3506</v>
      </c>
      <c r="E393" s="5">
        <f>E391-E392</f>
        <v>-3296.0774999999958</v>
      </c>
      <c r="F393" s="5"/>
      <c r="G393" s="5"/>
      <c r="H393" s="5"/>
      <c r="I393" s="5"/>
      <c r="J393" s="4"/>
      <c r="K393" s="4"/>
      <c r="L393" s="4"/>
      <c r="M393" s="4"/>
    </row>
    <row r="394" spans="1:13" hidden="1"/>
    <row r="395" spans="1:13" hidden="1">
      <c r="A395" s="21">
        <v>44593</v>
      </c>
    </row>
    <row r="396" spans="1:13" hidden="1">
      <c r="A396" s="3" t="s">
        <v>1</v>
      </c>
      <c r="B396" s="3" t="s">
        <v>2</v>
      </c>
      <c r="C396" s="3" t="s">
        <v>3</v>
      </c>
      <c r="D396" s="3" t="s">
        <v>4</v>
      </c>
      <c r="E396" s="3" t="s">
        <v>5</v>
      </c>
      <c r="F396" s="3" t="s">
        <v>37</v>
      </c>
      <c r="G396" s="3" t="s">
        <v>7</v>
      </c>
      <c r="H396" s="3" t="s">
        <v>8</v>
      </c>
      <c r="I396" s="3" t="s">
        <v>15</v>
      </c>
      <c r="J396" s="3" t="s">
        <v>16</v>
      </c>
      <c r="K396" s="3" t="s">
        <v>17</v>
      </c>
      <c r="L396" s="3" t="s">
        <v>18</v>
      </c>
      <c r="M396" s="3" t="s">
        <v>19</v>
      </c>
    </row>
    <row r="397" spans="1:13" hidden="1">
      <c r="A397" s="4" t="s">
        <v>9</v>
      </c>
      <c r="B397" s="4">
        <f>C389</f>
        <v>1021411</v>
      </c>
      <c r="C397" s="4">
        <v>1032472</v>
      </c>
      <c r="D397" s="4">
        <f>C397-B397</f>
        <v>11061</v>
      </c>
      <c r="E397" s="7">
        <v>22485.22</v>
      </c>
      <c r="F397" s="7">
        <f>1364.66*1.15</f>
        <v>1569.3589999999999</v>
      </c>
      <c r="G397" s="7">
        <f>169.29*1.15</f>
        <v>194.68349999999998</v>
      </c>
      <c r="H397" s="7">
        <f>683.14*1.15</f>
        <v>785.61099999999988</v>
      </c>
      <c r="I397" s="7" t="s">
        <v>20</v>
      </c>
      <c r="J397" s="24" t="s">
        <v>96</v>
      </c>
      <c r="K397" s="7">
        <f>(E397+F397)/D397</f>
        <v>2.1747200976403582</v>
      </c>
      <c r="L397" s="4">
        <v>22</v>
      </c>
      <c r="M397" s="4">
        <f>D397/L397</f>
        <v>502.77272727272725</v>
      </c>
    </row>
    <row r="398" spans="1:13" hidden="1">
      <c r="A398" s="4" t="s">
        <v>10</v>
      </c>
      <c r="B398" s="4">
        <f>C390</f>
        <v>1020424</v>
      </c>
      <c r="C398" s="4">
        <v>1032769</v>
      </c>
      <c r="D398" s="4">
        <f>C398-B398</f>
        <v>12345</v>
      </c>
      <c r="E398" s="7">
        <f>20145.81*1.15</f>
        <v>23167.681499999999</v>
      </c>
      <c r="F398" s="7"/>
      <c r="G398" s="7">
        <f>169.29*1.15</f>
        <v>194.68349999999998</v>
      </c>
      <c r="H398" s="7">
        <f>683.14*1.15</f>
        <v>785.61099999999988</v>
      </c>
      <c r="I398" s="7" t="s">
        <v>20</v>
      </c>
      <c r="J398" s="24" t="s">
        <v>97</v>
      </c>
      <c r="K398" s="11">
        <f>E398/D398</f>
        <v>1.8766854191980558</v>
      </c>
      <c r="L398" s="4">
        <v>28</v>
      </c>
      <c r="M398" s="4">
        <f>D398/L398</f>
        <v>440.89285714285717</v>
      </c>
    </row>
    <row r="399" spans="1:13" hidden="1">
      <c r="A399" s="3" t="s">
        <v>11</v>
      </c>
      <c r="B399" s="3"/>
      <c r="C399" s="3"/>
      <c r="D399" s="3"/>
      <c r="E399" s="5">
        <f>E397+F397+G397+H397</f>
        <v>25034.873500000002</v>
      </c>
      <c r="F399" s="5"/>
      <c r="G399" s="5"/>
      <c r="H399" s="5"/>
      <c r="I399" s="5"/>
      <c r="J399" s="4"/>
      <c r="K399" s="4"/>
      <c r="L399" s="4"/>
      <c r="M399" s="4"/>
    </row>
    <row r="400" spans="1:13" hidden="1">
      <c r="A400" s="3" t="s">
        <v>12</v>
      </c>
      <c r="B400" s="3"/>
      <c r="C400" s="3"/>
      <c r="D400" s="3"/>
      <c r="E400" s="5">
        <f>E398+F398+G398+H398</f>
        <v>24147.975999999999</v>
      </c>
      <c r="F400" s="5"/>
      <c r="G400" s="5"/>
      <c r="H400" s="5"/>
      <c r="I400" s="5"/>
      <c r="J400" s="4"/>
      <c r="K400" s="4"/>
      <c r="L400" s="4"/>
      <c r="M400" s="4"/>
    </row>
    <row r="401" spans="1:13" hidden="1">
      <c r="A401" s="3" t="s">
        <v>13</v>
      </c>
      <c r="B401" s="3"/>
      <c r="C401" s="3"/>
      <c r="D401" s="3">
        <f>D397-D398</f>
        <v>-1284</v>
      </c>
      <c r="E401" s="5">
        <f>E399-E400</f>
        <v>886.89750000000276</v>
      </c>
      <c r="F401" s="5"/>
      <c r="G401" s="5"/>
      <c r="H401" s="5"/>
      <c r="I401" s="5"/>
      <c r="J401" s="4"/>
      <c r="K401" s="4"/>
      <c r="L401" s="4"/>
      <c r="M401" s="4"/>
    </row>
    <row r="402" spans="1:13" hidden="1"/>
    <row r="403" spans="1:13" hidden="1">
      <c r="A403" s="21">
        <v>44621</v>
      </c>
    </row>
    <row r="404" spans="1:13" hidden="1">
      <c r="A404" s="3" t="s">
        <v>1</v>
      </c>
      <c r="B404" s="3" t="s">
        <v>2</v>
      </c>
      <c r="C404" s="3" t="s">
        <v>3</v>
      </c>
      <c r="D404" s="3" t="s">
        <v>4</v>
      </c>
      <c r="E404" s="3" t="s">
        <v>5</v>
      </c>
      <c r="F404" s="3" t="s">
        <v>37</v>
      </c>
      <c r="G404" s="3" t="s">
        <v>7</v>
      </c>
      <c r="H404" s="3" t="s">
        <v>8</v>
      </c>
      <c r="I404" s="3" t="s">
        <v>15</v>
      </c>
      <c r="J404" s="3" t="s">
        <v>16</v>
      </c>
      <c r="K404" s="3" t="s">
        <v>17</v>
      </c>
      <c r="L404" s="3" t="s">
        <v>18</v>
      </c>
      <c r="M404" s="3" t="s">
        <v>19</v>
      </c>
    </row>
    <row r="405" spans="1:13" hidden="1">
      <c r="A405" s="4" t="s">
        <v>9</v>
      </c>
      <c r="B405" s="4">
        <f>C397</f>
        <v>1032472</v>
      </c>
      <c r="C405" s="4">
        <v>1045926</v>
      </c>
      <c r="D405" s="4">
        <f>C405-B405</f>
        <v>13454</v>
      </c>
      <c r="E405" s="7">
        <f>11400.39*1.15</f>
        <v>13110.448499999999</v>
      </c>
      <c r="F405" s="7">
        <f>1930.59*1.15</f>
        <v>2220.1784999999995</v>
      </c>
      <c r="G405" s="7">
        <f>169.29*1.15</f>
        <v>194.68349999999998</v>
      </c>
      <c r="H405" s="7">
        <f>683.14*1.15</f>
        <v>785.61099999999988</v>
      </c>
      <c r="I405" s="7" t="s">
        <v>20</v>
      </c>
      <c r="J405" s="24" t="s">
        <v>98</v>
      </c>
      <c r="K405" s="7">
        <f>(E405+F405)/D405</f>
        <v>1.1394846885684553</v>
      </c>
      <c r="L405" s="4">
        <v>35</v>
      </c>
      <c r="M405" s="4">
        <f>D405/L405</f>
        <v>384.4</v>
      </c>
    </row>
    <row r="406" spans="1:13" hidden="1">
      <c r="A406" s="4" t="s">
        <v>10</v>
      </c>
      <c r="B406" s="4">
        <f>C398</f>
        <v>1032769</v>
      </c>
      <c r="C406" s="4">
        <v>1043495</v>
      </c>
      <c r="D406" s="4">
        <f>C406-B406</f>
        <v>10726</v>
      </c>
      <c r="E406" s="7">
        <f>17503.76*1.15</f>
        <v>20129.323999999997</v>
      </c>
      <c r="F406" s="7"/>
      <c r="G406" s="7">
        <f>169.29*1.15</f>
        <v>194.68349999999998</v>
      </c>
      <c r="H406" s="7">
        <f>683.14*1.15</f>
        <v>785.61099999999988</v>
      </c>
      <c r="I406" s="7" t="s">
        <v>20</v>
      </c>
      <c r="J406" s="24" t="s">
        <v>99</v>
      </c>
      <c r="K406" s="11">
        <f>E406/D406</f>
        <v>1.876685064329666</v>
      </c>
      <c r="L406" s="4">
        <v>31</v>
      </c>
      <c r="M406" s="4">
        <f>D406/L406</f>
        <v>346</v>
      </c>
    </row>
    <row r="407" spans="1:13" hidden="1">
      <c r="A407" s="3" t="s">
        <v>11</v>
      </c>
      <c r="B407" s="3"/>
      <c r="C407" s="3"/>
      <c r="D407" s="3"/>
      <c r="E407" s="5">
        <f>E405+F405+G405+H405</f>
        <v>16310.921499999997</v>
      </c>
      <c r="F407" s="5"/>
      <c r="G407" s="5"/>
      <c r="H407" s="5"/>
      <c r="I407" s="5"/>
      <c r="J407" s="4"/>
      <c r="K407" s="4"/>
      <c r="L407" s="4"/>
      <c r="M407" s="4"/>
    </row>
    <row r="408" spans="1:13" hidden="1">
      <c r="A408" s="3" t="s">
        <v>12</v>
      </c>
      <c r="B408" s="3"/>
      <c r="C408" s="3"/>
      <c r="D408" s="3"/>
      <c r="E408" s="5">
        <f>E406+F406+G406+H406</f>
        <v>21109.618499999997</v>
      </c>
      <c r="F408" s="5"/>
      <c r="G408" s="5"/>
      <c r="H408" s="5"/>
      <c r="I408" s="5"/>
      <c r="J408" s="4"/>
      <c r="K408" s="4"/>
      <c r="L408" s="4"/>
      <c r="M408" s="4"/>
    </row>
    <row r="409" spans="1:13" hidden="1">
      <c r="A409" s="3" t="s">
        <v>13</v>
      </c>
      <c r="B409" s="3"/>
      <c r="C409" s="3"/>
      <c r="D409" s="3">
        <f>D405-D406</f>
        <v>2728</v>
      </c>
      <c r="E409" s="5">
        <f>E407-E408</f>
        <v>-4798.6970000000001</v>
      </c>
      <c r="F409" s="5"/>
      <c r="G409" s="5"/>
      <c r="H409" s="5"/>
      <c r="I409" s="5"/>
      <c r="J409" s="4"/>
      <c r="K409" s="4"/>
      <c r="L409" s="4"/>
      <c r="M409" s="4"/>
    </row>
    <row r="410" spans="1:13" hidden="1"/>
    <row r="411" spans="1:13" hidden="1">
      <c r="A411" s="21">
        <v>44652</v>
      </c>
    </row>
    <row r="412" spans="1:13" hidden="1">
      <c r="A412" s="3" t="s">
        <v>1</v>
      </c>
      <c r="B412" s="3" t="s">
        <v>2</v>
      </c>
      <c r="C412" s="3" t="s">
        <v>3</v>
      </c>
      <c r="D412" s="3" t="s">
        <v>4</v>
      </c>
      <c r="E412" s="3" t="s">
        <v>5</v>
      </c>
      <c r="F412" s="3" t="s">
        <v>37</v>
      </c>
      <c r="G412" s="3" t="s">
        <v>7</v>
      </c>
      <c r="H412" s="3" t="s">
        <v>8</v>
      </c>
      <c r="I412" s="3" t="s">
        <v>15</v>
      </c>
      <c r="J412" s="3" t="s">
        <v>16</v>
      </c>
      <c r="K412" s="3" t="s">
        <v>17</v>
      </c>
      <c r="L412" s="3" t="s">
        <v>18</v>
      </c>
      <c r="M412" s="3" t="s">
        <v>19</v>
      </c>
    </row>
    <row r="413" spans="1:13" hidden="1">
      <c r="A413" s="4" t="s">
        <v>9</v>
      </c>
      <c r="B413" s="4">
        <f>C405</f>
        <v>1045926</v>
      </c>
      <c r="C413" s="4">
        <v>1057508</v>
      </c>
      <c r="D413" s="4">
        <f>C413-B413</f>
        <v>11582</v>
      </c>
      <c r="E413" s="7">
        <f>19447.26*1.15</f>
        <v>22364.348999999995</v>
      </c>
      <c r="F413" s="7">
        <f>1648.66*1.15</f>
        <v>1895.9590000000001</v>
      </c>
      <c r="G413" s="7">
        <f>169.29*1.15</f>
        <v>194.68349999999998</v>
      </c>
      <c r="H413" s="7">
        <f>683.14*1.15</f>
        <v>785.61099999999988</v>
      </c>
      <c r="I413" s="7" t="s">
        <v>20</v>
      </c>
      <c r="J413" s="24" t="s">
        <v>100</v>
      </c>
      <c r="K413" s="7">
        <f>(E413+F413)/D413</f>
        <v>2.0946561906406487</v>
      </c>
      <c r="L413" s="4">
        <v>28</v>
      </c>
      <c r="M413" s="4">
        <f>D413/L413</f>
        <v>413.64285714285717</v>
      </c>
    </row>
    <row r="414" spans="1:13" hidden="1">
      <c r="A414" s="4" t="s">
        <v>10</v>
      </c>
      <c r="B414" s="4">
        <f>C406</f>
        <v>1043495</v>
      </c>
      <c r="C414" s="4">
        <v>1056008</v>
      </c>
      <c r="D414" s="4">
        <f>C414-B414</f>
        <v>12513</v>
      </c>
      <c r="E414" s="7">
        <f>20419.96*1.15</f>
        <v>23482.953999999998</v>
      </c>
      <c r="F414" s="7"/>
      <c r="G414" s="7">
        <f>169.29*1.15</f>
        <v>194.68349999999998</v>
      </c>
      <c r="H414" s="7">
        <f>683.14*1.15</f>
        <v>785.61099999999988</v>
      </c>
      <c r="I414" s="7" t="s">
        <v>20</v>
      </c>
      <c r="J414" s="24" t="s">
        <v>101</v>
      </c>
      <c r="K414" s="11">
        <f>E414/D414</f>
        <v>1.8766845680492286</v>
      </c>
      <c r="L414" s="4">
        <v>30</v>
      </c>
      <c r="M414" s="4">
        <f>D414/L414</f>
        <v>417.1</v>
      </c>
    </row>
    <row r="415" spans="1:13" hidden="1">
      <c r="A415" s="3" t="s">
        <v>11</v>
      </c>
      <c r="B415" s="3"/>
      <c r="C415" s="3"/>
      <c r="D415" s="3"/>
      <c r="E415" s="5">
        <f>E413+F413+G413+H413</f>
        <v>25240.602499999994</v>
      </c>
      <c r="F415" s="5"/>
      <c r="G415" s="5"/>
      <c r="H415" s="5"/>
      <c r="I415" s="5"/>
      <c r="J415" s="4"/>
      <c r="K415" s="4"/>
      <c r="L415" s="4"/>
      <c r="M415" s="4"/>
    </row>
    <row r="416" spans="1:13" hidden="1">
      <c r="A416" s="3" t="s">
        <v>12</v>
      </c>
      <c r="B416" s="3"/>
      <c r="C416" s="3"/>
      <c r="D416" s="3"/>
      <c r="E416" s="5">
        <f>E414+F414+G414+H414</f>
        <v>24463.248499999998</v>
      </c>
      <c r="F416" s="5"/>
      <c r="G416" s="5"/>
      <c r="H416" s="5"/>
      <c r="I416" s="5"/>
      <c r="J416" s="4"/>
      <c r="K416" s="4"/>
      <c r="L416" s="4"/>
      <c r="M416" s="4"/>
    </row>
    <row r="417" spans="1:13" hidden="1">
      <c r="A417" s="3" t="s">
        <v>13</v>
      </c>
      <c r="B417" s="3"/>
      <c r="C417" s="3"/>
      <c r="D417" s="3">
        <f>D413-D414</f>
        <v>-931</v>
      </c>
      <c r="E417" s="5">
        <f>E415-E416</f>
        <v>777.35399999999572</v>
      </c>
      <c r="F417" s="5"/>
      <c r="G417" s="5"/>
      <c r="H417" s="5"/>
      <c r="I417" s="5"/>
      <c r="J417" s="4"/>
      <c r="K417" s="4"/>
      <c r="L417" s="4"/>
      <c r="M417" s="4"/>
    </row>
    <row r="418" spans="1:13" hidden="1"/>
    <row r="419" spans="1:13" hidden="1">
      <c r="A419" s="21">
        <v>44682</v>
      </c>
    </row>
    <row r="420" spans="1:13" hidden="1">
      <c r="A420" s="3" t="s">
        <v>1</v>
      </c>
      <c r="B420" s="3" t="s">
        <v>2</v>
      </c>
      <c r="C420" s="3" t="s">
        <v>3</v>
      </c>
      <c r="D420" s="3" t="s">
        <v>4</v>
      </c>
      <c r="E420" s="3" t="s">
        <v>5</v>
      </c>
      <c r="F420" s="3" t="s">
        <v>37</v>
      </c>
      <c r="G420" s="3" t="s">
        <v>7</v>
      </c>
      <c r="H420" s="3" t="s">
        <v>8</v>
      </c>
      <c r="I420" s="3" t="s">
        <v>15</v>
      </c>
      <c r="J420" s="3" t="s">
        <v>16</v>
      </c>
      <c r="K420" s="3" t="s">
        <v>17</v>
      </c>
      <c r="L420" s="3" t="s">
        <v>18</v>
      </c>
      <c r="M420" s="3" t="s">
        <v>19</v>
      </c>
    </row>
    <row r="421" spans="1:13" hidden="1">
      <c r="A421" s="4" t="s">
        <v>9</v>
      </c>
      <c r="B421" s="4">
        <f>C413</f>
        <v>1057508</v>
      </c>
      <c r="C421" s="4">
        <v>1072750</v>
      </c>
      <c r="D421" s="4">
        <f>C421-B421</f>
        <v>15242</v>
      </c>
      <c r="E421" s="7">
        <f>23255.78*1.15</f>
        <v>26744.146999999997</v>
      </c>
      <c r="F421" s="7">
        <f>1675.94*1.15</f>
        <v>1927.3309999999999</v>
      </c>
      <c r="G421" s="7">
        <f>169.29*1.15</f>
        <v>194.68349999999998</v>
      </c>
      <c r="H421" s="7">
        <f>683.14*1.15</f>
        <v>785.61099999999988</v>
      </c>
      <c r="I421" s="7" t="s">
        <v>20</v>
      </c>
      <c r="J421" s="24" t="s">
        <v>102</v>
      </c>
      <c r="K421" s="7">
        <f>(E421+F421)/D421</f>
        <v>1.8810837160477625</v>
      </c>
      <c r="L421" s="4">
        <v>34</v>
      </c>
      <c r="M421" s="4">
        <f>D421/L421</f>
        <v>448.29411764705884</v>
      </c>
    </row>
    <row r="422" spans="1:13" hidden="1">
      <c r="A422" s="4" t="s">
        <v>10</v>
      </c>
      <c r="B422" s="4">
        <f>C414</f>
        <v>1056008</v>
      </c>
      <c r="C422" s="4">
        <v>1068799</v>
      </c>
      <c r="D422" s="4">
        <f>C422-B422</f>
        <v>12791</v>
      </c>
      <c r="E422" s="7">
        <f>20873.63*1.15</f>
        <v>24004.674500000001</v>
      </c>
      <c r="F422" s="7"/>
      <c r="G422" s="7">
        <f>169.29*1.15</f>
        <v>194.68349999999998</v>
      </c>
      <c r="H422" s="7">
        <f>683.14*1.15</f>
        <v>785.61099999999988</v>
      </c>
      <c r="I422" s="7" t="s">
        <v>20</v>
      </c>
      <c r="J422" s="24" t="s">
        <v>103</v>
      </c>
      <c r="K422" s="11">
        <f>E422/D422</f>
        <v>1.8766847392697992</v>
      </c>
      <c r="L422" s="4">
        <v>31</v>
      </c>
      <c r="M422" s="4">
        <f>D422/L422</f>
        <v>412.61290322580646</v>
      </c>
    </row>
    <row r="423" spans="1:13" hidden="1">
      <c r="A423" s="3" t="s">
        <v>11</v>
      </c>
      <c r="B423" s="3"/>
      <c r="C423" s="3"/>
      <c r="D423" s="3"/>
      <c r="E423" s="5">
        <f>E421+F421+G421+H421</f>
        <v>29651.772499999995</v>
      </c>
      <c r="F423" s="5"/>
      <c r="G423" s="5"/>
      <c r="H423" s="5"/>
      <c r="I423" s="5"/>
      <c r="J423" s="4"/>
      <c r="K423" s="4"/>
      <c r="L423" s="4"/>
      <c r="M423" s="4"/>
    </row>
    <row r="424" spans="1:13" hidden="1">
      <c r="A424" s="3" t="s">
        <v>12</v>
      </c>
      <c r="B424" s="3"/>
      <c r="C424" s="3"/>
      <c r="D424" s="3"/>
      <c r="E424" s="5">
        <f>E422+F422+G422+H422</f>
        <v>24984.969000000001</v>
      </c>
      <c r="F424" s="5"/>
      <c r="G424" s="5"/>
      <c r="H424" s="5"/>
      <c r="I424" s="5"/>
      <c r="J424" s="4"/>
      <c r="K424" s="4"/>
      <c r="L424" s="4"/>
      <c r="M424" s="4"/>
    </row>
    <row r="425" spans="1:13" hidden="1">
      <c r="A425" s="3" t="s">
        <v>13</v>
      </c>
      <c r="B425" s="3"/>
      <c r="C425" s="3"/>
      <c r="D425" s="3">
        <f>D421-D422</f>
        <v>2451</v>
      </c>
      <c r="E425" s="5">
        <f>E423-E424</f>
        <v>4666.8034999999945</v>
      </c>
      <c r="F425" s="5"/>
      <c r="G425" s="5"/>
      <c r="H425" s="5"/>
      <c r="I425" s="5"/>
      <c r="J425" s="4"/>
      <c r="K425" s="4"/>
      <c r="L425" s="4"/>
      <c r="M425" s="4"/>
    </row>
    <row r="426" spans="1:13" hidden="1"/>
    <row r="427" spans="1:13" hidden="1">
      <c r="A427" s="21">
        <v>44713</v>
      </c>
    </row>
    <row r="428" spans="1:13" hidden="1">
      <c r="A428" s="3" t="s">
        <v>1</v>
      </c>
      <c r="B428" s="3" t="s">
        <v>2</v>
      </c>
      <c r="C428" s="3" t="s">
        <v>3</v>
      </c>
      <c r="D428" s="3" t="s">
        <v>4</v>
      </c>
      <c r="E428" s="3" t="s">
        <v>5</v>
      </c>
      <c r="F428" s="3" t="s">
        <v>37</v>
      </c>
      <c r="G428" s="3" t="s">
        <v>7</v>
      </c>
      <c r="H428" s="3" t="s">
        <v>8</v>
      </c>
      <c r="I428" s="3" t="s">
        <v>15</v>
      </c>
      <c r="J428" s="3" t="s">
        <v>16</v>
      </c>
      <c r="K428" s="3" t="s">
        <v>17</v>
      </c>
      <c r="L428" s="3" t="s">
        <v>18</v>
      </c>
      <c r="M428" s="3" t="s">
        <v>19</v>
      </c>
    </row>
    <row r="429" spans="1:13" hidden="1">
      <c r="A429" s="4" t="s">
        <v>9</v>
      </c>
      <c r="B429" s="4">
        <f>C421</f>
        <v>1072750</v>
      </c>
      <c r="C429" s="4">
        <v>1087431</v>
      </c>
      <c r="D429" s="4">
        <f>C429-B429</f>
        <v>14681</v>
      </c>
      <c r="E429" s="7">
        <f>22388.1*1.15</f>
        <v>25746.314999999995</v>
      </c>
      <c r="F429" s="7">
        <f>1569.82*1.15</f>
        <v>1805.2929999999999</v>
      </c>
      <c r="G429" s="7">
        <f>181.94*1.15</f>
        <v>209.23099999999999</v>
      </c>
      <c r="H429" s="7">
        <f>805.33*1.15</f>
        <v>926.12950000000001</v>
      </c>
      <c r="I429" s="7" t="s">
        <v>20</v>
      </c>
      <c r="J429" s="24" t="s">
        <v>104</v>
      </c>
      <c r="K429" s="7">
        <f>(E429+F429)/D429</f>
        <v>1.876684694503099</v>
      </c>
      <c r="L429" s="4">
        <v>28</v>
      </c>
      <c r="M429" s="4">
        <f>D429/L429</f>
        <v>524.32142857142856</v>
      </c>
    </row>
    <row r="430" spans="1:13" hidden="1">
      <c r="A430" s="4" t="s">
        <v>10</v>
      </c>
      <c r="B430" s="4">
        <f>C422</f>
        <v>1068799</v>
      </c>
      <c r="C430" s="4">
        <v>1084769</v>
      </c>
      <c r="D430" s="4">
        <f>C430-B430</f>
        <v>15970</v>
      </c>
      <c r="E430" s="7">
        <f>26347.05*1.15</f>
        <v>30299.107499999998</v>
      </c>
      <c r="F430" s="7"/>
      <c r="G430" s="7">
        <f>181.94*1.15</f>
        <v>209.23099999999999</v>
      </c>
      <c r="H430" s="7">
        <f>(734.17+71.16)*1.15</f>
        <v>926.12949999999989</v>
      </c>
      <c r="I430" s="7" t="s">
        <v>20</v>
      </c>
      <c r="J430" s="24" t="s">
        <v>105</v>
      </c>
      <c r="K430" s="11">
        <f>E430/D430</f>
        <v>1.8972515654351909</v>
      </c>
      <c r="L430" s="4">
        <v>30</v>
      </c>
      <c r="M430" s="4">
        <f>D430/L430</f>
        <v>532.33333333333337</v>
      </c>
    </row>
    <row r="431" spans="1:13" hidden="1">
      <c r="A431" s="3" t="s">
        <v>11</v>
      </c>
      <c r="B431" s="3"/>
      <c r="C431" s="3"/>
      <c r="D431" s="3"/>
      <c r="E431" s="5">
        <f>E429+F429+G429+H429</f>
        <v>28686.968499999995</v>
      </c>
      <c r="F431" s="5"/>
      <c r="G431" s="5"/>
      <c r="H431" s="5"/>
      <c r="I431" s="5"/>
      <c r="J431" s="4"/>
      <c r="K431" s="4"/>
      <c r="L431" s="4"/>
      <c r="M431" s="4"/>
    </row>
    <row r="432" spans="1:13" hidden="1">
      <c r="A432" s="3" t="s">
        <v>12</v>
      </c>
      <c r="B432" s="3"/>
      <c r="C432" s="3"/>
      <c r="D432" s="3"/>
      <c r="E432" s="5">
        <f>E430+F430+G430+H430</f>
        <v>31434.467999999997</v>
      </c>
      <c r="F432" s="5"/>
      <c r="G432" s="5"/>
      <c r="H432" s="5"/>
      <c r="I432" s="5"/>
      <c r="J432" s="4"/>
      <c r="K432" s="4"/>
      <c r="L432" s="4"/>
      <c r="M432" s="4"/>
    </row>
    <row r="433" spans="1:13" hidden="1">
      <c r="A433" s="3" t="s">
        <v>13</v>
      </c>
      <c r="B433" s="3"/>
      <c r="C433" s="3"/>
      <c r="D433" s="3">
        <f>D429-D430</f>
        <v>-1289</v>
      </c>
      <c r="E433" s="5">
        <f>E431-E432</f>
        <v>-2747.4995000000017</v>
      </c>
      <c r="F433" s="5"/>
      <c r="G433" s="5"/>
      <c r="H433" s="5"/>
      <c r="I433" s="5"/>
      <c r="J433" s="4"/>
      <c r="K433" s="4"/>
      <c r="L433" s="4"/>
      <c r="M433" s="4"/>
    </row>
    <row r="434" spans="1:13" hidden="1"/>
    <row r="435" spans="1:13" hidden="1">
      <c r="A435" s="21">
        <v>44743</v>
      </c>
    </row>
    <row r="436" spans="1:13" hidden="1">
      <c r="A436" s="3" t="s">
        <v>1</v>
      </c>
      <c r="B436" s="3" t="s">
        <v>2</v>
      </c>
      <c r="C436" s="3" t="s">
        <v>3</v>
      </c>
      <c r="D436" s="3" t="s">
        <v>4</v>
      </c>
      <c r="E436" s="3" t="s">
        <v>5</v>
      </c>
      <c r="F436" s="3" t="s">
        <v>37</v>
      </c>
      <c r="G436" s="3" t="s">
        <v>7</v>
      </c>
      <c r="H436" s="3" t="s">
        <v>8</v>
      </c>
      <c r="I436" s="3" t="s">
        <v>15</v>
      </c>
      <c r="J436" s="3" t="s">
        <v>16</v>
      </c>
      <c r="K436" s="3" t="s">
        <v>17</v>
      </c>
      <c r="L436" s="3" t="s">
        <v>18</v>
      </c>
      <c r="M436" s="3" t="s">
        <v>19</v>
      </c>
    </row>
    <row r="437" spans="1:13" hidden="1">
      <c r="A437" s="4" t="s">
        <v>9</v>
      </c>
      <c r="B437" s="4">
        <f>C429</f>
        <v>1087431</v>
      </c>
      <c r="C437" s="4">
        <v>1099098</v>
      </c>
      <c r="D437" s="4">
        <f>C437-B437</f>
        <v>11667</v>
      </c>
      <c r="E437" s="7">
        <f>(22079.7-1618.11)*1.15</f>
        <v>23530.8285</v>
      </c>
      <c r="F437" s="7">
        <v>0</v>
      </c>
      <c r="G437" s="7">
        <f>181.94*1.15</f>
        <v>209.23099999999999</v>
      </c>
      <c r="H437" s="7">
        <f>805.33*1.15</f>
        <v>926.12950000000001</v>
      </c>
      <c r="I437" s="7" t="s">
        <v>20</v>
      </c>
      <c r="J437" s="24" t="s">
        <v>106</v>
      </c>
      <c r="K437" s="7">
        <f>(E437+F437)/D437</f>
        <v>2.0168705322705067</v>
      </c>
      <c r="L437" s="4">
        <v>28</v>
      </c>
      <c r="M437" s="4">
        <f>D437/L437</f>
        <v>416.67857142857144</v>
      </c>
    </row>
    <row r="438" spans="1:13" hidden="1">
      <c r="A438" s="4" t="s">
        <v>10</v>
      </c>
      <c r="B438" s="4">
        <f>C430</f>
        <v>1084769</v>
      </c>
      <c r="C438" s="4">
        <v>1099098</v>
      </c>
      <c r="D438" s="4">
        <f>C438-B438</f>
        <v>14329</v>
      </c>
      <c r="E438" s="7">
        <f>25130.2*1.15</f>
        <v>28899.73</v>
      </c>
      <c r="F438" s="7"/>
      <c r="G438" s="7">
        <f>181.94*1.15</f>
        <v>209.23099999999999</v>
      </c>
      <c r="H438" s="7">
        <f>734.17*1.15</f>
        <v>844.29549999999983</v>
      </c>
      <c r="I438" s="7" t="s">
        <v>20</v>
      </c>
      <c r="J438" s="24" t="s">
        <v>107</v>
      </c>
      <c r="K438" s="11">
        <f>E438/D438</f>
        <v>2.0168699839486357</v>
      </c>
      <c r="L438" s="4">
        <v>31</v>
      </c>
      <c r="M438" s="4">
        <f>D438/L438</f>
        <v>462.22580645161293</v>
      </c>
    </row>
    <row r="439" spans="1:13" hidden="1">
      <c r="A439" s="3" t="s">
        <v>11</v>
      </c>
      <c r="B439" s="3"/>
      <c r="C439" s="3"/>
      <c r="D439" s="3"/>
      <c r="E439" s="5">
        <f>E437+F437+G437+H437</f>
        <v>24666.188999999998</v>
      </c>
      <c r="F439" s="5"/>
      <c r="G439" s="5"/>
      <c r="H439" s="5"/>
      <c r="I439" s="5"/>
      <c r="J439" s="4"/>
      <c r="K439" s="4"/>
      <c r="L439" s="4"/>
      <c r="M439" s="4"/>
    </row>
    <row r="440" spans="1:13" hidden="1">
      <c r="A440" s="3" t="s">
        <v>12</v>
      </c>
      <c r="B440" s="3"/>
      <c r="C440" s="3"/>
      <c r="D440" s="3"/>
      <c r="E440" s="5">
        <f>E438+F438+G438+H438</f>
        <v>29953.2565</v>
      </c>
      <c r="F440" s="5"/>
      <c r="G440" s="5"/>
      <c r="H440" s="5"/>
      <c r="I440" s="5"/>
      <c r="J440" s="4"/>
      <c r="K440" s="4"/>
      <c r="L440" s="4"/>
      <c r="M440" s="4"/>
    </row>
    <row r="441" spans="1:13" hidden="1">
      <c r="A441" s="3" t="s">
        <v>13</v>
      </c>
      <c r="B441" s="3"/>
      <c r="C441" s="3"/>
      <c r="D441" s="3">
        <f>D437-D438</f>
        <v>-2662</v>
      </c>
      <c r="E441" s="5">
        <f>E439-E440</f>
        <v>-5287.067500000001</v>
      </c>
      <c r="F441" s="5"/>
      <c r="G441" s="5"/>
      <c r="H441" s="5"/>
      <c r="I441" s="5"/>
      <c r="J441" s="4"/>
      <c r="K441" s="4"/>
      <c r="L441" s="4"/>
      <c r="M441" s="4"/>
    </row>
    <row r="442" spans="1:13" hidden="1"/>
    <row r="443" spans="1:13" hidden="1">
      <c r="A443" s="21">
        <v>44774</v>
      </c>
    </row>
    <row r="444" spans="1:13" hidden="1">
      <c r="A444" s="3" t="s">
        <v>1</v>
      </c>
      <c r="B444" s="3" t="s">
        <v>2</v>
      </c>
      <c r="C444" s="3" t="s">
        <v>3</v>
      </c>
      <c r="D444" s="3" t="s">
        <v>4</v>
      </c>
      <c r="E444" s="3" t="s">
        <v>5</v>
      </c>
      <c r="F444" s="3" t="s">
        <v>37</v>
      </c>
      <c r="G444" s="3" t="s">
        <v>7</v>
      </c>
      <c r="H444" s="3" t="s">
        <v>8</v>
      </c>
      <c r="I444" s="3" t="s">
        <v>15</v>
      </c>
      <c r="J444" s="3" t="s">
        <v>16</v>
      </c>
      <c r="K444" s="3" t="s">
        <v>17</v>
      </c>
      <c r="L444" s="3" t="s">
        <v>18</v>
      </c>
      <c r="M444" s="3" t="s">
        <v>19</v>
      </c>
    </row>
    <row r="445" spans="1:13" hidden="1">
      <c r="A445" s="4" t="s">
        <v>9</v>
      </c>
      <c r="B445" s="4">
        <f>C437</f>
        <v>1099098</v>
      </c>
      <c r="C445" s="4">
        <v>1114177</v>
      </c>
      <c r="D445" s="4">
        <f>C445-B445</f>
        <v>15079</v>
      </c>
      <c r="E445" s="7">
        <f>(27679.83-1213.82)*1.15</f>
        <v>30435.911499999998</v>
      </c>
      <c r="F445" s="7">
        <v>0</v>
      </c>
      <c r="G445" s="7">
        <f>181.94*1.15</f>
        <v>209.23099999999999</v>
      </c>
      <c r="H445" s="7">
        <f>734.17*1.15</f>
        <v>844.29549999999983</v>
      </c>
      <c r="I445" s="7" t="s">
        <v>20</v>
      </c>
      <c r="J445" s="24" t="s">
        <v>108</v>
      </c>
      <c r="K445" s="7">
        <f>(E445+F445)/D445</f>
        <v>2.0184303667351946</v>
      </c>
      <c r="L445" s="4">
        <v>35</v>
      </c>
      <c r="M445" s="4">
        <f>D445/L445</f>
        <v>430.82857142857142</v>
      </c>
    </row>
    <row r="446" spans="1:13" hidden="1">
      <c r="A446" s="4" t="s">
        <v>10</v>
      </c>
      <c r="B446" s="4">
        <f>C438</f>
        <v>1099098</v>
      </c>
      <c r="C446" s="4">
        <v>1114177</v>
      </c>
      <c r="D446" s="4">
        <f>C446-B446</f>
        <v>15079</v>
      </c>
      <c r="E446" s="7">
        <f>26445.55*1.15</f>
        <v>30412.382499999996</v>
      </c>
      <c r="F446" s="7"/>
      <c r="G446" s="7">
        <f>181.94*1.15</f>
        <v>209.23099999999999</v>
      </c>
      <c r="H446" s="7">
        <f>734.17*1.15</f>
        <v>844.29549999999983</v>
      </c>
      <c r="I446" s="7" t="s">
        <v>20</v>
      </c>
      <c r="J446" s="24" t="s">
        <v>109</v>
      </c>
      <c r="K446" s="11">
        <f>E446/D446</f>
        <v>2.0168699847469989</v>
      </c>
      <c r="L446" s="4">
        <v>31</v>
      </c>
      <c r="M446" s="4">
        <f>D446/L446</f>
        <v>486.41935483870969</v>
      </c>
    </row>
    <row r="447" spans="1:13" hidden="1">
      <c r="A447" s="3" t="s">
        <v>11</v>
      </c>
      <c r="B447" s="3"/>
      <c r="C447" s="3"/>
      <c r="D447" s="3"/>
      <c r="E447" s="5">
        <f>E445+F445+G445+H445</f>
        <v>31489.437999999998</v>
      </c>
      <c r="F447" s="5"/>
      <c r="G447" s="5"/>
      <c r="H447" s="5"/>
      <c r="I447" s="5"/>
      <c r="J447" s="4"/>
      <c r="K447" s="4"/>
      <c r="L447" s="4"/>
      <c r="M447" s="4"/>
    </row>
    <row r="448" spans="1:13" hidden="1">
      <c r="A448" s="3" t="s">
        <v>12</v>
      </c>
      <c r="B448" s="3"/>
      <c r="C448" s="3"/>
      <c r="D448" s="3"/>
      <c r="E448" s="5">
        <f>E446+F446+G446+H446</f>
        <v>31465.908999999996</v>
      </c>
      <c r="F448" s="5"/>
      <c r="G448" s="5"/>
      <c r="H448" s="5"/>
      <c r="I448" s="5"/>
      <c r="J448" s="4"/>
      <c r="K448" s="4"/>
      <c r="L448" s="4"/>
      <c r="M448" s="4"/>
    </row>
    <row r="449" spans="1:13" hidden="1">
      <c r="A449" s="3" t="s">
        <v>13</v>
      </c>
      <c r="B449" s="3"/>
      <c r="C449" s="3"/>
      <c r="D449" s="3">
        <f>D445-D446</f>
        <v>0</v>
      </c>
      <c r="E449" s="5">
        <f>E447-E448</f>
        <v>23.52900000000227</v>
      </c>
      <c r="F449" s="5"/>
      <c r="G449" s="5"/>
      <c r="H449" s="5"/>
      <c r="I449" s="5"/>
      <c r="J449" s="4"/>
      <c r="K449" s="4"/>
      <c r="L449" s="4"/>
      <c r="M449" s="4"/>
    </row>
    <row r="450" spans="1:13" hidden="1"/>
    <row r="451" spans="1:13" hidden="1">
      <c r="A451" s="21">
        <v>44805</v>
      </c>
    </row>
    <row r="452" spans="1:13" hidden="1">
      <c r="A452" s="3" t="s">
        <v>1</v>
      </c>
      <c r="B452" s="3" t="s">
        <v>2</v>
      </c>
      <c r="C452" s="3" t="s">
        <v>3</v>
      </c>
      <c r="D452" s="3" t="s">
        <v>4</v>
      </c>
      <c r="E452" s="3" t="s">
        <v>5</v>
      </c>
      <c r="F452" s="3" t="s">
        <v>37</v>
      </c>
      <c r="G452" s="3" t="s">
        <v>7</v>
      </c>
      <c r="H452" s="3" t="s">
        <v>8</v>
      </c>
      <c r="I452" s="3" t="s">
        <v>15</v>
      </c>
      <c r="J452" s="3" t="s">
        <v>16</v>
      </c>
      <c r="K452" s="3" t="s">
        <v>17</v>
      </c>
      <c r="L452" s="3" t="s">
        <v>18</v>
      </c>
      <c r="M452" s="3" t="s">
        <v>19</v>
      </c>
    </row>
    <row r="453" spans="1:13" hidden="1">
      <c r="A453" s="4" t="s">
        <v>9</v>
      </c>
      <c r="B453" s="4">
        <f>C445</f>
        <v>1114177</v>
      </c>
      <c r="C453" s="4">
        <v>1126734</v>
      </c>
      <c r="D453" s="4">
        <f>C453-B453</f>
        <v>12557</v>
      </c>
      <c r="E453" s="7">
        <f>17748.04*1.15</f>
        <v>20410.245999999999</v>
      </c>
      <c r="F453" s="7">
        <f>4274.43*1.15</f>
        <v>4915.5945000000002</v>
      </c>
      <c r="G453" s="7">
        <f>181.94*1.15</f>
        <v>209.23099999999999</v>
      </c>
      <c r="H453" s="7">
        <f>734.17*1.15</f>
        <v>844.29549999999983</v>
      </c>
      <c r="I453" s="7" t="s">
        <v>20</v>
      </c>
      <c r="J453" s="24" t="s">
        <v>110</v>
      </c>
      <c r="K453" s="7">
        <f>(E453+F453)/D453</f>
        <v>2.0168703113801065</v>
      </c>
      <c r="L453" s="4">
        <v>29</v>
      </c>
      <c r="M453" s="4">
        <f>D453/L453</f>
        <v>433</v>
      </c>
    </row>
    <row r="454" spans="1:13" hidden="1">
      <c r="A454" s="4" t="s">
        <v>10</v>
      </c>
      <c r="B454" s="4">
        <f>C446</f>
        <v>1114177</v>
      </c>
      <c r="C454" s="4">
        <v>1126734</v>
      </c>
      <c r="D454" s="4">
        <f>C454-B454</f>
        <v>12557</v>
      </c>
      <c r="E454" s="7">
        <f>22022.47*1.15</f>
        <v>25325.840499999998</v>
      </c>
      <c r="F454" s="7"/>
      <c r="G454" s="7">
        <f>181.94*1.15</f>
        <v>209.23099999999999</v>
      </c>
      <c r="H454" s="7">
        <f>734.17*1.15</f>
        <v>844.29549999999983</v>
      </c>
      <c r="I454" s="7" t="s">
        <v>20</v>
      </c>
      <c r="J454" s="24" t="s">
        <v>111</v>
      </c>
      <c r="K454" s="11">
        <f>E454/D454</f>
        <v>2.0168703113801065</v>
      </c>
      <c r="L454" s="4">
        <v>30</v>
      </c>
      <c r="M454" s="4">
        <f>D454/L454</f>
        <v>418.56666666666666</v>
      </c>
    </row>
    <row r="455" spans="1:13" hidden="1">
      <c r="A455" s="3" t="s">
        <v>11</v>
      </c>
      <c r="B455" s="3"/>
      <c r="C455" s="3"/>
      <c r="D455" s="3"/>
      <c r="E455" s="5">
        <f>E453+F453+G453+H453</f>
        <v>26379.366999999998</v>
      </c>
      <c r="F455" s="5"/>
      <c r="G455" s="5"/>
      <c r="H455" s="5"/>
      <c r="I455" s="5"/>
      <c r="J455" s="4"/>
      <c r="K455" s="4"/>
      <c r="L455" s="4"/>
      <c r="M455" s="4"/>
    </row>
    <row r="456" spans="1:13" hidden="1">
      <c r="A456" s="3" t="s">
        <v>12</v>
      </c>
      <c r="B456" s="3"/>
      <c r="C456" s="3"/>
      <c r="D456" s="3"/>
      <c r="E456" s="5">
        <f>E454+F454+G454+H454</f>
        <v>26379.366999999998</v>
      </c>
      <c r="F456" s="5"/>
      <c r="G456" s="5"/>
      <c r="H456" s="5"/>
      <c r="I456" s="5"/>
      <c r="J456" s="4"/>
      <c r="K456" s="4"/>
      <c r="L456" s="4"/>
      <c r="M456" s="4"/>
    </row>
    <row r="457" spans="1:13" hidden="1">
      <c r="A457" s="3" t="s">
        <v>13</v>
      </c>
      <c r="B457" s="3"/>
      <c r="C457" s="3"/>
      <c r="D457" s="3">
        <f>D453-D454</f>
        <v>0</v>
      </c>
      <c r="E457" s="5">
        <f>E455-E456</f>
        <v>0</v>
      </c>
      <c r="F457" s="5"/>
      <c r="G457" s="5"/>
      <c r="H457" s="5"/>
      <c r="I457" s="5"/>
      <c r="J457" s="4"/>
      <c r="K457" s="4"/>
      <c r="L457" s="4"/>
      <c r="M457" s="4"/>
    </row>
    <row r="458" spans="1:13" hidden="1"/>
    <row r="459" spans="1:13" hidden="1">
      <c r="A459" s="21">
        <v>44835</v>
      </c>
    </row>
    <row r="460" spans="1:13" hidden="1">
      <c r="A460" s="3" t="s">
        <v>1</v>
      </c>
      <c r="B460" s="3" t="s">
        <v>2</v>
      </c>
      <c r="C460" s="3" t="s">
        <v>3</v>
      </c>
      <c r="D460" s="3" t="s">
        <v>4</v>
      </c>
      <c r="E460" s="3" t="s">
        <v>5</v>
      </c>
      <c r="F460" s="3" t="s">
        <v>37</v>
      </c>
      <c r="G460" s="3" t="s">
        <v>7</v>
      </c>
      <c r="H460" s="3" t="s">
        <v>8</v>
      </c>
      <c r="I460" s="3" t="s">
        <v>15</v>
      </c>
      <c r="J460" s="3" t="s">
        <v>16</v>
      </c>
      <c r="K460" s="3" t="s">
        <v>17</v>
      </c>
      <c r="L460" s="3" t="s">
        <v>18</v>
      </c>
      <c r="M460" s="3" t="s">
        <v>19</v>
      </c>
    </row>
    <row r="461" spans="1:13" hidden="1">
      <c r="A461" s="4" t="s">
        <v>9</v>
      </c>
      <c r="B461" s="4">
        <f>C453</f>
        <v>1126734</v>
      </c>
      <c r="C461" s="4">
        <v>1138013</v>
      </c>
      <c r="D461" s="4">
        <f>C461-B461</f>
        <v>11279</v>
      </c>
      <c r="E461" s="7">
        <f>16862.43*1.15</f>
        <v>19391.7945</v>
      </c>
      <c r="F461" s="7">
        <f>2918.68*1.15</f>
        <v>3356.4819999999995</v>
      </c>
      <c r="G461" s="7">
        <f>181.94*1.15</f>
        <v>209.23099999999999</v>
      </c>
      <c r="H461" s="7">
        <f>734.17*1.15</f>
        <v>844.29549999999983</v>
      </c>
      <c r="I461" s="7" t="s">
        <v>20</v>
      </c>
      <c r="J461" s="24" t="s">
        <v>112</v>
      </c>
      <c r="K461" s="7">
        <f>(E461+F461)/D461</f>
        <v>2.0168699796081211</v>
      </c>
      <c r="L461" s="4">
        <v>28</v>
      </c>
      <c r="M461" s="4">
        <f>D461/L461</f>
        <v>402.82142857142856</v>
      </c>
    </row>
    <row r="462" spans="1:13" hidden="1">
      <c r="A462" s="4" t="s">
        <v>10</v>
      </c>
      <c r="B462" s="4">
        <f>C454</f>
        <v>1126734</v>
      </c>
      <c r="C462" s="4">
        <v>1138013</v>
      </c>
      <c r="D462" s="4">
        <f>C462-B462</f>
        <v>11279</v>
      </c>
      <c r="E462" s="7">
        <f>19781.11*1.15</f>
        <v>22748.2765</v>
      </c>
      <c r="F462" s="7"/>
      <c r="G462" s="7">
        <f>181.94*1.15</f>
        <v>209.23099999999999</v>
      </c>
      <c r="H462" s="7">
        <f>734.17*1.15</f>
        <v>844.29549999999983</v>
      </c>
      <c r="I462" s="7" t="s">
        <v>20</v>
      </c>
      <c r="J462" s="24" t="s">
        <v>113</v>
      </c>
      <c r="K462" s="11">
        <f>E462/D462</f>
        <v>2.0168699796081211</v>
      </c>
      <c r="L462" s="4">
        <v>31</v>
      </c>
      <c r="M462" s="4">
        <f>D462/L462</f>
        <v>363.83870967741933</v>
      </c>
    </row>
    <row r="463" spans="1:13" hidden="1">
      <c r="A463" s="3" t="s">
        <v>11</v>
      </c>
      <c r="B463" s="3"/>
      <c r="C463" s="3"/>
      <c r="D463" s="3"/>
      <c r="E463" s="5">
        <f>E461+F461+G461+H461</f>
        <v>23801.803</v>
      </c>
      <c r="F463" s="5"/>
      <c r="G463" s="5"/>
      <c r="H463" s="5"/>
      <c r="I463" s="5"/>
      <c r="J463" s="4"/>
      <c r="K463" s="4"/>
      <c r="L463" s="4"/>
      <c r="M463" s="4"/>
    </row>
    <row r="464" spans="1:13" hidden="1">
      <c r="A464" s="3" t="s">
        <v>12</v>
      </c>
      <c r="B464" s="3"/>
      <c r="C464" s="3"/>
      <c r="D464" s="3"/>
      <c r="E464" s="5">
        <f>E462+F462+G462+H462</f>
        <v>23801.803</v>
      </c>
      <c r="F464" s="5"/>
      <c r="G464" s="5"/>
      <c r="H464" s="5"/>
      <c r="I464" s="5"/>
      <c r="J464" s="4"/>
      <c r="K464" s="4"/>
      <c r="L464" s="4"/>
      <c r="M464" s="4"/>
    </row>
    <row r="465" spans="1:13" hidden="1">
      <c r="A465" s="3" t="s">
        <v>13</v>
      </c>
      <c r="B465" s="3"/>
      <c r="C465" s="3"/>
      <c r="D465" s="3">
        <f>D461-D462</f>
        <v>0</v>
      </c>
      <c r="E465" s="5">
        <f>E463-E464</f>
        <v>0</v>
      </c>
      <c r="F465" s="5"/>
      <c r="G465" s="5"/>
      <c r="H465" s="5"/>
      <c r="I465" s="5"/>
      <c r="J465" s="4"/>
      <c r="K465" s="4"/>
      <c r="L465" s="4"/>
      <c r="M465" s="4"/>
    </row>
    <row r="466" spans="1:13" hidden="1"/>
    <row r="467" spans="1:13" hidden="1">
      <c r="A467" s="21">
        <v>44866</v>
      </c>
    </row>
    <row r="468" spans="1:13" hidden="1">
      <c r="A468" s="3" t="s">
        <v>1</v>
      </c>
      <c r="B468" s="3" t="s">
        <v>2</v>
      </c>
      <c r="C468" s="3" t="s">
        <v>3</v>
      </c>
      <c r="D468" s="3" t="s">
        <v>4</v>
      </c>
      <c r="E468" s="3" t="s">
        <v>5</v>
      </c>
      <c r="F468" s="3" t="s">
        <v>37</v>
      </c>
      <c r="G468" s="3" t="s">
        <v>7</v>
      </c>
      <c r="H468" s="3" t="s">
        <v>8</v>
      </c>
      <c r="I468" s="3" t="s">
        <v>15</v>
      </c>
      <c r="J468" s="3" t="s">
        <v>16</v>
      </c>
      <c r="K468" s="3" t="s">
        <v>17</v>
      </c>
      <c r="L468" s="3" t="s">
        <v>18</v>
      </c>
      <c r="M468" s="3" t="s">
        <v>19</v>
      </c>
    </row>
    <row r="469" spans="1:13" hidden="1">
      <c r="A469" s="4" t="s">
        <v>9</v>
      </c>
      <c r="B469" s="4">
        <f>C461</f>
        <v>1138013</v>
      </c>
      <c r="C469" s="4">
        <v>1152243</v>
      </c>
      <c r="D469" s="4">
        <f>C469-B469</f>
        <v>14230</v>
      </c>
      <c r="E469" s="7">
        <f>21897.39*1.15</f>
        <v>25181.998499999998</v>
      </c>
      <c r="F469" s="7">
        <f>3059.18*1.15</f>
        <v>3518.0569999999993</v>
      </c>
      <c r="G469" s="7">
        <f>181.94*1.15</f>
        <v>209.23099999999999</v>
      </c>
      <c r="H469" s="7">
        <f>734.17*1.15</f>
        <v>844.29549999999983</v>
      </c>
      <c r="I469" s="7" t="s">
        <v>20</v>
      </c>
      <c r="J469" s="24" t="s">
        <v>114</v>
      </c>
      <c r="K469" s="7">
        <f>(E469+F469)/D469</f>
        <v>2.0168696767392831</v>
      </c>
      <c r="L469" s="4">
        <v>34</v>
      </c>
      <c r="M469" s="4">
        <f>D469/L469</f>
        <v>418.52941176470586</v>
      </c>
    </row>
    <row r="470" spans="1:13" hidden="1">
      <c r="A470" s="4" t="s">
        <v>10</v>
      </c>
      <c r="B470" s="4">
        <f>C462</f>
        <v>1138013</v>
      </c>
      <c r="C470" s="4">
        <v>1149775</v>
      </c>
      <c r="D470" s="4">
        <f>C470-B470</f>
        <v>11762</v>
      </c>
      <c r="E470" s="7">
        <f>20628.2*1.15</f>
        <v>23722.43</v>
      </c>
      <c r="F470" s="7"/>
      <c r="G470" s="7">
        <f>181.94*1.15</f>
        <v>209.23099999999999</v>
      </c>
      <c r="H470" s="7">
        <f>734.17*1.15</f>
        <v>844.29549999999983</v>
      </c>
      <c r="I470" s="7" t="s">
        <v>20</v>
      </c>
      <c r="J470" s="24" t="s">
        <v>115</v>
      </c>
      <c r="K470" s="11">
        <f>E470/D470</f>
        <v>2.0168704301989457</v>
      </c>
      <c r="L470" s="4">
        <v>30</v>
      </c>
      <c r="M470" s="4">
        <f>D470/L470</f>
        <v>392.06666666666666</v>
      </c>
    </row>
    <row r="471" spans="1:13" hidden="1">
      <c r="A471" s="3" t="s">
        <v>11</v>
      </c>
      <c r="B471" s="3"/>
      <c r="C471" s="3"/>
      <c r="D471" s="3"/>
      <c r="E471" s="5">
        <f>E469+F469+G469+H469</f>
        <v>29753.581999999999</v>
      </c>
      <c r="F471" s="5"/>
      <c r="G471" s="5"/>
      <c r="H471" s="5"/>
      <c r="I471" s="5"/>
      <c r="J471" s="4"/>
      <c r="K471" s="4"/>
      <c r="L471" s="4"/>
      <c r="M471" s="4"/>
    </row>
    <row r="472" spans="1:13" hidden="1">
      <c r="A472" s="3" t="s">
        <v>12</v>
      </c>
      <c r="B472" s="3"/>
      <c r="C472" s="3"/>
      <c r="D472" s="3"/>
      <c r="E472" s="5">
        <f>E470+F470+G470+H470</f>
        <v>24775.9565</v>
      </c>
      <c r="F472" s="5"/>
      <c r="G472" s="5"/>
      <c r="H472" s="5"/>
      <c r="I472" s="5"/>
      <c r="J472" s="4"/>
      <c r="K472" s="4"/>
      <c r="L472" s="4"/>
      <c r="M472" s="4"/>
    </row>
    <row r="473" spans="1:13" hidden="1">
      <c r="A473" s="3" t="s">
        <v>13</v>
      </c>
      <c r="B473" s="3"/>
      <c r="C473" s="3"/>
      <c r="D473" s="3">
        <f>D469-D470</f>
        <v>2468</v>
      </c>
      <c r="E473" s="5">
        <f>E471-E472</f>
        <v>4977.6254999999983</v>
      </c>
      <c r="F473" s="5"/>
      <c r="G473" s="5"/>
      <c r="H473" s="5"/>
      <c r="I473" s="5"/>
      <c r="J473" s="4"/>
      <c r="K473" s="4"/>
      <c r="L473" s="4"/>
      <c r="M473" s="4"/>
    </row>
    <row r="474" spans="1:13" hidden="1"/>
    <row r="475" spans="1:13" hidden="1">
      <c r="A475" s="21">
        <v>44896</v>
      </c>
    </row>
    <row r="476" spans="1:13" hidden="1">
      <c r="A476" s="3" t="s">
        <v>1</v>
      </c>
      <c r="B476" s="3" t="s">
        <v>2</v>
      </c>
      <c r="C476" s="3" t="s">
        <v>3</v>
      </c>
      <c r="D476" s="3" t="s">
        <v>4</v>
      </c>
      <c r="E476" s="3" t="s">
        <v>5</v>
      </c>
      <c r="F476" s="3" t="s">
        <v>37</v>
      </c>
      <c r="G476" s="3" t="s">
        <v>7</v>
      </c>
      <c r="H476" s="3" t="s">
        <v>8</v>
      </c>
      <c r="I476" s="3" t="s">
        <v>15</v>
      </c>
      <c r="J476" s="3" t="s">
        <v>16</v>
      </c>
      <c r="K476" s="3" t="s">
        <v>17</v>
      </c>
      <c r="L476" s="3" t="s">
        <v>18</v>
      </c>
      <c r="M476" s="3" t="s">
        <v>19</v>
      </c>
    </row>
    <row r="477" spans="1:13" hidden="1">
      <c r="A477" s="4" t="s">
        <v>9</v>
      </c>
      <c r="B477" s="4">
        <f>C469</f>
        <v>1152243</v>
      </c>
      <c r="C477" s="4">
        <v>1164279</v>
      </c>
      <c r="D477" s="4">
        <f>C477-B477</f>
        <v>12036</v>
      </c>
      <c r="E477" s="7">
        <f>19486.81*1.15</f>
        <v>22409.8315</v>
      </c>
      <c r="F477" s="7">
        <f>1621.93*1.15</f>
        <v>1865.2194999999999</v>
      </c>
      <c r="G477" s="7">
        <f>181.94*1.15</f>
        <v>209.23099999999999</v>
      </c>
      <c r="H477" s="7">
        <f>734.17*1.15</f>
        <v>844.29549999999983</v>
      </c>
      <c r="I477" s="7" t="s">
        <v>20</v>
      </c>
      <c r="J477" s="24" t="s">
        <v>116</v>
      </c>
      <c r="K477" s="7">
        <f>(E477+F477)/D477</f>
        <v>2.0168703057494182</v>
      </c>
      <c r="L477" s="4">
        <v>36</v>
      </c>
      <c r="M477" s="4">
        <f>D477/L477</f>
        <v>334.33333333333331</v>
      </c>
    </row>
    <row r="478" spans="1:13" hidden="1">
      <c r="A478" s="4" t="s">
        <v>10</v>
      </c>
      <c r="B478" s="4">
        <f>C470</f>
        <v>1149775</v>
      </c>
      <c r="C478" s="4">
        <v>1160566</v>
      </c>
      <c r="D478" s="4">
        <f>C478-B478</f>
        <v>10791</v>
      </c>
      <c r="E478" s="7">
        <f>18925.26*1.15</f>
        <v>21764.048999999995</v>
      </c>
      <c r="F478" s="7"/>
      <c r="G478" s="7">
        <f>181.94*1.15</f>
        <v>209.23099999999999</v>
      </c>
      <c r="H478" s="7">
        <f>734.17*1.15</f>
        <v>844.29549999999983</v>
      </c>
      <c r="I478" s="7" t="s">
        <v>20</v>
      </c>
      <c r="J478" s="24" t="s">
        <v>117</v>
      </c>
      <c r="K478" s="11">
        <f>E478/D478</f>
        <v>2.0168704475952177</v>
      </c>
      <c r="L478" s="4">
        <v>31</v>
      </c>
      <c r="M478" s="4">
        <f>D478/L478</f>
        <v>348.09677419354841</v>
      </c>
    </row>
    <row r="479" spans="1:13" hidden="1">
      <c r="A479" s="3" t="s">
        <v>11</v>
      </c>
      <c r="B479" s="3"/>
      <c r="C479" s="3"/>
      <c r="D479" s="3"/>
      <c r="E479" s="5">
        <f>E477+F477+G477+H477</f>
        <v>25328.577499999999</v>
      </c>
      <c r="F479" s="5"/>
      <c r="G479" s="5"/>
      <c r="H479" s="5"/>
      <c r="I479" s="5"/>
      <c r="J479" s="4"/>
      <c r="K479" s="4"/>
      <c r="L479" s="4"/>
      <c r="M479" s="4"/>
    </row>
    <row r="480" spans="1:13" hidden="1">
      <c r="A480" s="3" t="s">
        <v>12</v>
      </c>
      <c r="B480" s="3"/>
      <c r="C480" s="3"/>
      <c r="D480" s="3"/>
      <c r="E480" s="5">
        <f>E478+F478+G478+H478</f>
        <v>22817.575499999995</v>
      </c>
      <c r="F480" s="5"/>
      <c r="G480" s="5"/>
      <c r="H480" s="5"/>
      <c r="I480" s="5"/>
      <c r="J480" s="4"/>
      <c r="K480" s="4"/>
      <c r="L480" s="4"/>
      <c r="M480" s="4"/>
    </row>
    <row r="481" spans="1:13" hidden="1">
      <c r="A481" s="3" t="s">
        <v>13</v>
      </c>
      <c r="B481" s="3"/>
      <c r="C481" s="3"/>
      <c r="D481" s="3">
        <f>D477-D478</f>
        <v>1245</v>
      </c>
      <c r="E481" s="5">
        <f>E479-E480</f>
        <v>2511.002000000004</v>
      </c>
      <c r="F481" s="5"/>
      <c r="G481" s="5"/>
      <c r="H481" s="5"/>
      <c r="I481" s="5"/>
      <c r="J481" s="4"/>
      <c r="K481" s="4"/>
      <c r="L481" s="4"/>
      <c r="M481" s="4"/>
    </row>
    <row r="483" spans="1:13">
      <c r="A483" s="21">
        <v>44927</v>
      </c>
    </row>
    <row r="484" spans="1:13" hidden="1">
      <c r="A484" s="3" t="s">
        <v>1</v>
      </c>
      <c r="B484" s="3" t="s">
        <v>2</v>
      </c>
      <c r="C484" s="3" t="s">
        <v>3</v>
      </c>
      <c r="D484" s="3" t="s">
        <v>4</v>
      </c>
      <c r="E484" s="3" t="s">
        <v>5</v>
      </c>
      <c r="F484" s="3" t="s">
        <v>37</v>
      </c>
      <c r="G484" s="3" t="s">
        <v>7</v>
      </c>
      <c r="H484" s="3" t="s">
        <v>8</v>
      </c>
      <c r="I484" s="3" t="s">
        <v>15</v>
      </c>
      <c r="J484" s="3" t="s">
        <v>16</v>
      </c>
      <c r="K484" s="3" t="s">
        <v>17</v>
      </c>
      <c r="L484" s="3" t="s">
        <v>18</v>
      </c>
      <c r="M484" s="3" t="s">
        <v>19</v>
      </c>
    </row>
    <row r="485" spans="1:13" hidden="1">
      <c r="A485" s="4" t="s">
        <v>9</v>
      </c>
      <c r="B485" s="4">
        <f>C477</f>
        <v>1164279</v>
      </c>
      <c r="C485" s="4">
        <v>1173840</v>
      </c>
      <c r="D485" s="4">
        <f>C485-B485</f>
        <v>9561</v>
      </c>
      <c r="E485" s="7">
        <f>15408.29*1.15</f>
        <v>17719.533500000001</v>
      </c>
      <c r="F485" s="7">
        <f>1359.79*1.15</f>
        <v>1563.7584999999999</v>
      </c>
      <c r="G485" s="7">
        <f>181.94*1.15</f>
        <v>209.23099999999999</v>
      </c>
      <c r="H485" s="7">
        <f>734.17*1.15</f>
        <v>844.29549999999983</v>
      </c>
      <c r="I485" s="7" t="s">
        <v>20</v>
      </c>
      <c r="J485" s="24" t="s">
        <v>118</v>
      </c>
      <c r="K485" s="7">
        <f>(E485+F485)/D485</f>
        <v>2.0168697834954505</v>
      </c>
      <c r="L485" s="4">
        <v>28</v>
      </c>
      <c r="M485" s="4">
        <f>D485/L485</f>
        <v>341.46428571428572</v>
      </c>
    </row>
    <row r="486" spans="1:13" hidden="1">
      <c r="A486" s="4" t="s">
        <v>10</v>
      </c>
      <c r="B486" s="4">
        <f>C478</f>
        <v>1160566</v>
      </c>
      <c r="C486" s="4">
        <v>1170871</v>
      </c>
      <c r="D486" s="4">
        <f>C486-B486</f>
        <v>10305</v>
      </c>
      <c r="E486" s="7">
        <f>18072.91*1.15</f>
        <v>20783.8465</v>
      </c>
      <c r="F486" s="7"/>
      <c r="G486" s="7">
        <f>181.94*1.15</f>
        <v>209.23099999999999</v>
      </c>
      <c r="H486" s="7">
        <f>734.17*1.15</f>
        <v>844.29549999999983</v>
      </c>
      <c r="I486" s="7" t="s">
        <v>20</v>
      </c>
      <c r="J486" s="24" t="s">
        <v>119</v>
      </c>
      <c r="K486" s="11">
        <f>E486/D486</f>
        <v>2.0168701115963126</v>
      </c>
      <c r="L486" s="4">
        <v>31</v>
      </c>
      <c r="M486" s="4">
        <f>D486/L486</f>
        <v>332.41935483870969</v>
      </c>
    </row>
    <row r="487" spans="1:13" hidden="1">
      <c r="A487" s="3" t="s">
        <v>11</v>
      </c>
      <c r="B487" s="3"/>
      <c r="C487" s="3"/>
      <c r="D487" s="3"/>
      <c r="E487" s="5">
        <f>E485+F485+G485+H485</f>
        <v>20336.818500000001</v>
      </c>
      <c r="F487" s="5"/>
      <c r="G487" s="5"/>
      <c r="H487" s="5"/>
      <c r="I487" s="5"/>
      <c r="J487" s="4"/>
      <c r="K487" s="4"/>
      <c r="L487" s="4"/>
      <c r="M487" s="4"/>
    </row>
    <row r="488" spans="1:13" hidden="1">
      <c r="A488" s="3" t="s">
        <v>12</v>
      </c>
      <c r="B488" s="3"/>
      <c r="C488" s="3"/>
      <c r="D488" s="3"/>
      <c r="E488" s="5">
        <f>E486+F486+G486+H486</f>
        <v>21837.373</v>
      </c>
      <c r="F488" s="5"/>
      <c r="G488" s="5"/>
      <c r="H488" s="5"/>
      <c r="I488" s="5"/>
      <c r="J488" s="4"/>
      <c r="K488" s="4"/>
      <c r="L488" s="4"/>
      <c r="M488" s="4"/>
    </row>
    <row r="489" spans="1:13" hidden="1">
      <c r="A489" s="3" t="s">
        <v>13</v>
      </c>
      <c r="B489" s="3"/>
      <c r="C489" s="3"/>
      <c r="D489" s="3">
        <f>D485-D486</f>
        <v>-744</v>
      </c>
      <c r="E489" s="5">
        <f>E487-E488</f>
        <v>-1500.5544999999984</v>
      </c>
      <c r="F489" s="5"/>
      <c r="G489" s="5"/>
      <c r="H489" s="5"/>
      <c r="I489" s="5"/>
      <c r="J489" s="4"/>
      <c r="K489" s="4"/>
      <c r="L489" s="4"/>
      <c r="M489" s="4"/>
    </row>
    <row r="490" spans="1:13" hidden="1"/>
    <row r="491" spans="1:13" hidden="1">
      <c r="A491" s="2">
        <v>44958</v>
      </c>
    </row>
    <row r="492" spans="1:13" hidden="1">
      <c r="A492" s="3" t="s">
        <v>1</v>
      </c>
      <c r="B492" s="3" t="s">
        <v>2</v>
      </c>
      <c r="C492" s="3" t="s">
        <v>3</v>
      </c>
      <c r="D492" s="3" t="s">
        <v>4</v>
      </c>
      <c r="E492" s="3" t="s">
        <v>5</v>
      </c>
      <c r="F492" s="3" t="s">
        <v>37</v>
      </c>
      <c r="G492" s="3" t="s">
        <v>7</v>
      </c>
      <c r="H492" s="3" t="s">
        <v>8</v>
      </c>
      <c r="I492" s="3" t="s">
        <v>15</v>
      </c>
      <c r="J492" s="3" t="s">
        <v>16</v>
      </c>
      <c r="K492" s="3" t="s">
        <v>17</v>
      </c>
      <c r="L492" s="3" t="s">
        <v>18</v>
      </c>
      <c r="M492" s="3" t="s">
        <v>19</v>
      </c>
    </row>
    <row r="493" spans="1:13" hidden="1">
      <c r="A493" s="4" t="s">
        <v>9</v>
      </c>
      <c r="B493" s="4">
        <f>C485</f>
        <v>1173840</v>
      </c>
      <c r="C493" s="4">
        <v>1183420</v>
      </c>
      <c r="D493" s="4">
        <f>C493-B493</f>
        <v>9580</v>
      </c>
      <c r="E493" s="7">
        <f>15421.03*1.15</f>
        <v>17734.184499999999</v>
      </c>
      <c r="F493" s="7">
        <f>1380.37*1.15</f>
        <v>1587.4254999999998</v>
      </c>
      <c r="G493" s="7">
        <f>181.94*1.15</f>
        <v>209.23099999999999</v>
      </c>
      <c r="H493" s="7">
        <f>734.17*1.15</f>
        <v>844.29549999999983</v>
      </c>
      <c r="I493" s="7" t="s">
        <v>20</v>
      </c>
      <c r="J493" s="24" t="s">
        <v>120</v>
      </c>
      <c r="K493" s="7">
        <f>(E493+F493)/D493</f>
        <v>2.0168695198329853</v>
      </c>
      <c r="L493" s="4">
        <v>29</v>
      </c>
      <c r="M493" s="4">
        <f>D493/L493</f>
        <v>330.34482758620692</v>
      </c>
    </row>
    <row r="494" spans="1:13" hidden="1">
      <c r="A494" s="4" t="s">
        <v>10</v>
      </c>
      <c r="B494" s="4">
        <f>C486</f>
        <v>1170871</v>
      </c>
      <c r="C494" s="4">
        <v>1181558</v>
      </c>
      <c r="D494" s="4">
        <f>C494-B494</f>
        <v>10687</v>
      </c>
      <c r="E494" s="7">
        <f>18742.86*1.15</f>
        <v>21554.289000000001</v>
      </c>
      <c r="F494" s="7"/>
      <c r="G494" s="7">
        <f>181.94*1.15</f>
        <v>209.23099999999999</v>
      </c>
      <c r="H494" s="7">
        <f>734.17*1.15</f>
        <v>844.29549999999983</v>
      </c>
      <c r="I494" s="7" t="s">
        <v>20</v>
      </c>
      <c r="J494" s="24" t="s">
        <v>121</v>
      </c>
      <c r="K494" s="11">
        <f>E494/D494</f>
        <v>2.0168699354355759</v>
      </c>
      <c r="L494" s="4">
        <v>28</v>
      </c>
      <c r="M494" s="4">
        <f>D494/L494</f>
        <v>381.67857142857144</v>
      </c>
    </row>
    <row r="495" spans="1:13" hidden="1">
      <c r="A495" s="3" t="s">
        <v>11</v>
      </c>
      <c r="B495" s="3"/>
      <c r="C495" s="3"/>
      <c r="D495" s="3"/>
      <c r="E495" s="5">
        <f>E493+F493+G493+H493</f>
        <v>20375.136500000001</v>
      </c>
      <c r="F495" s="5"/>
      <c r="G495" s="5"/>
      <c r="H495" s="5"/>
      <c r="I495" s="5"/>
      <c r="J495" s="4"/>
      <c r="K495" s="4"/>
      <c r="L495" s="4"/>
      <c r="M495" s="4"/>
    </row>
    <row r="496" spans="1:13" hidden="1">
      <c r="A496" s="3" t="s">
        <v>12</v>
      </c>
      <c r="B496" s="3"/>
      <c r="C496" s="3"/>
      <c r="D496" s="3"/>
      <c r="E496" s="5">
        <f>E494+F494+G494+H494</f>
        <v>22607.815500000001</v>
      </c>
      <c r="F496" s="5"/>
      <c r="G496" s="5"/>
      <c r="H496" s="5"/>
      <c r="I496" s="5"/>
      <c r="J496" s="4"/>
      <c r="K496" s="4"/>
      <c r="L496" s="4"/>
      <c r="M496" s="4"/>
    </row>
    <row r="497" spans="1:13" hidden="1">
      <c r="A497" s="3" t="s">
        <v>13</v>
      </c>
      <c r="B497" s="3"/>
      <c r="C497" s="3"/>
      <c r="D497" s="3">
        <f>D493-D494</f>
        <v>-1107</v>
      </c>
      <c r="E497" s="5">
        <f>E495-E496</f>
        <v>-2232.6790000000001</v>
      </c>
      <c r="F497" s="5"/>
      <c r="G497" s="5"/>
      <c r="H497" s="5"/>
      <c r="I497" s="5"/>
      <c r="J497" s="4"/>
      <c r="K497" s="4"/>
      <c r="L497" s="4"/>
      <c r="M497" s="4"/>
    </row>
    <row r="498" spans="1:13" hidden="1"/>
    <row r="499" spans="1:13" hidden="1">
      <c r="A499" s="2">
        <v>44986</v>
      </c>
    </row>
    <row r="500" spans="1:13" hidden="1">
      <c r="A500" s="3" t="s">
        <v>1</v>
      </c>
      <c r="B500" s="3" t="s">
        <v>2</v>
      </c>
      <c r="C500" s="3" t="s">
        <v>3</v>
      </c>
      <c r="D500" s="3" t="s">
        <v>4</v>
      </c>
      <c r="E500" s="3" t="s">
        <v>5</v>
      </c>
      <c r="F500" s="3" t="s">
        <v>37</v>
      </c>
      <c r="G500" s="3" t="s">
        <v>7</v>
      </c>
      <c r="H500" s="3" t="s">
        <v>8</v>
      </c>
      <c r="I500" s="3" t="s">
        <v>15</v>
      </c>
      <c r="J500" s="3" t="s">
        <v>16</v>
      </c>
      <c r="K500" s="3" t="s">
        <v>17</v>
      </c>
      <c r="L500" s="3" t="s">
        <v>18</v>
      </c>
      <c r="M500" s="3" t="s">
        <v>19</v>
      </c>
    </row>
    <row r="501" spans="1:13" hidden="1">
      <c r="A501" s="4" t="s">
        <v>9</v>
      </c>
      <c r="B501" s="4">
        <f>C493</f>
        <v>1183420</v>
      </c>
      <c r="C501" s="4">
        <v>1193197</v>
      </c>
      <c r="D501" s="4">
        <f>C501-B501</f>
        <v>9777</v>
      </c>
      <c r="E501" s="7">
        <f>15829.67*1.15</f>
        <v>18204.120499999997</v>
      </c>
      <c r="F501" s="7">
        <f>1317.23*1.15</f>
        <v>1514.8145</v>
      </c>
      <c r="G501" s="7">
        <f>181.94*1.15</f>
        <v>209.23099999999999</v>
      </c>
      <c r="H501" s="7">
        <f>734.17*1.15</f>
        <v>844.29549999999983</v>
      </c>
      <c r="I501" s="7" t="s">
        <v>20</v>
      </c>
      <c r="J501" s="24" t="s">
        <v>122</v>
      </c>
      <c r="K501" s="7">
        <f>(E501+F501)/D501</f>
        <v>2.0168696941802184</v>
      </c>
      <c r="L501" s="4">
        <v>28</v>
      </c>
      <c r="M501" s="4">
        <f>D501/L501</f>
        <v>349.17857142857144</v>
      </c>
    </row>
    <row r="502" spans="1:13" hidden="1">
      <c r="A502" s="4" t="s">
        <v>10</v>
      </c>
      <c r="B502" s="4">
        <f>C494</f>
        <v>1181558</v>
      </c>
      <c r="C502" s="4">
        <v>1191287</v>
      </c>
      <c r="D502" s="4">
        <f>C502-B502</f>
        <v>9729</v>
      </c>
      <c r="E502" s="7">
        <f>17062.72*1.15</f>
        <v>19622.128000000001</v>
      </c>
      <c r="F502" s="7"/>
      <c r="G502" s="7">
        <f>181.94*1.15</f>
        <v>209.23099999999999</v>
      </c>
      <c r="H502" s="7">
        <f>734.17*1.15</f>
        <v>844.29549999999983</v>
      </c>
      <c r="I502" s="7" t="s">
        <v>20</v>
      </c>
      <c r="J502" s="24" t="s">
        <v>123</v>
      </c>
      <c r="K502" s="11">
        <f>E502/D502</f>
        <v>2.0168699763593381</v>
      </c>
      <c r="L502" s="4">
        <v>31</v>
      </c>
      <c r="M502" s="4">
        <f>D502/L502</f>
        <v>313.83870967741933</v>
      </c>
    </row>
    <row r="503" spans="1:13" hidden="1">
      <c r="A503" s="3" t="s">
        <v>11</v>
      </c>
      <c r="B503" s="3"/>
      <c r="C503" s="3"/>
      <c r="D503" s="3"/>
      <c r="E503" s="5">
        <f>E501+F501+G501+H501</f>
        <v>20772.461499999998</v>
      </c>
      <c r="F503" s="5"/>
      <c r="G503" s="5"/>
      <c r="H503" s="5"/>
      <c r="I503" s="5"/>
      <c r="J503" s="4"/>
      <c r="K503" s="4"/>
      <c r="L503" s="4"/>
      <c r="M503" s="4"/>
    </row>
    <row r="504" spans="1:13" hidden="1">
      <c r="A504" s="3" t="s">
        <v>12</v>
      </c>
      <c r="B504" s="3"/>
      <c r="C504" s="3"/>
      <c r="D504" s="3"/>
      <c r="E504" s="5">
        <f>E502+F502+G502+H502</f>
        <v>20675.654500000001</v>
      </c>
      <c r="F504" s="5"/>
      <c r="G504" s="5"/>
      <c r="H504" s="5"/>
      <c r="I504" s="5"/>
      <c r="J504" s="4"/>
      <c r="K504" s="4"/>
      <c r="L504" s="4"/>
      <c r="M504" s="4"/>
    </row>
    <row r="505" spans="1:13" hidden="1">
      <c r="A505" s="3" t="s">
        <v>13</v>
      </c>
      <c r="B505" s="3"/>
      <c r="C505" s="3"/>
      <c r="D505" s="3">
        <f>D501-D502</f>
        <v>48</v>
      </c>
      <c r="E505" s="5">
        <f>E503-E504</f>
        <v>96.806999999997061</v>
      </c>
      <c r="F505" s="5"/>
      <c r="G505" s="5"/>
      <c r="H505" s="5"/>
      <c r="I505" s="5"/>
      <c r="J505" s="4"/>
      <c r="K505" s="4"/>
      <c r="L505" s="4"/>
      <c r="M505" s="4"/>
    </row>
    <row r="506" spans="1:13" hidden="1"/>
    <row r="507" spans="1:13" hidden="1">
      <c r="A507" s="2">
        <v>45017</v>
      </c>
    </row>
    <row r="508" spans="1:13" hidden="1">
      <c r="A508" s="3" t="s">
        <v>1</v>
      </c>
      <c r="B508" s="3" t="s">
        <v>2</v>
      </c>
      <c r="C508" s="3" t="s">
        <v>3</v>
      </c>
      <c r="D508" s="3" t="s">
        <v>4</v>
      </c>
      <c r="E508" s="3" t="s">
        <v>5</v>
      </c>
      <c r="F508" s="3" t="s">
        <v>37</v>
      </c>
      <c r="G508" s="3" t="s">
        <v>7</v>
      </c>
      <c r="H508" s="3" t="s">
        <v>8</v>
      </c>
      <c r="I508" s="3" t="s">
        <v>15</v>
      </c>
      <c r="J508" s="3" t="s">
        <v>16</v>
      </c>
      <c r="K508" s="3" t="s">
        <v>17</v>
      </c>
      <c r="L508" s="3" t="s">
        <v>18</v>
      </c>
      <c r="M508" s="3" t="s">
        <v>19</v>
      </c>
    </row>
    <row r="509" spans="1:13" hidden="1">
      <c r="A509" s="4" t="s">
        <v>9</v>
      </c>
      <c r="B509" s="4">
        <f>C501</f>
        <v>1193197</v>
      </c>
      <c r="C509" s="4">
        <v>1205619</v>
      </c>
      <c r="D509" s="4">
        <f>C509-B509</f>
        <v>12422</v>
      </c>
      <c r="E509" s="7">
        <f>20198.33*1.15</f>
        <v>23228.0795</v>
      </c>
      <c r="F509" s="7">
        <f>1587.38*1.15</f>
        <v>1825.4870000000001</v>
      </c>
      <c r="G509" s="7">
        <f>181.94*1.15</f>
        <v>209.23099999999999</v>
      </c>
      <c r="H509" s="7">
        <f>734.17*1.15</f>
        <v>844.29549999999983</v>
      </c>
      <c r="I509" s="7" t="s">
        <v>20</v>
      </c>
      <c r="J509" s="24" t="s">
        <v>124</v>
      </c>
      <c r="K509" s="7">
        <f>(E509+F509)/D509</f>
        <v>2.0168705924971824</v>
      </c>
      <c r="L509" s="4">
        <v>35</v>
      </c>
      <c r="M509" s="4">
        <f>D509/L509</f>
        <v>354.91428571428571</v>
      </c>
    </row>
    <row r="510" spans="1:13" hidden="1">
      <c r="A510" s="4" t="s">
        <v>10</v>
      </c>
      <c r="B510" s="4">
        <f>C502</f>
        <v>1191287</v>
      </c>
      <c r="C510" s="4">
        <v>1202128</v>
      </c>
      <c r="D510" s="4">
        <f>C510-B510</f>
        <v>10841</v>
      </c>
      <c r="E510" s="7">
        <f>19012.95*1.15</f>
        <v>21864.892499999998</v>
      </c>
      <c r="F510" s="7"/>
      <c r="G510" s="7">
        <f>181.94*1.15</f>
        <v>209.23099999999999</v>
      </c>
      <c r="H510" s="7">
        <f>734.17*1.15</f>
        <v>844.29549999999983</v>
      </c>
      <c r="I510" s="7" t="s">
        <v>20</v>
      </c>
      <c r="J510" s="24" t="s">
        <v>125</v>
      </c>
      <c r="K510" s="11">
        <f>E510/D510</f>
        <v>2.0168704455308548</v>
      </c>
      <c r="L510" s="4">
        <v>30</v>
      </c>
      <c r="M510" s="4">
        <f>D510/L510</f>
        <v>361.36666666666667</v>
      </c>
    </row>
    <row r="511" spans="1:13" hidden="1">
      <c r="A511" s="3" t="s">
        <v>11</v>
      </c>
      <c r="B511" s="3"/>
      <c r="C511" s="3"/>
      <c r="D511" s="3"/>
      <c r="E511" s="5">
        <f>E509+F509+G509+H509</f>
        <v>26107.093000000001</v>
      </c>
      <c r="F511" s="5"/>
      <c r="G511" s="5"/>
      <c r="H511" s="5"/>
      <c r="I511" s="5"/>
      <c r="J511" s="4"/>
      <c r="K511" s="4"/>
      <c r="L511" s="4"/>
      <c r="M511" s="4"/>
    </row>
    <row r="512" spans="1:13" hidden="1">
      <c r="A512" s="3" t="s">
        <v>12</v>
      </c>
      <c r="B512" s="3"/>
      <c r="C512" s="3"/>
      <c r="D512" s="3"/>
      <c r="E512" s="5">
        <f>E510+F510+G510+H510</f>
        <v>22918.418999999998</v>
      </c>
      <c r="F512" s="5"/>
      <c r="G512" s="5"/>
      <c r="H512" s="5"/>
      <c r="I512" s="5"/>
      <c r="J512" s="4"/>
      <c r="K512" s="4"/>
      <c r="L512" s="4"/>
      <c r="M512" s="4"/>
    </row>
    <row r="513" spans="1:13" hidden="1">
      <c r="A513" s="3" t="s">
        <v>13</v>
      </c>
      <c r="B513" s="3"/>
      <c r="C513" s="3"/>
      <c r="D513" s="3">
        <f>D509-D510</f>
        <v>1581</v>
      </c>
      <c r="E513" s="5">
        <f>E511-E512</f>
        <v>3188.6740000000027</v>
      </c>
      <c r="F513" s="5"/>
      <c r="G513" s="5"/>
      <c r="H513" s="5"/>
      <c r="I513" s="5"/>
      <c r="J513" s="4"/>
      <c r="K513" s="4"/>
      <c r="L513" s="4"/>
      <c r="M513" s="4"/>
    </row>
    <row r="514" spans="1:13" hidden="1"/>
    <row r="515" spans="1:13" hidden="1">
      <c r="A515" s="2">
        <v>45047</v>
      </c>
    </row>
    <row r="516" spans="1:13" hidden="1">
      <c r="A516" s="3" t="s">
        <v>1</v>
      </c>
      <c r="B516" s="3" t="s">
        <v>2</v>
      </c>
      <c r="C516" s="3" t="s">
        <v>3</v>
      </c>
      <c r="D516" s="3" t="s">
        <v>4</v>
      </c>
      <c r="E516" s="3" t="s">
        <v>5</v>
      </c>
      <c r="F516" s="3" t="s">
        <v>37</v>
      </c>
      <c r="G516" s="3" t="s">
        <v>7</v>
      </c>
      <c r="H516" s="3" t="s">
        <v>8</v>
      </c>
      <c r="I516" s="3" t="s">
        <v>15</v>
      </c>
      <c r="J516" s="3" t="s">
        <v>16</v>
      </c>
      <c r="K516" s="3" t="s">
        <v>17</v>
      </c>
      <c r="L516" s="3" t="s">
        <v>18</v>
      </c>
      <c r="M516" s="3" t="s">
        <v>19</v>
      </c>
    </row>
    <row r="517" spans="1:13" hidden="1">
      <c r="A517" s="4" t="s">
        <v>9</v>
      </c>
      <c r="B517" s="4">
        <f>C509</f>
        <v>1205619</v>
      </c>
      <c r="C517" s="4">
        <v>1216149</v>
      </c>
      <c r="D517" s="4">
        <f>C517-B517</f>
        <v>10530</v>
      </c>
      <c r="E517" s="7">
        <f>16875.13*1.15</f>
        <v>19406.3995</v>
      </c>
      <c r="F517" s="7">
        <f>1592.38*1.15</f>
        <v>1831.2370000000001</v>
      </c>
      <c r="G517" s="7">
        <f>181.94*1.15</f>
        <v>209.23099999999999</v>
      </c>
      <c r="H517" s="7">
        <f>734.17*1.15</f>
        <v>844.29549999999983</v>
      </c>
      <c r="I517" s="7" t="s">
        <v>20</v>
      </c>
      <c r="J517" s="24" t="s">
        <v>126</v>
      </c>
      <c r="K517" s="7">
        <f>(E517+F517)/D517</f>
        <v>2.0168695631528966</v>
      </c>
      <c r="L517" s="4">
        <v>27</v>
      </c>
      <c r="M517" s="4">
        <f>D517/L517</f>
        <v>390</v>
      </c>
    </row>
    <row r="518" spans="1:13" hidden="1">
      <c r="A518" s="4" t="s">
        <v>10</v>
      </c>
      <c r="B518" s="4">
        <f>C510</f>
        <v>1202128</v>
      </c>
      <c r="C518" s="4">
        <v>1213358</v>
      </c>
      <c r="D518" s="4">
        <f>C518-B518</f>
        <v>11230</v>
      </c>
      <c r="E518" s="7">
        <f>19695.17*1.15</f>
        <v>22649.445499999998</v>
      </c>
      <c r="F518" s="7"/>
      <c r="G518" s="7">
        <f>181.94*1.15</f>
        <v>209.23099999999999</v>
      </c>
      <c r="H518" s="7">
        <f>734.17*1.15</f>
        <v>844.29549999999983</v>
      </c>
      <c r="I518" s="7" t="s">
        <v>20</v>
      </c>
      <c r="J518" s="24" t="s">
        <v>127</v>
      </c>
      <c r="K518" s="11">
        <f>E518/D518</f>
        <v>2.0168695903829028</v>
      </c>
      <c r="L518" s="4">
        <v>31</v>
      </c>
      <c r="M518" s="4">
        <f>D518/L518</f>
        <v>362.25806451612902</v>
      </c>
    </row>
    <row r="519" spans="1:13" hidden="1">
      <c r="A519" s="3" t="s">
        <v>11</v>
      </c>
      <c r="B519" s="3"/>
      <c r="C519" s="3"/>
      <c r="D519" s="3"/>
      <c r="E519" s="5">
        <f>E517+F517+G517+H517</f>
        <v>22291.163</v>
      </c>
      <c r="F519" s="5"/>
      <c r="G519" s="5"/>
      <c r="H519" s="5"/>
      <c r="I519" s="5"/>
      <c r="J519" s="4"/>
      <c r="K519" s="4"/>
      <c r="L519" s="4"/>
      <c r="M519" s="4"/>
    </row>
    <row r="520" spans="1:13" hidden="1">
      <c r="A520" s="3" t="s">
        <v>12</v>
      </c>
      <c r="B520" s="3"/>
      <c r="C520" s="3"/>
      <c r="D520" s="3"/>
      <c r="E520" s="5">
        <f>E518+F518+G518+H518</f>
        <v>23702.971999999998</v>
      </c>
      <c r="F520" s="5"/>
      <c r="G520" s="5"/>
      <c r="H520" s="5"/>
      <c r="I520" s="5"/>
      <c r="J520" s="4"/>
      <c r="K520" s="4"/>
      <c r="L520" s="4"/>
      <c r="M520" s="4"/>
    </row>
    <row r="521" spans="1:13" hidden="1">
      <c r="A521" s="3" t="s">
        <v>13</v>
      </c>
      <c r="B521" s="3"/>
      <c r="C521" s="3"/>
      <c r="D521" s="3">
        <f>D517-D518</f>
        <v>-700</v>
      </c>
      <c r="E521" s="5">
        <f>E519-E520</f>
        <v>-1411.8089999999975</v>
      </c>
      <c r="F521" s="5"/>
      <c r="G521" s="5"/>
      <c r="H521" s="5"/>
      <c r="I521" s="5"/>
      <c r="J521" s="4"/>
      <c r="K521" s="4"/>
      <c r="L521" s="4"/>
      <c r="M521" s="4"/>
    </row>
    <row r="522" spans="1:13" hidden="1"/>
    <row r="523" spans="1:13" hidden="1">
      <c r="A523" s="31">
        <v>45078</v>
      </c>
    </row>
    <row r="524" spans="1:13" hidden="1">
      <c r="A524" s="3" t="s">
        <v>1</v>
      </c>
      <c r="B524" s="3" t="s">
        <v>2</v>
      </c>
      <c r="C524" s="3" t="s">
        <v>3</v>
      </c>
      <c r="D524" s="3" t="s">
        <v>4</v>
      </c>
      <c r="E524" s="3" t="s">
        <v>5</v>
      </c>
      <c r="F524" s="3" t="s">
        <v>37</v>
      </c>
      <c r="G524" s="3" t="s">
        <v>7</v>
      </c>
      <c r="H524" s="3" t="s">
        <v>8</v>
      </c>
      <c r="I524" s="3" t="s">
        <v>15</v>
      </c>
      <c r="J524" s="3" t="s">
        <v>16</v>
      </c>
      <c r="K524" s="3" t="s">
        <v>17</v>
      </c>
      <c r="L524" s="3" t="s">
        <v>18</v>
      </c>
      <c r="M524" s="3" t="s">
        <v>19</v>
      </c>
    </row>
    <row r="525" spans="1:13" hidden="1">
      <c r="A525" s="4" t="s">
        <v>9</v>
      </c>
      <c r="B525" s="4">
        <f>C517</f>
        <v>1216149</v>
      </c>
      <c r="C525" s="4">
        <v>1228128</v>
      </c>
      <c r="D525" s="4">
        <f>C525-B525</f>
        <v>11979</v>
      </c>
      <c r="E525" s="7">
        <f>19280.63*1.15</f>
        <v>22172.7245</v>
      </c>
      <c r="F525" s="7">
        <f>1728.14*1.15</f>
        <v>1987.3609999999999</v>
      </c>
      <c r="G525" s="7">
        <f>209.18*1.15</f>
        <v>240.55699999999999</v>
      </c>
      <c r="H525" s="7">
        <f>844.08*1.15</f>
        <v>970.69200000000001</v>
      </c>
      <c r="I525" s="7" t="s">
        <v>20</v>
      </c>
      <c r="J525" s="24" t="s">
        <v>128</v>
      </c>
      <c r="K525" s="7">
        <f>(E525+F525)/D525</f>
        <v>2.0168699807997328</v>
      </c>
      <c r="L525" s="4">
        <v>29</v>
      </c>
      <c r="M525" s="4">
        <f>D525/L525</f>
        <v>413.06896551724139</v>
      </c>
    </row>
    <row r="526" spans="1:13" hidden="1">
      <c r="A526" s="4" t="s">
        <v>10</v>
      </c>
      <c r="B526" s="4">
        <f>C518</f>
        <v>1213358</v>
      </c>
      <c r="C526" s="4">
        <v>1226110</v>
      </c>
      <c r="D526" s="4">
        <f>C526-B526</f>
        <v>12752</v>
      </c>
      <c r="E526" s="7">
        <f>22364.46*1.15</f>
        <v>25719.128999999997</v>
      </c>
      <c r="F526" s="7"/>
      <c r="G526" s="7">
        <f>209.18*1.15</f>
        <v>240.55699999999999</v>
      </c>
      <c r="H526" s="7">
        <f>844.08*1.15</f>
        <v>970.69200000000001</v>
      </c>
      <c r="I526" s="7" t="s">
        <v>20</v>
      </c>
      <c r="J526" s="24" t="s">
        <v>129</v>
      </c>
      <c r="K526" s="11">
        <f>E526/D526</f>
        <v>2.016870216436637</v>
      </c>
      <c r="L526" s="4">
        <v>30</v>
      </c>
      <c r="M526" s="4">
        <f>D526/L526</f>
        <v>425.06666666666666</v>
      </c>
    </row>
    <row r="527" spans="1:13" hidden="1">
      <c r="A527" s="3" t="s">
        <v>11</v>
      </c>
      <c r="B527" s="3"/>
      <c r="C527" s="3"/>
      <c r="D527" s="3"/>
      <c r="E527" s="5">
        <f>E525+F525+G525+H525</f>
        <v>25371.334500000001</v>
      </c>
      <c r="F527" s="5"/>
      <c r="G527" s="5"/>
      <c r="H527" s="5"/>
      <c r="I527" s="5"/>
      <c r="J527" s="4"/>
      <c r="K527" s="4"/>
      <c r="L527" s="4"/>
      <c r="M527" s="4"/>
    </row>
    <row r="528" spans="1:13" hidden="1">
      <c r="A528" s="3" t="s">
        <v>12</v>
      </c>
      <c r="B528" s="3"/>
      <c r="C528" s="3"/>
      <c r="D528" s="3"/>
      <c r="E528" s="5">
        <f>E526+F526+G526+H526</f>
        <v>26930.377999999997</v>
      </c>
      <c r="F528" s="5"/>
      <c r="G528" s="5"/>
      <c r="H528" s="5"/>
      <c r="I528" s="5"/>
      <c r="J528" s="4"/>
      <c r="K528" s="4"/>
      <c r="L528" s="4"/>
      <c r="M528" s="4"/>
    </row>
    <row r="529" spans="1:13" hidden="1">
      <c r="A529" s="3" t="s">
        <v>13</v>
      </c>
      <c r="B529" s="3"/>
      <c r="C529" s="3"/>
      <c r="D529" s="3">
        <f>D525-D526</f>
        <v>-773</v>
      </c>
      <c r="E529" s="5">
        <f>E527-E528</f>
        <v>-1559.0434999999961</v>
      </c>
      <c r="F529" s="5"/>
      <c r="G529" s="5"/>
      <c r="H529" s="5"/>
      <c r="I529" s="5"/>
      <c r="J529" s="4"/>
      <c r="K529" s="4"/>
      <c r="L529" s="4"/>
      <c r="M529" s="4"/>
    </row>
    <row r="530" spans="1:13" hidden="1"/>
    <row r="531" spans="1:13" hidden="1">
      <c r="A531" s="31">
        <v>45108</v>
      </c>
    </row>
    <row r="532" spans="1:13" hidden="1">
      <c r="A532" s="3" t="s">
        <v>1</v>
      </c>
      <c r="B532" s="3" t="s">
        <v>2</v>
      </c>
      <c r="C532" s="3" t="s">
        <v>3</v>
      </c>
      <c r="D532" s="3" t="s">
        <v>4</v>
      </c>
      <c r="E532" s="3" t="s">
        <v>5</v>
      </c>
      <c r="F532" s="3" t="s">
        <v>37</v>
      </c>
      <c r="G532" s="3" t="s">
        <v>7</v>
      </c>
      <c r="H532" s="3" t="s">
        <v>8</v>
      </c>
      <c r="I532" s="3" t="s">
        <v>15</v>
      </c>
      <c r="J532" s="3" t="s">
        <v>16</v>
      </c>
      <c r="K532" s="3" t="s">
        <v>17</v>
      </c>
      <c r="L532" s="3" t="s">
        <v>18</v>
      </c>
      <c r="M532" s="3" t="s">
        <v>19</v>
      </c>
    </row>
    <row r="533" spans="1:13" hidden="1">
      <c r="A533" s="4" t="s">
        <v>9</v>
      </c>
      <c r="B533" s="4">
        <f>C525</f>
        <v>1228128</v>
      </c>
      <c r="C533" s="4">
        <v>1243594</v>
      </c>
      <c r="D533" s="4">
        <f>C533-B533</f>
        <v>15466</v>
      </c>
      <c r="E533" s="7">
        <f>29248.87*1.15</f>
        <v>33636.200499999999</v>
      </c>
      <c r="F533" s="7">
        <f>2073.96*1.15</f>
        <v>2385.0539999999996</v>
      </c>
      <c r="G533" s="7">
        <f>209.18*1.15</f>
        <v>240.55699999999999</v>
      </c>
      <c r="H533" s="7">
        <f>844.08*1.15</f>
        <v>970.69200000000001</v>
      </c>
      <c r="I533" s="7" t="s">
        <v>20</v>
      </c>
      <c r="J533" s="24" t="s">
        <v>130</v>
      </c>
      <c r="K533" s="7">
        <f>(E533+F533)/D533</f>
        <v>2.3290608108108106</v>
      </c>
      <c r="L533" s="4">
        <v>35</v>
      </c>
      <c r="M533" s="4">
        <f>D533/L533</f>
        <v>441.8857142857143</v>
      </c>
    </row>
    <row r="534" spans="1:13" hidden="1">
      <c r="A534" s="4" t="s">
        <v>10</v>
      </c>
      <c r="B534" s="4">
        <f>C526</f>
        <v>1226110</v>
      </c>
      <c r="C534" s="4">
        <v>1239174</v>
      </c>
      <c r="D534" s="4">
        <f>C534-B534</f>
        <v>13064</v>
      </c>
      <c r="E534" s="7">
        <f>26340.94*1.15</f>
        <v>30292.080999999995</v>
      </c>
      <c r="F534" s="7"/>
      <c r="G534" s="7">
        <f>209.18*1.15</f>
        <v>240.55699999999999</v>
      </c>
      <c r="H534" s="7">
        <f>844.08*1.15</f>
        <v>970.69200000000001</v>
      </c>
      <c r="I534" s="7" t="s">
        <v>20</v>
      </c>
      <c r="J534" s="24" t="s">
        <v>131</v>
      </c>
      <c r="K534" s="7">
        <f>(E534+F534)/D534</f>
        <v>2.3187447183098588</v>
      </c>
      <c r="L534" s="4">
        <v>31</v>
      </c>
      <c r="M534" s="4">
        <f>D534/L534</f>
        <v>421.41935483870969</v>
      </c>
    </row>
    <row r="535" spans="1:13" hidden="1">
      <c r="A535" s="3" t="s">
        <v>11</v>
      </c>
      <c r="B535" s="3"/>
      <c r="C535" s="3"/>
      <c r="D535" s="3"/>
      <c r="E535" s="5">
        <f>E533+F533+G533+H533</f>
        <v>37232.503499999999</v>
      </c>
      <c r="F535" s="5"/>
      <c r="G535" s="5"/>
      <c r="H535" s="5"/>
      <c r="I535" s="5"/>
      <c r="J535" s="4"/>
      <c r="K535" s="4"/>
      <c r="L535" s="4"/>
      <c r="M535" s="4"/>
    </row>
    <row r="536" spans="1:13" hidden="1">
      <c r="A536" s="3" t="s">
        <v>12</v>
      </c>
      <c r="B536" s="3"/>
      <c r="C536" s="3"/>
      <c r="D536" s="3"/>
      <c r="E536" s="5">
        <f>E534+F534+G534+H534</f>
        <v>31503.329999999994</v>
      </c>
      <c r="F536" s="5"/>
      <c r="G536" s="5"/>
      <c r="H536" s="5"/>
      <c r="I536" s="5"/>
      <c r="J536" s="4"/>
      <c r="K536" s="4"/>
      <c r="L536" s="4"/>
      <c r="M536" s="4"/>
    </row>
    <row r="537" spans="1:13" hidden="1">
      <c r="A537" s="3" t="s">
        <v>13</v>
      </c>
      <c r="B537" s="3"/>
      <c r="C537" s="3"/>
      <c r="D537" s="3">
        <f>D533-D534</f>
        <v>2402</v>
      </c>
      <c r="E537" s="5">
        <f>E535-E536</f>
        <v>5729.1735000000044</v>
      </c>
      <c r="F537" s="5"/>
      <c r="G537" s="5"/>
      <c r="H537" s="5"/>
      <c r="I537" s="5"/>
      <c r="J537" s="4"/>
      <c r="K537" s="4"/>
      <c r="L537" s="4"/>
      <c r="M537" s="4"/>
    </row>
    <row r="538" spans="1:13" hidden="1"/>
    <row r="539" spans="1:13" hidden="1">
      <c r="A539" s="31">
        <v>45139</v>
      </c>
    </row>
    <row r="540" spans="1:13" hidden="1">
      <c r="A540" s="3" t="s">
        <v>1</v>
      </c>
      <c r="B540" s="3" t="s">
        <v>2</v>
      </c>
      <c r="C540" s="3" t="s">
        <v>3</v>
      </c>
      <c r="D540" s="3" t="s">
        <v>4</v>
      </c>
      <c r="E540" s="3" t="s">
        <v>5</v>
      </c>
      <c r="F540" s="3" t="s">
        <v>37</v>
      </c>
      <c r="G540" s="3" t="s">
        <v>7</v>
      </c>
      <c r="H540" s="3" t="s">
        <v>8</v>
      </c>
      <c r="I540" s="3" t="s">
        <v>15</v>
      </c>
      <c r="J540" s="3" t="s">
        <v>16</v>
      </c>
      <c r="K540" s="3" t="s">
        <v>17</v>
      </c>
      <c r="L540" s="3" t="s">
        <v>18</v>
      </c>
      <c r="M540" s="3" t="s">
        <v>19</v>
      </c>
    </row>
    <row r="541" spans="1:13" hidden="1">
      <c r="A541" s="4" t="s">
        <v>9</v>
      </c>
      <c r="B541" s="4">
        <f>C533</f>
        <v>1243594</v>
      </c>
      <c r="C541" s="4">
        <v>1255379</v>
      </c>
      <c r="D541" s="4">
        <f>C541-B541</f>
        <v>11785</v>
      </c>
      <c r="E541" s="7">
        <f>21938.94*1.15</f>
        <v>25229.780999999995</v>
      </c>
      <c r="F541" s="7">
        <f>1823.15*1.15</f>
        <v>2096.6224999999999</v>
      </c>
      <c r="G541" s="7">
        <f>209.18*1.15</f>
        <v>240.55699999999999</v>
      </c>
      <c r="H541" s="7">
        <f>844.08*1.15</f>
        <v>970.69200000000001</v>
      </c>
      <c r="I541" s="7" t="s">
        <v>20</v>
      </c>
      <c r="J541" s="24" t="s">
        <v>132</v>
      </c>
      <c r="K541" s="7">
        <f>(E541+F541)/D541</f>
        <v>2.3187444633008059</v>
      </c>
      <c r="L541" s="4">
        <v>28</v>
      </c>
      <c r="M541" s="4">
        <f>D541/L541</f>
        <v>420.89285714285717</v>
      </c>
    </row>
    <row r="542" spans="1:13" hidden="1">
      <c r="A542" s="4" t="s">
        <v>10</v>
      </c>
      <c r="B542" s="4">
        <f>C534</f>
        <v>1239174</v>
      </c>
      <c r="C542" s="4">
        <v>1252920</v>
      </c>
      <c r="D542" s="4">
        <f>C542-B542</f>
        <v>13746</v>
      </c>
      <c r="E542" s="7">
        <f>27716.06*1.15</f>
        <v>31873.468999999997</v>
      </c>
      <c r="F542" s="7"/>
      <c r="G542" s="7">
        <f>209.18*1.15</f>
        <v>240.55699999999999</v>
      </c>
      <c r="H542" s="7">
        <f>844.08*1.15</f>
        <v>970.69200000000001</v>
      </c>
      <c r="I542" s="7" t="s">
        <v>20</v>
      </c>
      <c r="J542" s="24" t="s">
        <v>133</v>
      </c>
      <c r="K542" s="7">
        <f>(E542+F542)/D542</f>
        <v>2.31874501673214</v>
      </c>
      <c r="L542" s="4">
        <v>31</v>
      </c>
      <c r="M542" s="4">
        <f>D542/L542</f>
        <v>443.41935483870969</v>
      </c>
    </row>
    <row r="543" spans="1:13" hidden="1">
      <c r="A543" s="3" t="s">
        <v>11</v>
      </c>
      <c r="B543" s="3"/>
      <c r="C543" s="3"/>
      <c r="D543" s="3"/>
      <c r="E543" s="5">
        <f>E541+F541+G541+H541</f>
        <v>28537.652499999997</v>
      </c>
      <c r="F543" s="5"/>
      <c r="G543" s="5"/>
      <c r="H543" s="5"/>
      <c r="I543" s="5"/>
      <c r="J543" s="4"/>
      <c r="K543" s="4"/>
      <c r="L543" s="4"/>
      <c r="M543" s="4"/>
    </row>
    <row r="544" spans="1:13" hidden="1">
      <c r="A544" s="3" t="s">
        <v>12</v>
      </c>
      <c r="B544" s="3"/>
      <c r="C544" s="3"/>
      <c r="D544" s="3"/>
      <c r="E544" s="5">
        <f>E542+F542+G542+H542</f>
        <v>33084.718000000001</v>
      </c>
      <c r="F544" s="5"/>
      <c r="G544" s="5"/>
      <c r="H544" s="5"/>
      <c r="I544" s="5"/>
      <c r="J544" s="4"/>
      <c r="K544" s="4"/>
      <c r="L544" s="4"/>
      <c r="M544" s="4"/>
    </row>
    <row r="545" spans="1:13" hidden="1">
      <c r="A545" s="3" t="s">
        <v>13</v>
      </c>
      <c r="B545" s="3"/>
      <c r="C545" s="3"/>
      <c r="D545" s="3">
        <f>D541-D542</f>
        <v>-1961</v>
      </c>
      <c r="E545" s="5">
        <f>E543-E544</f>
        <v>-4547.0655000000042</v>
      </c>
      <c r="F545" s="5"/>
      <c r="G545" s="5"/>
      <c r="H545" s="5"/>
      <c r="I545" s="5"/>
      <c r="J545" s="4"/>
      <c r="K545" s="4"/>
      <c r="L545" s="4"/>
      <c r="M545" s="4"/>
    </row>
    <row r="546" spans="1:13" hidden="1"/>
    <row r="547" spans="1:13" hidden="1">
      <c r="A547" s="31">
        <v>45170</v>
      </c>
    </row>
    <row r="548" spans="1:13" hidden="1">
      <c r="A548" s="3" t="s">
        <v>1</v>
      </c>
      <c r="B548" s="3" t="s">
        <v>2</v>
      </c>
      <c r="C548" s="3" t="s">
        <v>3</v>
      </c>
      <c r="D548" s="3" t="s">
        <v>4</v>
      </c>
      <c r="E548" s="3" t="s">
        <v>5</v>
      </c>
      <c r="F548" s="3" t="s">
        <v>37</v>
      </c>
      <c r="G548" s="3" t="s">
        <v>7</v>
      </c>
      <c r="H548" s="3" t="s">
        <v>8</v>
      </c>
      <c r="I548" s="3" t="s">
        <v>15</v>
      </c>
      <c r="J548" s="3" t="s">
        <v>16</v>
      </c>
      <c r="K548" s="3" t="s">
        <v>17</v>
      </c>
      <c r="L548" s="3" t="s">
        <v>18</v>
      </c>
      <c r="M548" s="3" t="s">
        <v>19</v>
      </c>
    </row>
    <row r="549" spans="1:13" hidden="1">
      <c r="A549" s="4" t="s">
        <v>9</v>
      </c>
      <c r="B549" s="4">
        <f>C541</f>
        <v>1255379</v>
      </c>
      <c r="C549" s="4">
        <v>1265584</v>
      </c>
      <c r="D549" s="4">
        <f>C549-B549</f>
        <v>10205</v>
      </c>
      <c r="E549" s="7">
        <f>18856.64*1.15</f>
        <v>21685.135999999999</v>
      </c>
      <c r="F549" s="7">
        <f>1719.7*1.15</f>
        <v>1977.655</v>
      </c>
      <c r="G549" s="7">
        <f>209.18*1.15</f>
        <v>240.55699999999999</v>
      </c>
      <c r="H549" s="7">
        <f>844.08*1.15</f>
        <v>970.69200000000001</v>
      </c>
      <c r="I549" s="7" t="s">
        <v>20</v>
      </c>
      <c r="J549" s="24" t="s">
        <v>134</v>
      </c>
      <c r="K549" s="7">
        <f>(E549+F549)/D549</f>
        <v>2.3187448309652128</v>
      </c>
      <c r="L549" s="4">
        <v>28</v>
      </c>
      <c r="M549" s="4">
        <f>D549/L549</f>
        <v>364.46428571428572</v>
      </c>
    </row>
    <row r="550" spans="1:13" hidden="1">
      <c r="A550" s="4" t="s">
        <v>10</v>
      </c>
      <c r="B550" s="4">
        <f>C542</f>
        <v>1252920</v>
      </c>
      <c r="C550" s="4">
        <v>1264312</v>
      </c>
      <c r="D550" s="4">
        <f>C550-B550</f>
        <v>11392</v>
      </c>
      <c r="E550" s="7">
        <f>22969.69*1.15</f>
        <v>26415.143499999995</v>
      </c>
      <c r="F550" s="7"/>
      <c r="G550" s="7">
        <f>209.18*1.15</f>
        <v>240.55699999999999</v>
      </c>
      <c r="H550" s="7">
        <f>844.08*1.15</f>
        <v>970.69200000000001</v>
      </c>
      <c r="I550" s="7" t="s">
        <v>20</v>
      </c>
      <c r="J550" s="24" t="s">
        <v>135</v>
      </c>
      <c r="K550" s="7">
        <f>(E550+F550)/D550</f>
        <v>2.3187450403792131</v>
      </c>
      <c r="L550" s="4">
        <v>30</v>
      </c>
      <c r="M550" s="4">
        <f>D550/L550</f>
        <v>379.73333333333335</v>
      </c>
    </row>
    <row r="551" spans="1:13" hidden="1">
      <c r="A551" s="3" t="s">
        <v>11</v>
      </c>
      <c r="B551" s="3"/>
      <c r="C551" s="3"/>
      <c r="D551" s="3"/>
      <c r="E551" s="5">
        <f>E549+F549+G549+H549</f>
        <v>24874.039999999997</v>
      </c>
      <c r="F551" s="5"/>
      <c r="G551" s="5"/>
      <c r="H551" s="5"/>
      <c r="I551" s="5"/>
      <c r="J551" s="4"/>
      <c r="K551" s="4"/>
      <c r="L551" s="4"/>
      <c r="M551" s="4"/>
    </row>
    <row r="552" spans="1:13" hidden="1">
      <c r="A552" s="3" t="s">
        <v>12</v>
      </c>
      <c r="B552" s="3"/>
      <c r="C552" s="3"/>
      <c r="D552" s="3"/>
      <c r="E552" s="5">
        <f>E550+F550+G550+H550</f>
        <v>27626.392499999994</v>
      </c>
      <c r="F552" s="5"/>
      <c r="G552" s="5"/>
      <c r="H552" s="5"/>
      <c r="I552" s="5"/>
      <c r="J552" s="4"/>
      <c r="K552" s="4"/>
      <c r="L552" s="4"/>
      <c r="M552" s="4"/>
    </row>
    <row r="553" spans="1:13" hidden="1">
      <c r="A553" s="3" t="s">
        <v>13</v>
      </c>
      <c r="B553" s="3"/>
      <c r="C553" s="3"/>
      <c r="D553" s="3">
        <f>D549-D550</f>
        <v>-1187</v>
      </c>
      <c r="E553" s="5">
        <f>E551-E552</f>
        <v>-2752.3524999999972</v>
      </c>
      <c r="F553" s="5"/>
      <c r="G553" s="5"/>
      <c r="H553" s="5"/>
      <c r="I553" s="5"/>
      <c r="J553" s="4"/>
      <c r="K553" s="4"/>
      <c r="L553" s="4"/>
      <c r="M553" s="4"/>
    </row>
    <row r="555" spans="1:13">
      <c r="A555" s="2">
        <v>45222</v>
      </c>
    </row>
    <row r="556" spans="1:13">
      <c r="A556" s="33" t="s">
        <v>1</v>
      </c>
      <c r="B556" s="33" t="s">
        <v>2</v>
      </c>
      <c r="C556" s="33" t="s">
        <v>3</v>
      </c>
      <c r="D556" s="33" t="s">
        <v>4</v>
      </c>
      <c r="E556" s="33" t="s">
        <v>5</v>
      </c>
      <c r="F556" s="33" t="s">
        <v>37</v>
      </c>
      <c r="G556" s="33" t="s">
        <v>7</v>
      </c>
      <c r="H556" s="33" t="s">
        <v>8</v>
      </c>
      <c r="I556" s="33" t="s">
        <v>15</v>
      </c>
      <c r="J556" s="33" t="s">
        <v>16</v>
      </c>
      <c r="K556" s="33" t="s">
        <v>17</v>
      </c>
      <c r="L556" s="33" t="s">
        <v>18</v>
      </c>
      <c r="M556" s="33" t="s">
        <v>19</v>
      </c>
    </row>
    <row r="557" spans="1:13">
      <c r="A557" s="32" t="s">
        <v>9</v>
      </c>
      <c r="B557" s="32">
        <f>C549</f>
        <v>1265584</v>
      </c>
      <c r="C557" s="32">
        <v>1278932</v>
      </c>
      <c r="D557" s="32">
        <f>C557-B557</f>
        <v>13348</v>
      </c>
      <c r="E557" s="34">
        <f>24790.25*1.15</f>
        <v>28508.787499999999</v>
      </c>
      <c r="F557" s="34">
        <f>2123.32*1.15</f>
        <v>2441.8180000000002</v>
      </c>
      <c r="G557" s="34">
        <f>209.18*1.15</f>
        <v>240.55699999999999</v>
      </c>
      <c r="H557" s="34">
        <f>844.08*1.15</f>
        <v>970.69200000000001</v>
      </c>
      <c r="I557" s="32" t="s">
        <v>20</v>
      </c>
      <c r="J557" s="32" t="s">
        <v>136</v>
      </c>
      <c r="K557" s="35">
        <f>(E557+F557)/D557</f>
        <v>2.3187447932274496</v>
      </c>
      <c r="L557" s="32">
        <v>33</v>
      </c>
      <c r="M557" s="32">
        <f>D557/L557</f>
        <v>404.4848484848485</v>
      </c>
    </row>
    <row r="558" spans="1:13">
      <c r="A558" s="32" t="s">
        <v>10</v>
      </c>
      <c r="B558" s="32">
        <f>C550</f>
        <v>1264312</v>
      </c>
      <c r="C558" s="32">
        <v>1275695</v>
      </c>
      <c r="D558" s="32">
        <f>C558-B558</f>
        <v>11383</v>
      </c>
      <c r="E558" s="34">
        <f>22951.54*1.15</f>
        <v>26394.271000000001</v>
      </c>
      <c r="F558" s="32"/>
      <c r="G558" s="34">
        <f>209.18*1.15</f>
        <v>240.55699999999999</v>
      </c>
      <c r="H558" s="34">
        <f>844.08*1.15</f>
        <v>970.69200000000001</v>
      </c>
      <c r="I558" s="32" t="s">
        <v>20</v>
      </c>
      <c r="J558" s="32" t="s">
        <v>137</v>
      </c>
      <c r="K558" s="35">
        <f>(E558+F558)/D558</f>
        <v>2.3187447070192393</v>
      </c>
      <c r="L558" s="32">
        <v>31</v>
      </c>
      <c r="M558" s="32">
        <f>D558/L558</f>
        <v>367.19354838709677</v>
      </c>
    </row>
    <row r="559" spans="1:13">
      <c r="A559" s="33" t="s">
        <v>11</v>
      </c>
      <c r="B559" s="33"/>
      <c r="C559" s="33"/>
      <c r="D559" s="33"/>
      <c r="E559" s="36">
        <f>E557+F557+G557+H557</f>
        <v>32161.854499999998</v>
      </c>
      <c r="F559" s="32"/>
      <c r="G559" s="34"/>
      <c r="H559" s="32"/>
      <c r="I559" s="32"/>
      <c r="J559" s="32"/>
      <c r="K559" s="35"/>
      <c r="L559" s="32"/>
      <c r="M559" s="32"/>
    </row>
    <row r="560" spans="1:13">
      <c r="A560" s="33" t="s">
        <v>12</v>
      </c>
      <c r="B560" s="33"/>
      <c r="C560" s="33"/>
      <c r="D560" s="33"/>
      <c r="E560" s="36">
        <f>E558+F558+G558+H558</f>
        <v>27605.52</v>
      </c>
      <c r="F560" s="32"/>
      <c r="G560" s="32"/>
      <c r="H560" s="32"/>
      <c r="I560" s="32"/>
      <c r="J560" s="32"/>
      <c r="K560" s="32"/>
      <c r="L560" s="32"/>
      <c r="M560" s="32"/>
    </row>
    <row r="561" spans="1:13">
      <c r="A561" s="33" t="s">
        <v>13</v>
      </c>
      <c r="B561" s="33"/>
      <c r="C561" s="33"/>
      <c r="D561" s="33">
        <f>D557-D558</f>
        <v>1965</v>
      </c>
      <c r="E561" s="36">
        <f>E559-E560</f>
        <v>4556.3344999999972</v>
      </c>
      <c r="F561" s="32"/>
      <c r="G561" s="32"/>
      <c r="H561" s="32"/>
      <c r="I561" s="32"/>
      <c r="J561" s="32"/>
      <c r="K561" s="32"/>
      <c r="L561" s="32"/>
      <c r="M561" s="32"/>
    </row>
    <row r="563" spans="1:13">
      <c r="A563" s="2">
        <v>45253</v>
      </c>
    </row>
    <row r="564" spans="1:13">
      <c r="A564" s="33" t="s">
        <v>1</v>
      </c>
      <c r="B564" s="33" t="s">
        <v>2</v>
      </c>
      <c r="C564" s="33" t="s">
        <v>3</v>
      </c>
      <c r="D564" s="33" t="s">
        <v>4</v>
      </c>
      <c r="E564" s="33" t="s">
        <v>5</v>
      </c>
      <c r="F564" s="33" t="s">
        <v>37</v>
      </c>
      <c r="G564" s="33" t="s">
        <v>7</v>
      </c>
      <c r="H564" s="33" t="s">
        <v>8</v>
      </c>
      <c r="I564" s="33" t="s">
        <v>15</v>
      </c>
      <c r="J564" s="33" t="s">
        <v>16</v>
      </c>
      <c r="K564" s="33" t="s">
        <v>17</v>
      </c>
      <c r="L564" s="33" t="s">
        <v>18</v>
      </c>
      <c r="M564" s="33" t="s">
        <v>19</v>
      </c>
    </row>
    <row r="565" spans="1:13">
      <c r="A565" s="32" t="s">
        <v>9</v>
      </c>
      <c r="B565" s="32">
        <f>C557</f>
        <v>1278932</v>
      </c>
      <c r="C565" s="32">
        <v>1288924</v>
      </c>
      <c r="D565" s="32">
        <f>C565-B565</f>
        <v>9992</v>
      </c>
      <c r="E565" s="34">
        <f>18440.17*1.15</f>
        <v>21206.195499999998</v>
      </c>
      <c r="F565" s="34">
        <f>1706.7*1.15</f>
        <v>1962.7049999999999</v>
      </c>
      <c r="G565" s="34">
        <f>209.18*1.15</f>
        <v>240.55699999999999</v>
      </c>
      <c r="H565" s="34">
        <f>844.08*1.15</f>
        <v>970.69200000000001</v>
      </c>
      <c r="I565" s="32" t="s">
        <v>20</v>
      </c>
      <c r="J565" s="32" t="s">
        <v>138</v>
      </c>
      <c r="K565" s="34">
        <f>(E565+F565)/D565</f>
        <v>2.3187450460368293</v>
      </c>
      <c r="L565" s="32">
        <v>29</v>
      </c>
      <c r="M565" s="32">
        <f>D565/L565</f>
        <v>344.55172413793105</v>
      </c>
    </row>
    <row r="566" spans="1:13">
      <c r="A566" s="32" t="s">
        <v>10</v>
      </c>
      <c r="B566" s="32">
        <f>C558</f>
        <v>1275695</v>
      </c>
      <c r="C566" s="32">
        <v>1287210</v>
      </c>
      <c r="D566" s="32">
        <f>C566-B566</f>
        <v>11515</v>
      </c>
      <c r="E566" s="34">
        <f>23217.69*1.15</f>
        <v>26700.343499999995</v>
      </c>
      <c r="F566" s="32"/>
      <c r="G566" s="34">
        <f>209.18*1.15</f>
        <v>240.55699999999999</v>
      </c>
      <c r="H566" s="34">
        <f>844.08*1.15</f>
        <v>970.69200000000001</v>
      </c>
      <c r="I566" s="32" t="s">
        <v>20</v>
      </c>
      <c r="J566" s="32" t="s">
        <v>139</v>
      </c>
      <c r="K566" s="34">
        <f>(E566+F566)/D566</f>
        <v>2.3187445505861914</v>
      </c>
      <c r="L566" s="32">
        <v>30</v>
      </c>
      <c r="M566" s="32">
        <f>D566/L566</f>
        <v>383.83333333333331</v>
      </c>
    </row>
    <row r="567" spans="1:13">
      <c r="A567" s="33" t="s">
        <v>11</v>
      </c>
      <c r="B567" s="32"/>
      <c r="C567" s="32"/>
      <c r="D567" s="32"/>
      <c r="E567" s="36">
        <f>E565+F565+G565+H565</f>
        <v>24380.149499999996</v>
      </c>
      <c r="F567" s="32"/>
      <c r="G567" s="32"/>
      <c r="H567" s="32"/>
      <c r="I567" s="32"/>
      <c r="J567" s="32"/>
      <c r="K567" s="34"/>
      <c r="L567" s="32"/>
      <c r="M567" s="32"/>
    </row>
    <row r="568" spans="1:13">
      <c r="A568" s="33" t="s">
        <v>12</v>
      </c>
      <c r="B568" s="32"/>
      <c r="C568" s="32"/>
      <c r="D568" s="32"/>
      <c r="E568" s="36">
        <f>E566+F566+G566+H566</f>
        <v>27911.592499999995</v>
      </c>
      <c r="F568" s="32"/>
      <c r="G568" s="32"/>
      <c r="H568" s="32"/>
      <c r="I568" s="32"/>
      <c r="J568" s="32"/>
      <c r="K568" s="32"/>
      <c r="L568" s="32"/>
      <c r="M568" s="32"/>
    </row>
    <row r="569" spans="1:13">
      <c r="A569" s="33" t="s">
        <v>13</v>
      </c>
      <c r="B569" s="32"/>
      <c r="C569" s="32"/>
      <c r="D569" s="33">
        <f>D565-D566</f>
        <v>-1523</v>
      </c>
      <c r="E569" s="36">
        <f>E567-E568</f>
        <v>-3531.4429999999993</v>
      </c>
      <c r="F569" s="32"/>
      <c r="G569" s="32"/>
      <c r="H569" s="32"/>
      <c r="I569" s="32"/>
      <c r="J569" s="32"/>
      <c r="K569" s="32"/>
      <c r="L569" s="32"/>
      <c r="M569" s="32"/>
    </row>
    <row r="571" spans="1:13">
      <c r="A571" s="2">
        <v>45283</v>
      </c>
    </row>
    <row r="572" spans="1:13">
      <c r="A572" s="33" t="s">
        <v>1</v>
      </c>
      <c r="B572" s="33" t="s">
        <v>2</v>
      </c>
      <c r="C572" s="33" t="s">
        <v>3</v>
      </c>
      <c r="D572" s="33" t="s">
        <v>4</v>
      </c>
      <c r="E572" s="33" t="s">
        <v>5</v>
      </c>
      <c r="F572" s="33" t="s">
        <v>37</v>
      </c>
      <c r="G572" s="33" t="s">
        <v>7</v>
      </c>
      <c r="H572" s="33" t="s">
        <v>8</v>
      </c>
      <c r="I572" s="33" t="s">
        <v>15</v>
      </c>
      <c r="J572" s="33" t="s">
        <v>16</v>
      </c>
      <c r="K572" s="33" t="s">
        <v>17</v>
      </c>
      <c r="L572" s="33" t="s">
        <v>18</v>
      </c>
      <c r="M572" s="33" t="s">
        <v>19</v>
      </c>
    </row>
    <row r="573" spans="1:13">
      <c r="A573" s="32" t="s">
        <v>9</v>
      </c>
      <c r="B573" s="32">
        <f>C565</f>
        <v>1288924</v>
      </c>
      <c r="C573" s="32">
        <v>1300224</v>
      </c>
      <c r="D573" s="32">
        <f>C573-B573</f>
        <v>11300</v>
      </c>
      <c r="E573" s="38">
        <f>20957.04*1.15</f>
        <v>24100.595999999998</v>
      </c>
      <c r="F573" s="38">
        <f>1827.15*1.15</f>
        <v>2101.2224999999999</v>
      </c>
      <c r="G573" s="38">
        <f>209.18*1.15</f>
        <v>240.55699999999999</v>
      </c>
      <c r="H573" s="38">
        <f>844.08*1.15</f>
        <v>970.69200000000001</v>
      </c>
      <c r="I573" s="32" t="s">
        <v>20</v>
      </c>
      <c r="J573" s="32" t="s">
        <v>140</v>
      </c>
      <c r="K573" s="38">
        <f>(E573+F573)/D573</f>
        <v>2.3187449999999998</v>
      </c>
      <c r="L573" s="32">
        <v>35</v>
      </c>
      <c r="M573" s="32">
        <f>D573/L573</f>
        <v>322.85714285714283</v>
      </c>
    </row>
    <row r="574" spans="1:13">
      <c r="A574" s="32" t="s">
        <v>10</v>
      </c>
      <c r="B574" s="32">
        <f>C566</f>
        <v>1287210</v>
      </c>
      <c r="C574" s="32">
        <v>1296956</v>
      </c>
      <c r="D574" s="32">
        <f>C574-B574</f>
        <v>9746</v>
      </c>
      <c r="E574" s="38">
        <f>19650.86*1.15</f>
        <v>22598.488999999998</v>
      </c>
      <c r="F574" s="32"/>
      <c r="G574" s="38">
        <f>209.18*1.15</f>
        <v>240.55699999999999</v>
      </c>
      <c r="H574" s="38">
        <f>844.08*1.15</f>
        <v>970.69200000000001</v>
      </c>
      <c r="I574" s="32" t="s">
        <v>20</v>
      </c>
      <c r="J574" s="32" t="s">
        <v>141</v>
      </c>
      <c r="K574" s="38">
        <f>(E574+F574)/D574</f>
        <v>2.3187450235994254</v>
      </c>
      <c r="L574" s="32">
        <v>31</v>
      </c>
      <c r="M574" s="32">
        <f>D574/L574</f>
        <v>314.38709677419354</v>
      </c>
    </row>
    <row r="575" spans="1:13">
      <c r="A575" s="33" t="s">
        <v>11</v>
      </c>
      <c r="B575" s="32"/>
      <c r="C575" s="32"/>
      <c r="D575" s="32"/>
      <c r="E575" s="39">
        <f>E573+F573+G573+H573</f>
        <v>27413.067499999997</v>
      </c>
      <c r="F575" s="32"/>
      <c r="G575" s="32"/>
      <c r="H575" s="32"/>
      <c r="I575" s="32"/>
      <c r="J575" s="32"/>
      <c r="K575" s="32"/>
      <c r="L575" s="32"/>
      <c r="M575" s="32"/>
    </row>
    <row r="576" spans="1:13">
      <c r="A576" s="33" t="s">
        <v>12</v>
      </c>
      <c r="B576" s="32"/>
      <c r="C576" s="32"/>
      <c r="D576" s="32"/>
      <c r="E576" s="39">
        <f>E574+F574+G574+H574</f>
        <v>23809.737999999998</v>
      </c>
      <c r="F576" s="32"/>
      <c r="G576" s="32"/>
      <c r="H576" s="32"/>
      <c r="I576" s="32"/>
      <c r="J576" s="32"/>
      <c r="K576" s="32"/>
      <c r="L576" s="32"/>
      <c r="M576" s="32"/>
    </row>
    <row r="577" spans="1:14">
      <c r="A577" s="33" t="s">
        <v>13</v>
      </c>
      <c r="B577" s="32"/>
      <c r="C577" s="32"/>
      <c r="D577" s="33">
        <f>D573-D574</f>
        <v>1554</v>
      </c>
      <c r="E577" s="39">
        <f>E575-E576</f>
        <v>3603.3294999999998</v>
      </c>
      <c r="F577" s="32"/>
      <c r="G577" s="32"/>
      <c r="H577" s="32"/>
      <c r="I577" s="32"/>
      <c r="J577" s="32"/>
      <c r="K577" s="32"/>
      <c r="L577" s="32"/>
      <c r="M577" s="32"/>
    </row>
    <row r="579" spans="1:14">
      <c r="A579" s="21">
        <v>45292</v>
      </c>
    </row>
    <row r="580" spans="1:14">
      <c r="A580" s="3" t="s">
        <v>1</v>
      </c>
      <c r="B580" s="3" t="s">
        <v>2</v>
      </c>
      <c r="C580" s="3" t="s">
        <v>3</v>
      </c>
      <c r="D580" s="3" t="s">
        <v>4</v>
      </c>
      <c r="E580" s="3" t="s">
        <v>5</v>
      </c>
      <c r="F580" s="3" t="s">
        <v>37</v>
      </c>
      <c r="G580" s="3" t="s">
        <v>7</v>
      </c>
      <c r="H580" s="3" t="s">
        <v>8</v>
      </c>
      <c r="I580" s="3" t="s">
        <v>15</v>
      </c>
      <c r="J580" s="3" t="s">
        <v>16</v>
      </c>
      <c r="K580" s="3" t="s">
        <v>17</v>
      </c>
      <c r="L580" s="3" t="s">
        <v>18</v>
      </c>
      <c r="M580" s="3" t="s">
        <v>19</v>
      </c>
    </row>
    <row r="581" spans="1:14">
      <c r="A581" s="42" t="s">
        <v>9</v>
      </c>
      <c r="B581" s="42">
        <f>C573</f>
        <v>1300224</v>
      </c>
      <c r="C581" s="42">
        <v>1309716</v>
      </c>
      <c r="D581" s="42">
        <f>C581-B581</f>
        <v>9492</v>
      </c>
      <c r="E581" s="43">
        <f>17111.04*1.15</f>
        <v>19677.696</v>
      </c>
      <c r="F581" s="43">
        <f>2027.68*1.15</f>
        <v>2331.8319999999999</v>
      </c>
      <c r="G581" s="43">
        <f>209.18*1.15</f>
        <v>240.55699999999999</v>
      </c>
      <c r="H581" s="43">
        <f>844.08*1.15</f>
        <v>970.69200000000001</v>
      </c>
      <c r="I581" s="42" t="s">
        <v>20</v>
      </c>
      <c r="J581" s="42" t="s">
        <v>142</v>
      </c>
      <c r="K581" s="43">
        <f>(E581+F581)/D581</f>
        <v>2.3187450484618624</v>
      </c>
      <c r="L581" s="42">
        <v>28</v>
      </c>
      <c r="M581" s="42">
        <f>D581/L581</f>
        <v>339</v>
      </c>
      <c r="N581" s="44"/>
    </row>
    <row r="582" spans="1:14">
      <c r="A582" s="4" t="s">
        <v>10</v>
      </c>
      <c r="B582" s="4">
        <f>C574</f>
        <v>1296956</v>
      </c>
      <c r="C582" s="4">
        <v>1307212</v>
      </c>
      <c r="D582" s="4">
        <f>C582-B582</f>
        <v>10256</v>
      </c>
      <c r="E582" s="40">
        <f>20679.17*1.15</f>
        <v>23781.045499999997</v>
      </c>
      <c r="F582" s="40"/>
      <c r="G582" s="40">
        <f>209.18*1.15</f>
        <v>240.55699999999999</v>
      </c>
      <c r="H582" s="40">
        <f>844.08*1.15</f>
        <v>970.69200000000001</v>
      </c>
      <c r="I582" s="4" t="s">
        <v>20</v>
      </c>
      <c r="J582" s="4" t="s">
        <v>143</v>
      </c>
      <c r="K582" s="40">
        <f>(E582+F582)/D582</f>
        <v>2.3187446860374412</v>
      </c>
      <c r="L582" s="4">
        <v>31</v>
      </c>
      <c r="M582" s="4">
        <f>D582/L582</f>
        <v>330.83870967741933</v>
      </c>
    </row>
    <row r="583" spans="1:14">
      <c r="A583" s="3" t="s">
        <v>11</v>
      </c>
      <c r="B583" s="3"/>
      <c r="C583" s="3"/>
      <c r="D583" s="3"/>
      <c r="E583" s="41">
        <f>E581+F581+G581+H581</f>
        <v>23220.776999999998</v>
      </c>
      <c r="F583" s="41"/>
      <c r="G583" s="40"/>
      <c r="H583" s="40"/>
      <c r="I583" s="4"/>
      <c r="J583" s="4"/>
      <c r="K583" s="40"/>
      <c r="L583" s="4"/>
      <c r="M583" s="4"/>
    </row>
    <row r="584" spans="1:14">
      <c r="A584" s="3" t="s">
        <v>12</v>
      </c>
      <c r="B584" s="3"/>
      <c r="C584" s="3"/>
      <c r="D584" s="3"/>
      <c r="E584" s="41">
        <f>E582+F582+G582+H582</f>
        <v>24992.294499999996</v>
      </c>
      <c r="F584" s="41"/>
      <c r="G584" s="40"/>
      <c r="H584" s="40"/>
      <c r="I584" s="4"/>
      <c r="J584" s="4"/>
      <c r="K584" s="40"/>
      <c r="L584" s="4"/>
      <c r="M584" s="4"/>
    </row>
    <row r="585" spans="1:14">
      <c r="A585" s="3" t="s">
        <v>13</v>
      </c>
      <c r="B585" s="3"/>
      <c r="C585" s="3"/>
      <c r="D585" s="3">
        <f>D581-D582</f>
        <v>-764</v>
      </c>
      <c r="E585" s="41">
        <f>E583-E584</f>
        <v>-1771.5174999999981</v>
      </c>
      <c r="F585" s="41"/>
      <c r="G585" s="40"/>
      <c r="H585" s="4"/>
      <c r="I585" s="4"/>
      <c r="J585" s="4"/>
      <c r="K585" s="4"/>
      <c r="L585" s="4"/>
      <c r="M585" s="4"/>
    </row>
    <row r="588" spans="1:14" ht="15">
      <c r="A588" s="2">
        <v>45323</v>
      </c>
    </row>
    <row r="589" spans="1:14" ht="15">
      <c r="A589" s="3" t="s">
        <v>1</v>
      </c>
      <c r="B589" s="3" t="s">
        <v>2</v>
      </c>
      <c r="C589" s="3" t="s">
        <v>3</v>
      </c>
      <c r="D589" s="3" t="s">
        <v>4</v>
      </c>
      <c r="E589" s="3" t="s">
        <v>5</v>
      </c>
      <c r="F589" s="3" t="s">
        <v>37</v>
      </c>
      <c r="G589" s="3" t="s">
        <v>7</v>
      </c>
      <c r="H589" s="3" t="s">
        <v>8</v>
      </c>
      <c r="I589" s="3" t="s">
        <v>15</v>
      </c>
      <c r="J589" s="3" t="s">
        <v>16</v>
      </c>
      <c r="K589" s="3" t="s">
        <v>17</v>
      </c>
      <c r="L589" s="3" t="s">
        <v>18</v>
      </c>
      <c r="M589" s="3" t="s">
        <v>19</v>
      </c>
    </row>
    <row r="590" spans="1:14" ht="15">
      <c r="A590" s="42" t="s">
        <v>9</v>
      </c>
      <c r="B590" s="42">
        <f>C581</f>
        <v>1309716</v>
      </c>
      <c r="C590" s="42">
        <v>1318748</v>
      </c>
      <c r="D590" s="42">
        <f>C590-B590</f>
        <v>9032</v>
      </c>
      <c r="E590" s="43">
        <f>16447.92*1.15</f>
        <v>18915.107999999997</v>
      </c>
      <c r="F590" s="43">
        <f>1763.3*1.15</f>
        <v>2027.7949999999998</v>
      </c>
      <c r="G590" s="43">
        <f>209.18*1.15</f>
        <v>240.55699999999999</v>
      </c>
      <c r="H590" s="43">
        <f>844.08*1.15</f>
        <v>970.69200000000001</v>
      </c>
      <c r="I590" s="42" t="s">
        <v>20</v>
      </c>
      <c r="J590" s="42" t="s">
        <v>144</v>
      </c>
      <c r="K590" s="43">
        <f>(E590+F590)/D590</f>
        <v>2.3187447962798933</v>
      </c>
      <c r="L590" s="42">
        <v>29</v>
      </c>
      <c r="M590" s="42">
        <f>D590/L590</f>
        <v>311.44827586206895</v>
      </c>
    </row>
    <row r="591" spans="1:14">
      <c r="A591" s="4" t="s">
        <v>10</v>
      </c>
      <c r="B591" s="4">
        <f>C582</f>
        <v>1307212</v>
      </c>
      <c r="C591" s="4">
        <v>1317192</v>
      </c>
      <c r="D591" s="4">
        <f>C591-B591</f>
        <v>9980</v>
      </c>
      <c r="E591" s="40">
        <f>20122.67*1.15</f>
        <v>23141.070499999998</v>
      </c>
      <c r="F591" s="40"/>
      <c r="G591" s="40">
        <f>209.18*1.15</f>
        <v>240.55699999999999</v>
      </c>
      <c r="H591" s="40">
        <f>844.08*1.15</f>
        <v>970.69200000000001</v>
      </c>
      <c r="I591" s="4" t="s">
        <v>20</v>
      </c>
      <c r="J591" s="4" t="s">
        <v>144</v>
      </c>
      <c r="K591" s="40">
        <f>(E591+F591)/D591</f>
        <v>2.318744539078156</v>
      </c>
      <c r="L591" s="4">
        <v>29</v>
      </c>
      <c r="M591" s="4">
        <f>D591/L591</f>
        <v>344.13793103448273</v>
      </c>
    </row>
    <row r="592" spans="1:14" ht="15">
      <c r="A592" s="3" t="s">
        <v>11</v>
      </c>
      <c r="B592" s="3"/>
      <c r="C592" s="3"/>
      <c r="D592" s="3"/>
      <c r="E592" s="41">
        <f>E590+F590+G590+H590</f>
        <v>22154.151999999995</v>
      </c>
      <c r="F592" s="41"/>
      <c r="G592" s="40"/>
      <c r="H592" s="40"/>
      <c r="I592" s="4"/>
      <c r="J592" s="4"/>
      <c r="K592" s="40"/>
      <c r="L592" s="4"/>
      <c r="M592" s="4"/>
    </row>
    <row r="593" spans="1:13" ht="15">
      <c r="A593" s="3" t="s">
        <v>12</v>
      </c>
      <c r="B593" s="3"/>
      <c r="C593" s="3"/>
      <c r="D593" s="3"/>
      <c r="E593" s="41">
        <f>E591+F591+G591+H591</f>
        <v>24352.319499999998</v>
      </c>
      <c r="F593" s="41"/>
      <c r="G593" s="40"/>
      <c r="H593" s="40"/>
      <c r="I593" s="4"/>
      <c r="J593" s="4"/>
      <c r="K593" s="40"/>
      <c r="L593" s="4"/>
      <c r="M593" s="4"/>
    </row>
    <row r="594" spans="1:13" ht="15">
      <c r="A594" s="3" t="s">
        <v>13</v>
      </c>
      <c r="B594" s="3"/>
      <c r="C594" s="3"/>
      <c r="D594" s="3">
        <f>D590-D591</f>
        <v>-948</v>
      </c>
      <c r="E594" s="41">
        <f>E592-E593</f>
        <v>-2198.1675000000032</v>
      </c>
      <c r="F594" s="41"/>
      <c r="G594" s="40"/>
      <c r="H594" s="4"/>
      <c r="I594" s="4"/>
      <c r="J594" s="4"/>
      <c r="K594" s="4"/>
      <c r="L594" s="4"/>
      <c r="M594" s="4"/>
    </row>
    <row r="596" spans="1:13" ht="15">
      <c r="A596" s="2">
        <v>45352</v>
      </c>
    </row>
    <row r="597" spans="1:13" ht="15">
      <c r="A597" s="3" t="s">
        <v>1</v>
      </c>
      <c r="B597" s="3" t="s">
        <v>2</v>
      </c>
      <c r="C597" s="3" t="s">
        <v>3</v>
      </c>
      <c r="D597" s="3" t="s">
        <v>4</v>
      </c>
      <c r="E597" s="3" t="s">
        <v>5</v>
      </c>
      <c r="F597" s="3" t="s">
        <v>37</v>
      </c>
      <c r="G597" s="3" t="s">
        <v>7</v>
      </c>
      <c r="H597" s="3" t="s">
        <v>8</v>
      </c>
      <c r="I597" s="3" t="s">
        <v>15</v>
      </c>
      <c r="J597" s="3" t="s">
        <v>16</v>
      </c>
      <c r="K597" s="3" t="s">
        <v>17</v>
      </c>
      <c r="L597" s="3" t="s">
        <v>18</v>
      </c>
      <c r="M597" s="3" t="s">
        <v>19</v>
      </c>
    </row>
    <row r="598" spans="1:13" ht="15">
      <c r="A598" s="42" t="s">
        <v>9</v>
      </c>
      <c r="B598" s="42">
        <f>C590</f>
        <v>1318748</v>
      </c>
      <c r="C598" s="42">
        <v>1327158</v>
      </c>
      <c r="D598" s="42">
        <f>C598-B598</f>
        <v>8410</v>
      </c>
      <c r="E598" s="43">
        <f>16654.61*1.15</f>
        <v>19152.801499999998</v>
      </c>
      <c r="F598" s="43">
        <f>302.47*1.15</f>
        <v>347.84050000000002</v>
      </c>
      <c r="G598" s="43">
        <f>209.18*1.15</f>
        <v>240.55699999999999</v>
      </c>
      <c r="H598" s="43">
        <f>844.08*1.15</f>
        <v>970.69200000000001</v>
      </c>
      <c r="I598" s="42" t="s">
        <v>20</v>
      </c>
      <c r="J598" s="42" t="s">
        <v>145</v>
      </c>
      <c r="K598" s="43">
        <f>(E598+F598)/D598</f>
        <v>2.3187445897740782</v>
      </c>
      <c r="L598" s="42">
        <v>28</v>
      </c>
      <c r="M598" s="42">
        <f>D598/L598</f>
        <v>300.35714285714283</v>
      </c>
    </row>
    <row r="599" spans="1:13">
      <c r="A599" s="4" t="s">
        <v>10</v>
      </c>
      <c r="B599" s="4">
        <f>C591</f>
        <v>1317192</v>
      </c>
      <c r="C599" s="4">
        <v>1327158</v>
      </c>
      <c r="D599" s="4">
        <f>C599-B599</f>
        <v>9966</v>
      </c>
      <c r="E599" s="40">
        <f>20094.45*1.15</f>
        <v>23108.6175</v>
      </c>
      <c r="F599" s="40"/>
      <c r="G599" s="40">
        <f>209.18*1.15</f>
        <v>240.55699999999999</v>
      </c>
      <c r="H599" s="40">
        <f>844.08*1.15</f>
        <v>970.69200000000001</v>
      </c>
      <c r="I599" s="4" t="s">
        <v>20</v>
      </c>
      <c r="J599" s="4" t="s">
        <v>146</v>
      </c>
      <c r="K599" s="40">
        <f>(E599+F599)/D599</f>
        <v>2.3187454846478026</v>
      </c>
      <c r="L599" s="4">
        <v>31</v>
      </c>
      <c r="M599" s="4">
        <f>D599/L599</f>
        <v>321.48387096774195</v>
      </c>
    </row>
    <row r="600" spans="1:13" ht="15">
      <c r="A600" s="3" t="s">
        <v>11</v>
      </c>
      <c r="B600" s="3"/>
      <c r="C600" s="3"/>
      <c r="D600" s="3"/>
      <c r="E600" s="41">
        <f>E598+F598+G598+H598</f>
        <v>20711.890999999996</v>
      </c>
      <c r="F600" s="41"/>
      <c r="G600" s="40"/>
      <c r="H600" s="40"/>
      <c r="I600" s="4"/>
      <c r="J600" s="4"/>
      <c r="K600" s="40"/>
      <c r="L600" s="4"/>
      <c r="M600" s="4"/>
    </row>
    <row r="601" spans="1:13" ht="15">
      <c r="A601" s="3" t="s">
        <v>12</v>
      </c>
      <c r="B601" s="3"/>
      <c r="C601" s="3"/>
      <c r="D601" s="3"/>
      <c r="E601" s="41">
        <f>E599+F599+G599+H599</f>
        <v>24319.8665</v>
      </c>
      <c r="F601" s="41"/>
      <c r="G601" s="40"/>
      <c r="H601" s="40"/>
      <c r="I601" s="4"/>
      <c r="J601" s="4"/>
      <c r="K601" s="40"/>
      <c r="L601" s="4"/>
      <c r="M601" s="4"/>
    </row>
    <row r="602" spans="1:13" ht="15">
      <c r="A602" s="3" t="s">
        <v>13</v>
      </c>
      <c r="B602" s="3"/>
      <c r="C602" s="3"/>
      <c r="D602" s="3">
        <f>D598-D599</f>
        <v>-1556</v>
      </c>
      <c r="E602" s="41">
        <f>E600-E601</f>
        <v>-3607.9755000000041</v>
      </c>
      <c r="F602" s="41"/>
      <c r="G602" s="40"/>
      <c r="H602" s="4"/>
      <c r="I602" s="4"/>
      <c r="J602" s="4"/>
      <c r="K602" s="4"/>
      <c r="L602" s="4"/>
      <c r="M602" s="4"/>
    </row>
    <row r="604" spans="1:13" ht="15">
      <c r="A604" s="48">
        <v>45406</v>
      </c>
    </row>
    <row r="605" spans="1:13" ht="15">
      <c r="A605" s="3" t="s">
        <v>1</v>
      </c>
      <c r="B605" s="3" t="s">
        <v>2</v>
      </c>
      <c r="C605" s="3" t="s">
        <v>3</v>
      </c>
      <c r="D605" s="3" t="s">
        <v>4</v>
      </c>
      <c r="E605" s="3" t="s">
        <v>5</v>
      </c>
      <c r="F605" s="3" t="s">
        <v>37</v>
      </c>
      <c r="G605" s="3" t="s">
        <v>7</v>
      </c>
      <c r="H605" s="3" t="s">
        <v>8</v>
      </c>
      <c r="I605" s="3" t="s">
        <v>15</v>
      </c>
      <c r="J605" s="3" t="s">
        <v>16</v>
      </c>
      <c r="K605" s="3" t="s">
        <v>17</v>
      </c>
      <c r="L605" s="3" t="s">
        <v>18</v>
      </c>
      <c r="M605" s="3" t="s">
        <v>19</v>
      </c>
    </row>
    <row r="606" spans="1:13" ht="15">
      <c r="A606" s="42" t="s">
        <v>9</v>
      </c>
      <c r="B606" s="42">
        <f>C598</f>
        <v>1327158</v>
      </c>
      <c r="C606" s="42">
        <v>1341407</v>
      </c>
      <c r="D606" s="42">
        <f>C606-B606</f>
        <v>14249</v>
      </c>
      <c r="E606" s="43">
        <f>23532.61*1.15</f>
        <v>27062.501499999998</v>
      </c>
      <c r="F606" s="43">
        <f>5197.65*1.15</f>
        <v>5977.2974999999988</v>
      </c>
      <c r="G606" s="43">
        <f>209.18*1.15</f>
        <v>240.55699999999999</v>
      </c>
      <c r="H606" s="43">
        <f>844.08*1.15</f>
        <v>970.69200000000001</v>
      </c>
      <c r="I606" s="42" t="s">
        <v>20</v>
      </c>
      <c r="J606" s="42" t="s">
        <v>147</v>
      </c>
      <c r="K606" s="43">
        <f>(E606+F606)/D606</f>
        <v>2.3187451049196435</v>
      </c>
      <c r="L606" s="42">
        <v>35</v>
      </c>
      <c r="M606" s="42">
        <f>D606/L606</f>
        <v>407.1142857142857</v>
      </c>
    </row>
    <row r="607" spans="1:13">
      <c r="A607" s="4" t="s">
        <v>10</v>
      </c>
      <c r="B607" s="4">
        <f>C599</f>
        <v>1327158</v>
      </c>
      <c r="C607" s="4">
        <v>1338564</v>
      </c>
      <c r="D607" s="4">
        <f>C607-B607</f>
        <v>11406</v>
      </c>
      <c r="E607" s="40">
        <f>22997.92*1.15</f>
        <v>26447.607999999997</v>
      </c>
      <c r="F607" s="40"/>
      <c r="G607" s="40">
        <f>209.18*1.15</f>
        <v>240.55699999999999</v>
      </c>
      <c r="H607" s="40">
        <f>844.08*1.15</f>
        <v>970.69200000000001</v>
      </c>
      <c r="I607" s="4" t="s">
        <v>20</v>
      </c>
      <c r="J607" s="4" t="s">
        <v>148</v>
      </c>
      <c r="K607" s="40">
        <f>(E607+F607)/D607</f>
        <v>2.3187452218130806</v>
      </c>
      <c r="L607" s="4">
        <v>30</v>
      </c>
      <c r="M607" s="4">
        <f>D607/L607</f>
        <v>380.2</v>
      </c>
    </row>
    <row r="608" spans="1:13" ht="15">
      <c r="A608" s="3" t="s">
        <v>11</v>
      </c>
      <c r="B608" s="3"/>
      <c r="C608" s="3"/>
      <c r="D608" s="3"/>
      <c r="E608" s="41">
        <f>E606+F606+G606+H606</f>
        <v>34251.048000000003</v>
      </c>
      <c r="F608" s="41"/>
      <c r="G608" s="40"/>
      <c r="H608" s="40"/>
      <c r="I608" s="4"/>
      <c r="J608" s="4"/>
      <c r="K608" s="40"/>
      <c r="L608" s="4"/>
      <c r="M608" s="4"/>
    </row>
    <row r="609" spans="1:13" ht="15">
      <c r="A609" s="3" t="s">
        <v>12</v>
      </c>
      <c r="B609" s="3"/>
      <c r="C609" s="3"/>
      <c r="D609" s="3"/>
      <c r="E609" s="41">
        <f>E607+F607+G607+H607</f>
        <v>27658.856999999996</v>
      </c>
      <c r="F609" s="41"/>
      <c r="G609" s="40"/>
      <c r="H609" s="40"/>
      <c r="I609" s="4"/>
      <c r="J609" s="4"/>
      <c r="K609" s="40"/>
      <c r="L609" s="4"/>
      <c r="M609" s="4"/>
    </row>
    <row r="610" spans="1:13" ht="15">
      <c r="A610" s="3" t="s">
        <v>13</v>
      </c>
      <c r="B610" s="3"/>
      <c r="C610" s="3"/>
      <c r="D610" s="3">
        <f>D606-D607</f>
        <v>2843</v>
      </c>
      <c r="E610" s="41">
        <f>E608-E609</f>
        <v>6592.1910000000062</v>
      </c>
      <c r="F610" s="41"/>
      <c r="G610" s="40"/>
      <c r="H610" s="4"/>
      <c r="I610" s="4"/>
      <c r="J610" s="4"/>
      <c r="K610" s="4"/>
      <c r="L610" s="4"/>
      <c r="M610" s="4"/>
    </row>
    <row r="612" spans="1:13" ht="15">
      <c r="A612" s="48">
        <v>45413</v>
      </c>
    </row>
    <row r="613" spans="1:13" ht="15">
      <c r="A613" s="3" t="s">
        <v>1</v>
      </c>
      <c r="B613" s="3" t="s">
        <v>2</v>
      </c>
      <c r="C613" s="3" t="s">
        <v>3</v>
      </c>
      <c r="D613" s="3" t="s">
        <v>4</v>
      </c>
      <c r="E613" s="3" t="s">
        <v>5</v>
      </c>
      <c r="F613" s="3" t="s">
        <v>37</v>
      </c>
      <c r="G613" s="3" t="s">
        <v>7</v>
      </c>
      <c r="H613" s="3" t="s">
        <v>8</v>
      </c>
      <c r="I613" s="3" t="s">
        <v>15</v>
      </c>
      <c r="J613" s="3" t="s">
        <v>16</v>
      </c>
      <c r="K613" s="3" t="s">
        <v>17</v>
      </c>
      <c r="L613" s="3" t="s">
        <v>18</v>
      </c>
      <c r="M613" s="3" t="s">
        <v>19</v>
      </c>
    </row>
    <row r="614" spans="1:13" ht="15">
      <c r="A614" s="42" t="s">
        <v>9</v>
      </c>
      <c r="B614" s="42">
        <f>C606</f>
        <v>1341407</v>
      </c>
      <c r="C614" s="42">
        <v>1352357</v>
      </c>
      <c r="D614" s="42">
        <f>C614-B614</f>
        <v>10950</v>
      </c>
      <c r="E614" s="43">
        <f>19221.9*1.15</f>
        <v>22105.185000000001</v>
      </c>
      <c r="F614" s="43">
        <f>2856.59*1.15</f>
        <v>3285.0785000000001</v>
      </c>
      <c r="G614" s="43">
        <f>209.18*1.15</f>
        <v>240.55699999999999</v>
      </c>
      <c r="H614" s="43">
        <f>844.08*1.15</f>
        <v>970.69200000000001</v>
      </c>
      <c r="I614" s="42" t="s">
        <v>20</v>
      </c>
      <c r="J614" s="42" t="s">
        <v>149</v>
      </c>
      <c r="K614" s="43">
        <f>(E614+F614)/D614</f>
        <v>2.3187455251141555</v>
      </c>
      <c r="L614" s="42">
        <v>28</v>
      </c>
      <c r="M614" s="42">
        <f>D614/L614</f>
        <v>391.07142857142856</v>
      </c>
    </row>
    <row r="615" spans="1:13">
      <c r="A615" s="4" t="s">
        <v>10</v>
      </c>
      <c r="B615" s="4">
        <f>C607</f>
        <v>1338564</v>
      </c>
      <c r="C615" s="4">
        <v>1350125</v>
      </c>
      <c r="D615" s="4">
        <f>C615-B615</f>
        <v>11561</v>
      </c>
      <c r="E615" s="40">
        <f>23310.44*1.15</f>
        <v>26807.005999999998</v>
      </c>
      <c r="F615" s="40"/>
      <c r="G615" s="40">
        <f>209.18*1.15</f>
        <v>240.55699999999999</v>
      </c>
      <c r="H615" s="40">
        <f>844.08*1.15</f>
        <v>970.69200000000001</v>
      </c>
      <c r="I615" s="4" t="s">
        <v>20</v>
      </c>
      <c r="J615" s="4" t="s">
        <v>150</v>
      </c>
      <c r="K615" s="40">
        <f>(E615+F615)/D615</f>
        <v>2.3187445722688347</v>
      </c>
      <c r="L615" s="4">
        <v>31</v>
      </c>
      <c r="M615" s="4">
        <f>D615/L615</f>
        <v>372.93548387096774</v>
      </c>
    </row>
    <row r="616" spans="1:13" ht="15">
      <c r="A616" s="3" t="s">
        <v>11</v>
      </c>
      <c r="B616" s="3"/>
      <c r="C616" s="3"/>
      <c r="D616" s="3"/>
      <c r="E616" s="41">
        <f>E614+F614+G614+H614</f>
        <v>26601.512500000001</v>
      </c>
      <c r="F616" s="41"/>
      <c r="G616" s="40"/>
      <c r="H616" s="40"/>
      <c r="I616" s="4"/>
      <c r="J616" s="4"/>
      <c r="K616" s="40"/>
      <c r="L616" s="4"/>
      <c r="M616" s="4"/>
    </row>
    <row r="617" spans="1:13" ht="15">
      <c r="A617" s="3" t="s">
        <v>12</v>
      </c>
      <c r="B617" s="3"/>
      <c r="C617" s="3"/>
      <c r="D617" s="3"/>
      <c r="E617" s="41">
        <f>E615+F615+G615+H615</f>
        <v>28018.254999999997</v>
      </c>
      <c r="F617" s="41"/>
      <c r="G617" s="40"/>
      <c r="H617" s="40"/>
      <c r="I617" s="4"/>
      <c r="J617" s="4"/>
      <c r="K617" s="40"/>
      <c r="L617" s="4"/>
      <c r="M617" s="4"/>
    </row>
    <row r="618" spans="1:13" ht="15">
      <c r="A618" s="3" t="s">
        <v>13</v>
      </c>
      <c r="B618" s="3"/>
      <c r="C618" s="3"/>
      <c r="D618" s="3">
        <f>D614-D615</f>
        <v>-611</v>
      </c>
      <c r="E618" s="41">
        <f>E616-E617</f>
        <v>-1416.7424999999967</v>
      </c>
      <c r="F618" s="41"/>
      <c r="G618" s="40"/>
      <c r="H618" s="4"/>
      <c r="I618" s="4"/>
      <c r="J618" s="4"/>
      <c r="K618" s="4"/>
      <c r="L618" s="4"/>
      <c r="M61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6A94-52A0-4A56-91FD-D060BA27E3ED}">
  <dimension ref="A1:AJ18"/>
  <sheetViews>
    <sheetView workbookViewId="0">
      <selection activeCell="AH21" sqref="AH21"/>
    </sheetView>
  </sheetViews>
  <sheetFormatPr defaultRowHeight="14.45"/>
  <cols>
    <col min="14" max="15" width="12.5703125" hidden="1" customWidth="1"/>
    <col min="16" max="16" width="17.42578125" hidden="1" customWidth="1"/>
    <col min="18" max="19" width="12.5703125" hidden="1" customWidth="1"/>
    <col min="20" max="20" width="25.140625" hidden="1" customWidth="1"/>
    <col min="22" max="23" width="12.7109375" hidden="1" customWidth="1"/>
    <col min="24" max="24" width="17.42578125" hidden="1" customWidth="1"/>
    <col min="26" max="27" width="13.28515625" hidden="1" customWidth="1"/>
    <col min="28" max="28" width="21.7109375" hidden="1" customWidth="1"/>
    <col min="29" max="29" width="9" customWidth="1"/>
    <col min="30" max="31" width="13.28515625" hidden="1" customWidth="1"/>
    <col min="32" max="32" width="17.28515625" hidden="1" customWidth="1"/>
    <col min="33" max="33" width="9.140625" customWidth="1"/>
    <col min="34" max="35" width="13.28515625" bestFit="1" customWidth="1"/>
    <col min="36" max="36" width="18" bestFit="1" customWidth="1"/>
  </cols>
  <sheetData>
    <row r="1" spans="1:36" ht="18">
      <c r="A1" s="1" t="s">
        <v>151</v>
      </c>
    </row>
    <row r="2" spans="1:36" ht="30.75">
      <c r="M2" s="50" t="s">
        <v>152</v>
      </c>
      <c r="N2" t="s">
        <v>153</v>
      </c>
      <c r="O2" t="s">
        <v>154</v>
      </c>
      <c r="P2" t="s">
        <v>155</v>
      </c>
      <c r="Q2" s="50" t="s">
        <v>152</v>
      </c>
      <c r="R2" t="s">
        <v>153</v>
      </c>
      <c r="S2" t="s">
        <v>154</v>
      </c>
      <c r="T2" t="s">
        <v>155</v>
      </c>
      <c r="U2" s="50" t="s">
        <v>152</v>
      </c>
      <c r="V2" s="6" t="s">
        <v>153</v>
      </c>
      <c r="W2" s="6" t="s">
        <v>154</v>
      </c>
      <c r="X2" s="6" t="s">
        <v>155</v>
      </c>
      <c r="Y2" s="50" t="s">
        <v>152</v>
      </c>
      <c r="Z2" s="6" t="s">
        <v>156</v>
      </c>
      <c r="AA2" s="6" t="s">
        <v>154</v>
      </c>
      <c r="AB2" s="6" t="s">
        <v>155</v>
      </c>
      <c r="AC2" s="50" t="s">
        <v>152</v>
      </c>
      <c r="AD2" s="6" t="s">
        <v>156</v>
      </c>
      <c r="AE2" s="6" t="s">
        <v>154</v>
      </c>
      <c r="AF2" s="6" t="s">
        <v>155</v>
      </c>
      <c r="AG2" s="50" t="s">
        <v>152</v>
      </c>
      <c r="AH2" s="6" t="s">
        <v>156</v>
      </c>
      <c r="AI2" s="6" t="s">
        <v>154</v>
      </c>
      <c r="AJ2" s="6" t="s">
        <v>155</v>
      </c>
    </row>
    <row r="3" spans="1:36" ht="15">
      <c r="M3" s="2">
        <v>43466</v>
      </c>
      <c r="N3" s="18">
        <v>18549.989999999998</v>
      </c>
      <c r="O3" s="18">
        <v>17351.809499999999</v>
      </c>
      <c r="P3" s="16" t="s">
        <v>157</v>
      </c>
      <c r="Q3" s="2">
        <v>43862</v>
      </c>
      <c r="R3" s="19">
        <v>17412.2075</v>
      </c>
      <c r="S3" s="18">
        <v>19792.6155</v>
      </c>
      <c r="T3" s="16" t="s">
        <v>157</v>
      </c>
      <c r="U3" s="2">
        <v>44228</v>
      </c>
      <c r="V3" s="23">
        <v>18145.849999999999</v>
      </c>
      <c r="W3" s="23">
        <v>21072.880000000001</v>
      </c>
      <c r="X3" s="16" t="s">
        <v>157</v>
      </c>
      <c r="Y3" s="2">
        <v>44593</v>
      </c>
      <c r="Z3" s="23">
        <v>25034.873500000002</v>
      </c>
      <c r="AA3" s="23">
        <v>24147.975999999999</v>
      </c>
      <c r="AB3" s="16" t="s">
        <v>157</v>
      </c>
      <c r="AC3" s="2">
        <v>44958</v>
      </c>
      <c r="AD3" s="23">
        <v>20375.136500000001</v>
      </c>
      <c r="AE3" s="23">
        <v>22607.815500000001</v>
      </c>
      <c r="AF3" s="16" t="s">
        <v>157</v>
      </c>
      <c r="AG3" s="2">
        <v>45323</v>
      </c>
      <c r="AH3" s="23">
        <v>22154.151999999995</v>
      </c>
      <c r="AI3" s="23">
        <v>24352.319499999998</v>
      </c>
      <c r="AJ3" s="16" t="s">
        <v>157</v>
      </c>
    </row>
    <row r="4" spans="1:36" ht="15">
      <c r="M4" s="2">
        <v>43497</v>
      </c>
      <c r="N4" s="18">
        <v>19090</v>
      </c>
      <c r="O4" s="18">
        <v>17960.009999999998</v>
      </c>
      <c r="P4" s="16" t="s">
        <v>157</v>
      </c>
      <c r="Q4" s="2">
        <v>43891</v>
      </c>
      <c r="R4" s="19">
        <v>21778.320500000002</v>
      </c>
      <c r="S4" s="18">
        <v>22860.321</v>
      </c>
      <c r="T4" s="16" t="s">
        <v>158</v>
      </c>
      <c r="U4" s="2">
        <v>44256</v>
      </c>
      <c r="V4" s="23">
        <v>21552.75</v>
      </c>
      <c r="W4" s="23">
        <v>19277.817999999999</v>
      </c>
      <c r="X4" s="16" t="s">
        <v>157</v>
      </c>
      <c r="Y4" s="2">
        <v>44621</v>
      </c>
      <c r="Z4">
        <v>16310.921499999997</v>
      </c>
      <c r="AA4" s="23">
        <v>21109.618499999997</v>
      </c>
      <c r="AB4" s="25" t="s">
        <v>159</v>
      </c>
      <c r="AC4" s="2">
        <v>44986</v>
      </c>
      <c r="AD4" s="23">
        <v>20772.461499999998</v>
      </c>
      <c r="AE4" s="23">
        <v>20675.654500000001</v>
      </c>
      <c r="AF4" s="16" t="s">
        <v>157</v>
      </c>
      <c r="AG4" s="2">
        <v>45352</v>
      </c>
      <c r="AH4" s="23">
        <v>20711.890999999996</v>
      </c>
      <c r="AI4" s="23">
        <v>24319.8665</v>
      </c>
      <c r="AJ4" s="16" t="s">
        <v>157</v>
      </c>
    </row>
    <row r="5" spans="1:36" ht="15">
      <c r="M5" s="2">
        <v>43525</v>
      </c>
      <c r="N5" s="18">
        <v>17530</v>
      </c>
      <c r="O5" s="18">
        <v>15749.502999999999</v>
      </c>
      <c r="P5" s="16" t="s">
        <v>157</v>
      </c>
      <c r="Q5" s="2">
        <v>43922</v>
      </c>
      <c r="R5" s="18">
        <v>21923.977500000001</v>
      </c>
      <c r="S5" s="18">
        <v>29529.722999999998</v>
      </c>
      <c r="T5" s="16" t="s">
        <v>158</v>
      </c>
      <c r="U5" s="2">
        <v>44287</v>
      </c>
      <c r="V5" s="23">
        <v>19729.07</v>
      </c>
      <c r="W5" s="23">
        <v>21775.514500000001</v>
      </c>
      <c r="X5" s="16" t="s">
        <v>157</v>
      </c>
      <c r="Y5" s="2">
        <v>44652</v>
      </c>
      <c r="Z5" s="23">
        <v>25240.602499999994</v>
      </c>
      <c r="AA5" s="23">
        <v>24463.248499999998</v>
      </c>
      <c r="AB5" s="16" t="s">
        <v>157</v>
      </c>
      <c r="AC5" s="2">
        <v>45017</v>
      </c>
      <c r="AD5" s="23">
        <v>26107.093000000001</v>
      </c>
      <c r="AE5" s="23">
        <v>22918.418999999998</v>
      </c>
      <c r="AF5" s="16" t="s">
        <v>157</v>
      </c>
      <c r="AG5" s="2">
        <v>45383</v>
      </c>
      <c r="AH5" s="23">
        <v>34251.048000000003</v>
      </c>
      <c r="AI5" s="49">
        <v>27658.856999999996</v>
      </c>
      <c r="AJ5" s="16" t="s">
        <v>157</v>
      </c>
    </row>
    <row r="6" spans="1:36" ht="15">
      <c r="M6" s="2">
        <v>43556</v>
      </c>
      <c r="N6" s="18">
        <v>21804</v>
      </c>
      <c r="O6" s="18">
        <v>18322.742999999999</v>
      </c>
      <c r="P6" s="16" t="s">
        <v>157</v>
      </c>
      <c r="Q6" s="2">
        <v>43952</v>
      </c>
      <c r="R6" s="18">
        <v>24283.81</v>
      </c>
      <c r="S6" s="18">
        <v>25826.941500000001</v>
      </c>
      <c r="T6" s="16" t="s">
        <v>158</v>
      </c>
      <c r="U6" s="2">
        <v>44317</v>
      </c>
      <c r="V6" s="23">
        <v>23083.39</v>
      </c>
      <c r="W6" s="23">
        <v>22637.013999999999</v>
      </c>
      <c r="X6" s="16" t="s">
        <v>157</v>
      </c>
      <c r="Y6" s="2">
        <v>44682</v>
      </c>
      <c r="Z6" s="23">
        <v>29651.772499999995</v>
      </c>
      <c r="AA6" s="23">
        <v>24984.969000000001</v>
      </c>
      <c r="AB6" s="16" t="s">
        <v>157</v>
      </c>
      <c r="AC6" s="2">
        <v>45047</v>
      </c>
      <c r="AD6" s="23">
        <v>22291.163</v>
      </c>
      <c r="AE6" s="23">
        <v>23702.971999999998</v>
      </c>
      <c r="AF6" s="16" t="s">
        <v>157</v>
      </c>
      <c r="AG6" s="2">
        <v>45413</v>
      </c>
      <c r="AH6" s="23">
        <v>26601.512500000001</v>
      </c>
      <c r="AI6" s="23">
        <v>28018.254999999997</v>
      </c>
      <c r="AJ6" s="16" t="s">
        <v>157</v>
      </c>
    </row>
    <row r="7" spans="1:36" ht="15">
      <c r="M7" s="2">
        <v>43586</v>
      </c>
      <c r="N7" s="18">
        <v>21200</v>
      </c>
      <c r="O7" s="18">
        <v>19125.949000000001</v>
      </c>
      <c r="P7" s="16" t="s">
        <v>157</v>
      </c>
      <c r="Q7" s="2">
        <v>43983</v>
      </c>
      <c r="R7" s="19">
        <v>27137.147999999997</v>
      </c>
      <c r="S7" s="18">
        <v>30046.142</v>
      </c>
      <c r="T7" s="16" t="s">
        <v>158</v>
      </c>
      <c r="U7" s="2">
        <v>44348</v>
      </c>
      <c r="V7" s="23">
        <v>24486.2055</v>
      </c>
      <c r="W7" s="23">
        <v>24838.562499999996</v>
      </c>
      <c r="X7" s="16" t="s">
        <v>157</v>
      </c>
      <c r="Y7" s="2">
        <v>44713</v>
      </c>
      <c r="Z7" s="23">
        <v>28686.968499999995</v>
      </c>
      <c r="AA7" s="23">
        <v>31434.467999999997</v>
      </c>
      <c r="AB7" s="16" t="s">
        <v>157</v>
      </c>
      <c r="AC7" s="2">
        <v>45078</v>
      </c>
      <c r="AD7" s="23">
        <v>25371.33</v>
      </c>
      <c r="AE7" s="23">
        <v>26930.35</v>
      </c>
      <c r="AF7" s="16" t="s">
        <v>157</v>
      </c>
      <c r="AG7" s="2">
        <v>45444</v>
      </c>
      <c r="AI7" s="23"/>
      <c r="AJ7" s="16"/>
    </row>
    <row r="8" spans="1:36" ht="15">
      <c r="M8" s="2">
        <v>43617</v>
      </c>
      <c r="N8" s="18">
        <v>20772</v>
      </c>
      <c r="O8" s="18">
        <v>21699.45</v>
      </c>
      <c r="P8" s="16" t="s">
        <v>157</v>
      </c>
      <c r="Q8" s="2">
        <v>44013</v>
      </c>
      <c r="R8" s="18">
        <v>28158.566500000001</v>
      </c>
      <c r="S8" s="18">
        <v>40435.85</v>
      </c>
      <c r="T8" s="16" t="s">
        <v>157</v>
      </c>
      <c r="U8" s="2">
        <v>44378</v>
      </c>
      <c r="V8" s="23">
        <v>27010.504499999999</v>
      </c>
      <c r="W8" s="23">
        <v>28098.394499999999</v>
      </c>
      <c r="X8" s="16" t="s">
        <v>157</v>
      </c>
      <c r="Y8" s="2">
        <v>44743</v>
      </c>
      <c r="Z8" s="23">
        <v>24666.188999999998</v>
      </c>
      <c r="AA8" s="23">
        <v>29953.2565</v>
      </c>
      <c r="AB8" s="16" t="s">
        <v>157</v>
      </c>
      <c r="AC8" s="2">
        <v>45108</v>
      </c>
      <c r="AD8" s="23">
        <v>37232.503499999999</v>
      </c>
      <c r="AE8" s="23">
        <v>31503.329999999994</v>
      </c>
      <c r="AF8" s="16" t="s">
        <v>157</v>
      </c>
      <c r="AG8" s="2">
        <v>45474</v>
      </c>
      <c r="AH8" s="23"/>
      <c r="AI8" s="23"/>
      <c r="AJ8" s="16"/>
    </row>
    <row r="9" spans="1:36" ht="15">
      <c r="M9" s="2">
        <v>43647</v>
      </c>
      <c r="N9" s="18">
        <v>28480</v>
      </c>
      <c r="O9" s="18">
        <v>25074.62</v>
      </c>
      <c r="P9" s="16" t="s">
        <v>157</v>
      </c>
      <c r="Q9" s="2">
        <v>44044</v>
      </c>
      <c r="R9" s="18">
        <v>24567.22</v>
      </c>
      <c r="S9" s="18">
        <v>32106.700499999999</v>
      </c>
      <c r="T9" s="16" t="s">
        <v>158</v>
      </c>
      <c r="U9" s="2">
        <v>44409</v>
      </c>
      <c r="V9" s="23">
        <v>25966.522000000001</v>
      </c>
      <c r="W9" s="23">
        <v>27054.957499999997</v>
      </c>
      <c r="X9" s="16" t="s">
        <v>157</v>
      </c>
      <c r="Y9" s="2">
        <v>44774</v>
      </c>
      <c r="Z9" s="23">
        <v>31489.437999999998</v>
      </c>
      <c r="AA9" s="23">
        <v>31465.908999999996</v>
      </c>
      <c r="AB9" s="16" t="s">
        <v>157</v>
      </c>
      <c r="AC9" s="2">
        <v>45139</v>
      </c>
      <c r="AD9" s="23">
        <v>28537.652499999997</v>
      </c>
      <c r="AE9" s="23">
        <v>33084.718000000001</v>
      </c>
      <c r="AF9" s="16" t="s">
        <v>157</v>
      </c>
      <c r="AG9" s="2">
        <v>45505</v>
      </c>
      <c r="AH9" s="23"/>
      <c r="AI9" s="23"/>
      <c r="AJ9" s="16"/>
    </row>
    <row r="10" spans="1:36" ht="15">
      <c r="M10" s="2">
        <v>43678</v>
      </c>
      <c r="N10" s="18">
        <v>25450</v>
      </c>
      <c r="O10" s="18">
        <v>23331.33</v>
      </c>
      <c r="P10" s="16" t="s">
        <v>157</v>
      </c>
      <c r="Q10" s="2">
        <v>44075</v>
      </c>
      <c r="R10" s="19">
        <v>21245.019499999999</v>
      </c>
      <c r="S10" s="18">
        <v>0</v>
      </c>
      <c r="T10" s="16" t="s">
        <v>160</v>
      </c>
      <c r="U10" s="2">
        <v>44440</v>
      </c>
      <c r="V10" s="23">
        <v>28669.759999999998</v>
      </c>
      <c r="W10" s="23">
        <v>25737.517499999998</v>
      </c>
      <c r="X10" s="16" t="s">
        <v>157</v>
      </c>
      <c r="Y10" s="2">
        <v>44805</v>
      </c>
      <c r="Z10" s="23">
        <v>26379.366999999998</v>
      </c>
      <c r="AA10" s="23">
        <v>26379.366999999998</v>
      </c>
      <c r="AB10" s="16" t="s">
        <v>157</v>
      </c>
      <c r="AC10" s="2">
        <v>45170</v>
      </c>
      <c r="AD10" s="23">
        <v>24874.039999999997</v>
      </c>
      <c r="AE10" s="23">
        <v>27626.392499999994</v>
      </c>
      <c r="AF10" s="16" t="s">
        <v>157</v>
      </c>
      <c r="AG10" s="2">
        <v>45536</v>
      </c>
      <c r="AH10" s="23"/>
      <c r="AI10" s="23"/>
      <c r="AJ10" s="16"/>
    </row>
    <row r="11" spans="1:36" ht="15">
      <c r="M11" s="2">
        <v>43709</v>
      </c>
      <c r="N11" s="18">
        <v>20478.3</v>
      </c>
      <c r="O11" s="18">
        <v>20836.4935</v>
      </c>
      <c r="P11" s="16" t="s">
        <v>157</v>
      </c>
      <c r="Q11" s="2">
        <v>44105</v>
      </c>
      <c r="R11" s="19">
        <v>20555.850000000002</v>
      </c>
      <c r="S11" s="18">
        <v>20443.952499999999</v>
      </c>
      <c r="T11" s="16" t="s">
        <v>157</v>
      </c>
      <c r="U11" s="2">
        <v>44470</v>
      </c>
      <c r="V11" s="23">
        <v>21961.426499999998</v>
      </c>
      <c r="W11" s="23">
        <v>23462.978499999997</v>
      </c>
      <c r="X11" s="16" t="s">
        <v>157</v>
      </c>
      <c r="Y11" s="2">
        <v>44835</v>
      </c>
      <c r="Z11" s="23">
        <v>23801.803</v>
      </c>
      <c r="AA11" s="23">
        <v>23801.803</v>
      </c>
      <c r="AB11" s="16" t="s">
        <v>157</v>
      </c>
      <c r="AC11" s="2">
        <v>45200</v>
      </c>
      <c r="AD11" s="37">
        <v>32161.854499999998</v>
      </c>
      <c r="AE11" s="37">
        <v>27605.52</v>
      </c>
      <c r="AF11" s="16" t="s">
        <v>157</v>
      </c>
      <c r="AG11" s="2">
        <v>45566</v>
      </c>
      <c r="AH11" s="37"/>
      <c r="AI11" s="37"/>
      <c r="AJ11" s="16"/>
    </row>
    <row r="12" spans="1:36" ht="15">
      <c r="M12" s="2">
        <v>43739</v>
      </c>
      <c r="N12" s="18">
        <v>22027.542000000001</v>
      </c>
      <c r="O12" s="18">
        <v>18642.339500000002</v>
      </c>
      <c r="P12" s="16" t="s">
        <v>157</v>
      </c>
      <c r="Q12" s="2">
        <v>44136</v>
      </c>
      <c r="R12" s="19">
        <v>19214.0275</v>
      </c>
      <c r="S12" s="19">
        <v>20855.054499999998</v>
      </c>
      <c r="T12" s="16" t="s">
        <v>157</v>
      </c>
      <c r="U12" s="2">
        <v>44501</v>
      </c>
      <c r="V12" s="23">
        <v>21628.163499999999</v>
      </c>
      <c r="W12" s="23">
        <v>24262.446999999996</v>
      </c>
      <c r="X12" s="16" t="s">
        <v>157</v>
      </c>
      <c r="Y12" s="2">
        <v>44866</v>
      </c>
      <c r="Z12" s="23">
        <v>29753.581999999999</v>
      </c>
      <c r="AA12" s="23">
        <v>24775.9565</v>
      </c>
      <c r="AB12" s="16" t="s">
        <v>157</v>
      </c>
      <c r="AC12" s="2">
        <v>45231</v>
      </c>
      <c r="AD12" s="23">
        <v>24380.149499999996</v>
      </c>
      <c r="AE12" s="23">
        <v>27911.592499999995</v>
      </c>
      <c r="AF12" s="16" t="s">
        <v>157</v>
      </c>
      <c r="AG12" s="2">
        <v>45597</v>
      </c>
      <c r="AH12" s="23"/>
      <c r="AI12" s="23"/>
      <c r="AJ12" s="16"/>
    </row>
    <row r="13" spans="1:36" ht="15">
      <c r="M13" s="2">
        <v>43770</v>
      </c>
      <c r="N13" s="18">
        <v>16478.594895000002</v>
      </c>
      <c r="O13" s="18">
        <v>17014.284499999998</v>
      </c>
      <c r="P13" s="16" t="s">
        <v>158</v>
      </c>
      <c r="Q13" s="2">
        <v>44166</v>
      </c>
      <c r="R13" s="23">
        <v>24268.059000000001</v>
      </c>
      <c r="S13" s="18">
        <v>18188.664499999999</v>
      </c>
      <c r="T13" s="16" t="s">
        <v>157</v>
      </c>
      <c r="U13" s="2">
        <v>44531</v>
      </c>
      <c r="V13" s="23">
        <v>22999.452000000001</v>
      </c>
      <c r="W13" s="23">
        <v>24391.936999999998</v>
      </c>
      <c r="X13" s="16" t="s">
        <v>157</v>
      </c>
      <c r="Y13" s="2">
        <v>44896</v>
      </c>
      <c r="Z13" s="23">
        <v>25328.577499999999</v>
      </c>
      <c r="AA13" s="23">
        <v>22817.575499999995</v>
      </c>
      <c r="AB13" s="16" t="s">
        <v>157</v>
      </c>
      <c r="AC13" s="2">
        <v>45261</v>
      </c>
      <c r="AD13" s="23">
        <v>27413.067499999997</v>
      </c>
      <c r="AE13" s="23">
        <v>23809.737999999998</v>
      </c>
      <c r="AF13" s="16" t="s">
        <v>157</v>
      </c>
      <c r="AG13" s="2">
        <v>45627</v>
      </c>
      <c r="AH13" s="23"/>
      <c r="AI13" s="23"/>
      <c r="AJ13" s="16"/>
    </row>
    <row r="14" spans="1:36" ht="15">
      <c r="M14" s="2">
        <v>43800</v>
      </c>
      <c r="N14" s="19">
        <v>20445.142500000002</v>
      </c>
      <c r="O14" s="18">
        <v>19756.517</v>
      </c>
      <c r="P14" s="16" t="s">
        <v>158</v>
      </c>
      <c r="Q14" s="2">
        <v>44197</v>
      </c>
      <c r="R14" s="23">
        <v>20038.559999999998</v>
      </c>
      <c r="S14" s="23">
        <v>18901.124</v>
      </c>
      <c r="T14" s="16" t="s">
        <v>157</v>
      </c>
      <c r="U14" s="2">
        <v>44562</v>
      </c>
      <c r="V14" s="23">
        <v>20667.979000000003</v>
      </c>
      <c r="W14" s="23">
        <v>23964.056499999999</v>
      </c>
      <c r="X14" s="16" t="s">
        <v>157</v>
      </c>
      <c r="Y14" s="2">
        <v>44927</v>
      </c>
      <c r="Z14" s="23">
        <v>20336.818500000001</v>
      </c>
      <c r="AA14" s="23">
        <v>21837.373</v>
      </c>
      <c r="AB14" s="16" t="s">
        <v>157</v>
      </c>
      <c r="AC14" s="2">
        <v>45292</v>
      </c>
      <c r="AD14" s="23">
        <v>23220.776999999998</v>
      </c>
      <c r="AE14" s="23">
        <v>24992.294499999996</v>
      </c>
      <c r="AF14" s="16" t="s">
        <v>157</v>
      </c>
      <c r="AG14" s="2">
        <v>45658</v>
      </c>
      <c r="AH14" s="23"/>
      <c r="AI14" s="23"/>
      <c r="AJ14" s="16"/>
    </row>
    <row r="15" spans="1:36" ht="15">
      <c r="M15" s="2">
        <v>43831</v>
      </c>
      <c r="N15" s="18">
        <v>15604.84</v>
      </c>
      <c r="O15" s="18">
        <v>13328.614999999998</v>
      </c>
      <c r="P15" s="16" t="s">
        <v>157</v>
      </c>
      <c r="R15" s="17">
        <f>SUM(R3:R14)</f>
        <v>270582.76600000006</v>
      </c>
      <c r="S15" s="17">
        <f>SUM(S3:S14)</f>
        <v>278987.08899999998</v>
      </c>
      <c r="T15" s="17">
        <f>R15-S15</f>
        <v>-8404.3229999999166</v>
      </c>
      <c r="U15" s="6"/>
      <c r="V15" s="17">
        <f>SUM(V3:V14)</f>
        <v>275901.07299999997</v>
      </c>
      <c r="W15" s="17">
        <f>SUM(W3:W14)</f>
        <v>286574.07749999996</v>
      </c>
      <c r="X15" s="17">
        <f>V15-W15</f>
        <v>-10673.004499999981</v>
      </c>
      <c r="Y15" s="6"/>
      <c r="Z15" s="17">
        <f>SUM(Z3:Z14)</f>
        <v>306680.91349999997</v>
      </c>
      <c r="AA15" s="17">
        <f>SUM(AA3:AA14)</f>
        <v>307171.52049999993</v>
      </c>
      <c r="AB15" s="17">
        <f>Z15-AA15</f>
        <v>-490.60699999995995</v>
      </c>
      <c r="AC15" s="6"/>
      <c r="AD15" s="17">
        <f>SUM(AD3:AD14)</f>
        <v>312737.22849999997</v>
      </c>
      <c r="AE15" s="17">
        <f>SUM(AE3:AE14)</f>
        <v>313368.79649999994</v>
      </c>
      <c r="AF15" s="17">
        <f>AD15-AE15</f>
        <v>-631.5679999999702</v>
      </c>
      <c r="AG15" s="6"/>
      <c r="AH15" s="17">
        <f>SUM(AH3:AH14)</f>
        <v>103718.60349999998</v>
      </c>
      <c r="AI15" s="17">
        <f>SUM(AI3:AI14)</f>
        <v>104349.29800000001</v>
      </c>
      <c r="AJ15" s="17">
        <f>AH15-AI15</f>
        <v>-630.69450000002689</v>
      </c>
    </row>
    <row r="16" spans="1:36">
      <c r="N16" s="17">
        <f t="shared" ref="N16:O16" si="0">SUM(N3:N14)</f>
        <v>252305.569395</v>
      </c>
      <c r="O16" s="17">
        <f t="shared" si="0"/>
        <v>234865.04900000003</v>
      </c>
      <c r="P16" s="17">
        <f>N16-O16</f>
        <v>17440.52039499997</v>
      </c>
    </row>
    <row r="18" spans="13:13" ht="21">
      <c r="M18" s="15" t="s">
        <v>161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41C8-861B-427A-BC2B-8842418A7C84}">
  <dimension ref="A1:AC37"/>
  <sheetViews>
    <sheetView workbookViewId="0">
      <selection activeCell="A2" sqref="A2"/>
    </sheetView>
  </sheetViews>
  <sheetFormatPr defaultRowHeight="14.45"/>
  <cols>
    <col min="13" max="14" width="9.140625" hidden="1" customWidth="1"/>
    <col min="16" max="17" width="9.140625" hidden="1" customWidth="1"/>
    <col min="19" max="20" width="9.140625" hidden="1" customWidth="1"/>
    <col min="22" max="23" width="0" hidden="1" customWidth="1"/>
    <col min="25" max="25" width="0" hidden="1" customWidth="1"/>
    <col min="26" max="26" width="8.85546875" hidden="1" customWidth="1"/>
    <col min="28" max="29" width="9.28515625" bestFit="1" customWidth="1"/>
  </cols>
  <sheetData>
    <row r="1" spans="1:29" ht="18">
      <c r="A1" s="14" t="s">
        <v>162</v>
      </c>
    </row>
    <row r="2" spans="1:29">
      <c r="L2" s="20" t="s">
        <v>163</v>
      </c>
    </row>
    <row r="3" spans="1:29" ht="15">
      <c r="M3" t="s">
        <v>164</v>
      </c>
      <c r="N3" t="s">
        <v>154</v>
      </c>
      <c r="P3" s="6" t="s">
        <v>164</v>
      </c>
      <c r="Q3" s="6" t="s">
        <v>154</v>
      </c>
      <c r="S3" s="6" t="s">
        <v>164</v>
      </c>
      <c r="T3" s="6" t="s">
        <v>154</v>
      </c>
      <c r="V3" s="6" t="s">
        <v>164</v>
      </c>
      <c r="W3" s="6" t="s">
        <v>154</v>
      </c>
      <c r="Y3" s="6" t="s">
        <v>164</v>
      </c>
      <c r="Z3" s="6" t="s">
        <v>154</v>
      </c>
      <c r="AB3" s="6" t="s">
        <v>156</v>
      </c>
      <c r="AC3" s="6" t="s">
        <v>154</v>
      </c>
    </row>
    <row r="4" spans="1:29" ht="15">
      <c r="L4" s="2">
        <v>43466</v>
      </c>
      <c r="M4">
        <v>12118</v>
      </c>
      <c r="N4">
        <v>12202</v>
      </c>
      <c r="O4" s="2">
        <v>43862</v>
      </c>
      <c r="P4">
        <v>10702</v>
      </c>
      <c r="Q4">
        <v>12314</v>
      </c>
      <c r="R4" s="2">
        <v>44228</v>
      </c>
      <c r="S4">
        <v>10124</v>
      </c>
      <c r="T4">
        <v>12344</v>
      </c>
      <c r="U4" s="2">
        <v>44593</v>
      </c>
      <c r="V4">
        <v>11061</v>
      </c>
      <c r="W4">
        <v>12345</v>
      </c>
      <c r="X4" s="2">
        <v>44958</v>
      </c>
      <c r="Y4" s="13">
        <v>9580</v>
      </c>
      <c r="Z4" s="13">
        <v>10687</v>
      </c>
      <c r="AA4" s="2">
        <v>45323</v>
      </c>
      <c r="AB4">
        <v>9032</v>
      </c>
      <c r="AC4">
        <v>9980</v>
      </c>
    </row>
    <row r="5" spans="1:29" ht="15">
      <c r="L5" s="2">
        <v>43497</v>
      </c>
      <c r="M5">
        <v>14325</v>
      </c>
      <c r="N5">
        <v>12648</v>
      </c>
      <c r="O5" s="2">
        <v>43891</v>
      </c>
      <c r="P5">
        <v>11596</v>
      </c>
      <c r="Q5">
        <v>14303</v>
      </c>
      <c r="R5" s="2">
        <v>44256</v>
      </c>
      <c r="S5">
        <v>13751</v>
      </c>
      <c r="T5">
        <v>11248</v>
      </c>
      <c r="U5" s="2">
        <v>44621</v>
      </c>
      <c r="V5">
        <v>13454</v>
      </c>
      <c r="W5">
        <v>10726</v>
      </c>
      <c r="X5" s="2">
        <v>44986</v>
      </c>
      <c r="Y5" s="13">
        <v>9777</v>
      </c>
      <c r="Z5" s="13">
        <v>9729</v>
      </c>
      <c r="AA5" s="2">
        <v>45352</v>
      </c>
      <c r="AB5">
        <v>14249</v>
      </c>
      <c r="AC5">
        <v>9966</v>
      </c>
    </row>
    <row r="6" spans="1:29" ht="15">
      <c r="L6" s="2">
        <v>43525</v>
      </c>
      <c r="M6">
        <v>9996</v>
      </c>
      <c r="N6">
        <v>11027</v>
      </c>
      <c r="O6" s="2">
        <v>43922</v>
      </c>
      <c r="P6">
        <v>13774</v>
      </c>
      <c r="Q6">
        <v>18327</v>
      </c>
      <c r="R6" s="2">
        <v>44287</v>
      </c>
      <c r="S6">
        <v>11913</v>
      </c>
      <c r="T6">
        <v>12773</v>
      </c>
      <c r="U6" s="2">
        <v>44652</v>
      </c>
      <c r="V6">
        <v>11582</v>
      </c>
      <c r="W6">
        <v>12513</v>
      </c>
      <c r="X6" s="2">
        <v>45017</v>
      </c>
      <c r="Y6" s="13">
        <v>12422</v>
      </c>
      <c r="Z6" s="13">
        <v>10841</v>
      </c>
      <c r="AA6" s="2">
        <v>45383</v>
      </c>
      <c r="AB6">
        <v>10950</v>
      </c>
      <c r="AC6">
        <v>11561</v>
      </c>
    </row>
    <row r="7" spans="1:29" ht="15">
      <c r="L7" s="2">
        <v>43556</v>
      </c>
      <c r="M7">
        <v>14681</v>
      </c>
      <c r="N7">
        <v>12914</v>
      </c>
      <c r="O7" s="2">
        <v>43952</v>
      </c>
      <c r="P7">
        <v>16055</v>
      </c>
      <c r="Q7">
        <v>15836</v>
      </c>
      <c r="R7" s="2">
        <v>44317</v>
      </c>
      <c r="S7">
        <v>12556</v>
      </c>
      <c r="T7">
        <v>13299</v>
      </c>
      <c r="U7" s="2">
        <v>44682</v>
      </c>
      <c r="V7">
        <v>15242</v>
      </c>
      <c r="W7">
        <v>12791</v>
      </c>
      <c r="X7" s="2">
        <v>45047</v>
      </c>
      <c r="Y7" s="13">
        <v>10530</v>
      </c>
      <c r="Z7" s="13">
        <v>11230</v>
      </c>
      <c r="AA7" s="2">
        <v>45413</v>
      </c>
    </row>
    <row r="8" spans="1:29" ht="15">
      <c r="L8" s="2">
        <v>43586</v>
      </c>
      <c r="M8">
        <v>10203</v>
      </c>
      <c r="N8">
        <v>13503</v>
      </c>
      <c r="O8" s="2">
        <v>43983</v>
      </c>
      <c r="P8">
        <v>16477</v>
      </c>
      <c r="Q8">
        <v>18324</v>
      </c>
      <c r="R8" s="2">
        <v>44348</v>
      </c>
      <c r="S8">
        <v>16236</v>
      </c>
      <c r="T8">
        <v>14567</v>
      </c>
      <c r="U8" s="2">
        <v>44713</v>
      </c>
      <c r="V8">
        <v>14681</v>
      </c>
      <c r="W8">
        <v>15970</v>
      </c>
      <c r="X8" s="2">
        <v>45078</v>
      </c>
      <c r="Y8" s="13">
        <v>11979</v>
      </c>
      <c r="Z8" s="13">
        <v>12752</v>
      </c>
      <c r="AA8" s="2">
        <v>45444</v>
      </c>
    </row>
    <row r="9" spans="1:29" ht="15">
      <c r="L9" s="2">
        <v>43617</v>
      </c>
      <c r="M9">
        <v>15878</v>
      </c>
      <c r="N9">
        <v>15233</v>
      </c>
      <c r="O9" s="2">
        <v>44013</v>
      </c>
      <c r="P9">
        <v>19554</v>
      </c>
      <c r="Q9">
        <v>89827</v>
      </c>
      <c r="R9" s="2">
        <v>44378</v>
      </c>
      <c r="S9">
        <v>14030</v>
      </c>
      <c r="T9">
        <v>14450</v>
      </c>
      <c r="U9" s="2">
        <v>44743</v>
      </c>
      <c r="V9">
        <v>11667</v>
      </c>
      <c r="W9">
        <v>14329</v>
      </c>
      <c r="X9" s="2">
        <v>45108</v>
      </c>
      <c r="Y9" s="13">
        <v>15466</v>
      </c>
      <c r="Z9" s="13">
        <v>13064</v>
      </c>
      <c r="AA9" s="2">
        <v>45474</v>
      </c>
    </row>
    <row r="10" spans="1:29" ht="15">
      <c r="L10" s="2">
        <v>43647</v>
      </c>
      <c r="M10">
        <v>17737</v>
      </c>
      <c r="N10">
        <v>15665</v>
      </c>
      <c r="O10" s="2">
        <v>44044</v>
      </c>
      <c r="P10">
        <v>13621</v>
      </c>
      <c r="Q10">
        <v>18474</v>
      </c>
      <c r="R10" s="2">
        <v>44409</v>
      </c>
      <c r="S10">
        <v>15161</v>
      </c>
      <c r="T10">
        <v>13894</v>
      </c>
      <c r="U10" s="2">
        <v>44774</v>
      </c>
      <c r="V10">
        <v>15079</v>
      </c>
      <c r="W10">
        <v>15079</v>
      </c>
      <c r="X10" s="2">
        <v>45139</v>
      </c>
      <c r="Y10" s="13">
        <v>11785</v>
      </c>
      <c r="Z10" s="13">
        <v>13746</v>
      </c>
      <c r="AA10" s="2">
        <v>45505</v>
      </c>
    </row>
    <row r="11" spans="1:29" ht="15">
      <c r="L11" s="2">
        <v>43678</v>
      </c>
      <c r="M11">
        <v>13506</v>
      </c>
      <c r="N11">
        <v>14609</v>
      </c>
      <c r="O11" s="2">
        <v>44075</v>
      </c>
      <c r="P11">
        <v>14111</v>
      </c>
      <c r="Q11">
        <v>11254</v>
      </c>
      <c r="R11" s="2">
        <v>44440</v>
      </c>
      <c r="S11">
        <v>11840</v>
      </c>
      <c r="T11">
        <v>13192</v>
      </c>
      <c r="U11" s="2">
        <v>44805</v>
      </c>
      <c r="V11">
        <v>12557</v>
      </c>
      <c r="W11">
        <v>12557</v>
      </c>
      <c r="X11" s="2">
        <v>45170</v>
      </c>
      <c r="Y11" s="13">
        <v>10205</v>
      </c>
      <c r="Z11" s="13">
        <v>11392</v>
      </c>
      <c r="AA11" s="2">
        <v>45536</v>
      </c>
    </row>
    <row r="12" spans="1:29" ht="15">
      <c r="L12" s="2">
        <v>43709</v>
      </c>
      <c r="M12">
        <v>14697</v>
      </c>
      <c r="N12">
        <v>14609</v>
      </c>
      <c r="O12" s="2">
        <v>44105</v>
      </c>
      <c r="P12">
        <v>11269</v>
      </c>
      <c r="Q12">
        <v>11960</v>
      </c>
      <c r="R12" s="2">
        <v>44470</v>
      </c>
      <c r="S12">
        <v>11092</v>
      </c>
      <c r="T12">
        <v>11980</v>
      </c>
      <c r="U12" s="2">
        <v>44835</v>
      </c>
      <c r="V12">
        <v>11279</v>
      </c>
      <c r="W12">
        <v>11279</v>
      </c>
      <c r="X12" s="2">
        <v>45200</v>
      </c>
      <c r="Y12" s="13">
        <v>8278</v>
      </c>
      <c r="Z12" s="13">
        <v>11515</v>
      </c>
      <c r="AA12" s="2">
        <v>45566</v>
      </c>
    </row>
    <row r="13" spans="1:29" ht="15">
      <c r="L13" s="2">
        <v>43739</v>
      </c>
      <c r="M13">
        <v>12233</v>
      </c>
      <c r="N13">
        <v>24559</v>
      </c>
      <c r="O13" s="2">
        <v>44136</v>
      </c>
      <c r="P13">
        <v>10984</v>
      </c>
      <c r="Q13">
        <v>12211</v>
      </c>
      <c r="R13" s="2">
        <v>44501</v>
      </c>
      <c r="S13">
        <v>14263</v>
      </c>
      <c r="T13">
        <v>12406</v>
      </c>
      <c r="U13" s="2">
        <v>44866</v>
      </c>
      <c r="V13">
        <v>14230</v>
      </c>
      <c r="W13">
        <v>11762</v>
      </c>
      <c r="X13" s="2">
        <v>45231</v>
      </c>
      <c r="Y13" s="13">
        <v>9992</v>
      </c>
      <c r="Z13" s="13">
        <v>9746</v>
      </c>
      <c r="AA13" s="2">
        <v>45597</v>
      </c>
    </row>
    <row r="14" spans="1:29" ht="15">
      <c r="L14" s="2">
        <v>43770</v>
      </c>
      <c r="M14">
        <v>10669</v>
      </c>
      <c r="N14">
        <v>10513</v>
      </c>
      <c r="O14" s="2">
        <v>44166</v>
      </c>
      <c r="P14">
        <v>14474</v>
      </c>
      <c r="Q14">
        <v>10583</v>
      </c>
      <c r="R14" s="2">
        <v>44531</v>
      </c>
      <c r="S14">
        <v>13693</v>
      </c>
      <c r="T14">
        <v>12415</v>
      </c>
      <c r="U14" s="2">
        <v>44896</v>
      </c>
      <c r="V14">
        <v>12036</v>
      </c>
      <c r="W14">
        <v>10791</v>
      </c>
      <c r="X14" s="2">
        <v>45261</v>
      </c>
      <c r="Y14" s="13">
        <v>11300</v>
      </c>
      <c r="Z14" s="13">
        <v>9746</v>
      </c>
      <c r="AA14" s="2">
        <v>45627</v>
      </c>
    </row>
    <row r="15" spans="1:29" ht="15">
      <c r="L15" s="2">
        <v>43800</v>
      </c>
      <c r="M15">
        <v>14669</v>
      </c>
      <c r="N15">
        <v>12290</v>
      </c>
      <c r="O15" s="2">
        <v>44197</v>
      </c>
      <c r="P15">
        <v>8984</v>
      </c>
      <c r="Q15">
        <v>11018</v>
      </c>
      <c r="R15" s="2">
        <v>44562</v>
      </c>
      <c r="S15">
        <v>8801</v>
      </c>
      <c r="T15">
        <v>12307</v>
      </c>
      <c r="U15" s="2">
        <v>44927</v>
      </c>
      <c r="V15">
        <v>9561</v>
      </c>
      <c r="W15">
        <v>10305</v>
      </c>
      <c r="X15" s="2">
        <v>45292</v>
      </c>
      <c r="Y15" s="13">
        <v>9492</v>
      </c>
      <c r="Z15" s="13">
        <v>10256</v>
      </c>
      <c r="AA15" s="2">
        <v>45658</v>
      </c>
    </row>
    <row r="16" spans="1:29">
      <c r="L16" s="2">
        <v>43831</v>
      </c>
      <c r="M16">
        <v>7923</v>
      </c>
      <c r="N16">
        <v>77221</v>
      </c>
    </row>
    <row r="23" spans="12:29">
      <c r="L23" s="20" t="s">
        <v>165</v>
      </c>
    </row>
    <row r="24" spans="12:29" ht="15">
      <c r="M24" t="s">
        <v>164</v>
      </c>
      <c r="N24" t="s">
        <v>154</v>
      </c>
      <c r="P24" s="6" t="s">
        <v>164</v>
      </c>
      <c r="Q24" s="6" t="s">
        <v>154</v>
      </c>
      <c r="S24" s="6" t="s">
        <v>164</v>
      </c>
      <c r="T24" s="6" t="s">
        <v>154</v>
      </c>
      <c r="V24" s="6" t="s">
        <v>164</v>
      </c>
      <c r="W24" s="6" t="s">
        <v>154</v>
      </c>
      <c r="Y24" s="6" t="s">
        <v>164</v>
      </c>
      <c r="Z24" s="6" t="s">
        <v>154</v>
      </c>
      <c r="AB24" s="6" t="s">
        <v>156</v>
      </c>
      <c r="AC24" s="6" t="s">
        <v>154</v>
      </c>
    </row>
    <row r="25" spans="12:29" ht="15">
      <c r="L25" s="2">
        <v>43466</v>
      </c>
      <c r="M25" s="13">
        <v>865.57142857142856</v>
      </c>
      <c r="N25" s="13">
        <v>393.61290322580646</v>
      </c>
      <c r="O25" s="2">
        <v>43862</v>
      </c>
      <c r="P25" s="13">
        <v>382.21428571428572</v>
      </c>
      <c r="Q25" s="13">
        <v>424.62068965517244</v>
      </c>
      <c r="R25" s="2">
        <v>44228</v>
      </c>
      <c r="S25" s="13">
        <v>361.57142857142856</v>
      </c>
      <c r="T25" s="13">
        <v>441</v>
      </c>
      <c r="U25" s="2">
        <v>44593</v>
      </c>
      <c r="V25" s="13">
        <v>502.77272727272725</v>
      </c>
      <c r="W25" s="13">
        <v>440.89285714285717</v>
      </c>
      <c r="X25" s="2">
        <v>44958</v>
      </c>
      <c r="Y25" s="13">
        <v>330.34482758620692</v>
      </c>
      <c r="Z25" s="13">
        <v>381.67857142857144</v>
      </c>
      <c r="AA25" s="2">
        <v>45323</v>
      </c>
      <c r="AB25" s="13">
        <v>311.44827586206895</v>
      </c>
      <c r="AC25" s="13">
        <v>344.13793103448273</v>
      </c>
    </row>
    <row r="26" spans="12:29" ht="15">
      <c r="L26" s="2">
        <v>43497</v>
      </c>
      <c r="M26" s="13">
        <v>421.3235294117647</v>
      </c>
      <c r="N26" s="13">
        <v>451.71428571428572</v>
      </c>
      <c r="O26" s="2">
        <v>43891</v>
      </c>
      <c r="P26">
        <v>400</v>
      </c>
      <c r="Q26">
        <v>433</v>
      </c>
      <c r="R26" s="2">
        <v>44256</v>
      </c>
      <c r="S26" s="13">
        <v>416.69696969696969</v>
      </c>
      <c r="T26" s="13">
        <v>362.83870967741933</v>
      </c>
      <c r="U26" s="2">
        <v>44621</v>
      </c>
      <c r="V26" s="13">
        <v>384.4</v>
      </c>
      <c r="W26" s="13">
        <v>346</v>
      </c>
      <c r="X26" s="2">
        <v>44986</v>
      </c>
      <c r="Y26" s="13">
        <v>349.17857142857144</v>
      </c>
      <c r="Z26" s="13">
        <v>313.83870967741933</v>
      </c>
      <c r="AA26" s="2">
        <v>45352</v>
      </c>
      <c r="AB26" s="13">
        <v>300.35714285714283</v>
      </c>
      <c r="AC26" s="13">
        <v>321.48387096774195</v>
      </c>
    </row>
    <row r="27" spans="12:29" ht="15">
      <c r="L27" s="2">
        <v>43525</v>
      </c>
      <c r="M27" s="13">
        <v>333.2</v>
      </c>
      <c r="N27" s="13">
        <v>355.70967741935482</v>
      </c>
      <c r="O27" s="2">
        <v>43922</v>
      </c>
      <c r="P27" s="13">
        <v>405</v>
      </c>
      <c r="Q27" s="13">
        <v>539.02941176470586</v>
      </c>
      <c r="R27" s="2">
        <v>44287</v>
      </c>
      <c r="S27" s="13">
        <v>410.79310344827587</v>
      </c>
      <c r="T27" s="13">
        <v>425.76666666666665</v>
      </c>
      <c r="U27" s="2">
        <v>44652</v>
      </c>
      <c r="V27" s="13">
        <v>413.64285714285717</v>
      </c>
      <c r="W27" s="13">
        <v>417.1</v>
      </c>
      <c r="X27" s="2">
        <v>45017</v>
      </c>
      <c r="Y27" s="13">
        <v>354.91428571428571</v>
      </c>
      <c r="Z27" s="13">
        <v>361.36666666666667</v>
      </c>
      <c r="AA27" s="2">
        <v>45383</v>
      </c>
      <c r="AB27" s="13">
        <v>407.1142857142857</v>
      </c>
      <c r="AC27" s="13">
        <v>380.2</v>
      </c>
    </row>
    <row r="28" spans="12:29" ht="15">
      <c r="L28" s="2">
        <v>43556</v>
      </c>
      <c r="M28" s="13">
        <v>444.87878787878788</v>
      </c>
      <c r="N28" s="13">
        <v>430.46666666666664</v>
      </c>
      <c r="O28" s="2">
        <v>43952</v>
      </c>
      <c r="P28" s="13">
        <v>553.62068965517244</v>
      </c>
      <c r="Q28" s="13">
        <v>465.76470588235293</v>
      </c>
      <c r="R28" s="2">
        <v>44317</v>
      </c>
      <c r="S28" s="13">
        <v>448.42857142857144</v>
      </c>
      <c r="T28">
        <v>429</v>
      </c>
      <c r="U28" s="2">
        <v>44682</v>
      </c>
      <c r="V28" s="13">
        <v>448.29411764705884</v>
      </c>
      <c r="W28" s="13">
        <v>412.61290322580646</v>
      </c>
      <c r="X28" s="2">
        <v>45047</v>
      </c>
      <c r="Y28" s="13">
        <v>390</v>
      </c>
      <c r="Z28" s="13">
        <v>362.25806451612902</v>
      </c>
      <c r="AA28" s="2">
        <v>45413</v>
      </c>
      <c r="AB28" s="13">
        <v>391.07142857142856</v>
      </c>
      <c r="AC28" s="13">
        <v>372.93548387096774</v>
      </c>
    </row>
    <row r="29" spans="12:29" ht="15">
      <c r="L29" s="2">
        <v>43586</v>
      </c>
      <c r="M29" s="13">
        <v>351.82758620689657</v>
      </c>
      <c r="N29" s="13">
        <v>435.58064516129031</v>
      </c>
      <c r="O29" s="2">
        <v>43983</v>
      </c>
      <c r="P29" s="13">
        <v>610</v>
      </c>
      <c r="Q29" s="13">
        <v>539</v>
      </c>
      <c r="R29" s="2">
        <v>44348</v>
      </c>
      <c r="S29" s="13">
        <v>579.85714285714289</v>
      </c>
      <c r="T29" s="13">
        <v>485.56666666666666</v>
      </c>
      <c r="U29" s="2">
        <v>44713</v>
      </c>
      <c r="V29" s="13">
        <v>524.32142857142856</v>
      </c>
      <c r="W29" s="13">
        <v>532.33333333333337</v>
      </c>
      <c r="X29" s="2">
        <v>45078</v>
      </c>
      <c r="Y29" s="13">
        <v>413</v>
      </c>
      <c r="Z29" s="13">
        <v>425</v>
      </c>
      <c r="AA29" s="2">
        <v>45444</v>
      </c>
      <c r="AC29" s="13"/>
    </row>
    <row r="30" spans="12:29" ht="15">
      <c r="L30" s="2">
        <v>43617</v>
      </c>
      <c r="M30" s="13">
        <v>567.07142857142856</v>
      </c>
      <c r="N30" s="13">
        <v>507.76666666666665</v>
      </c>
      <c r="O30" s="2">
        <v>44013</v>
      </c>
      <c r="P30" s="13">
        <v>543</v>
      </c>
      <c r="Q30" s="13">
        <v>587</v>
      </c>
      <c r="R30" s="2">
        <v>44378</v>
      </c>
      <c r="S30" s="13">
        <v>501.07142859999999</v>
      </c>
      <c r="T30" s="13">
        <v>466.12903230000001</v>
      </c>
      <c r="U30" s="2">
        <v>44743</v>
      </c>
      <c r="V30" s="13">
        <v>416.67857142857144</v>
      </c>
      <c r="W30" s="13">
        <v>462.22580645161293</v>
      </c>
      <c r="X30" s="2">
        <v>45108</v>
      </c>
      <c r="Y30" s="13">
        <v>441.8857142857143</v>
      </c>
      <c r="Z30" s="13">
        <v>421.41935483870969</v>
      </c>
      <c r="AA30" s="2">
        <v>45474</v>
      </c>
      <c r="AB30" s="13"/>
      <c r="AC30" s="13"/>
    </row>
    <row r="31" spans="12:29" ht="15">
      <c r="L31" s="2">
        <v>43647</v>
      </c>
      <c r="M31" s="13">
        <v>521.67647058823525</v>
      </c>
      <c r="N31" s="13">
        <v>505.32258064516128</v>
      </c>
      <c r="O31" s="2">
        <v>44044</v>
      </c>
      <c r="P31" s="13">
        <v>504.48148148148147</v>
      </c>
      <c r="Q31" s="13">
        <v>595.93548387096769</v>
      </c>
      <c r="R31" s="2">
        <v>44409</v>
      </c>
      <c r="S31" s="13">
        <v>433.17142857142858</v>
      </c>
      <c r="T31" s="13">
        <v>448.19354838709677</v>
      </c>
      <c r="U31" s="2">
        <v>44774</v>
      </c>
      <c r="V31" s="13">
        <v>430.82857142857142</v>
      </c>
      <c r="W31" s="13">
        <v>486.41935483870969</v>
      </c>
      <c r="X31" s="2">
        <v>45139</v>
      </c>
      <c r="Y31" s="13">
        <v>420.89285714285717</v>
      </c>
      <c r="Z31" s="13">
        <v>443.41935483870969</v>
      </c>
      <c r="AA31" s="2">
        <v>45505</v>
      </c>
      <c r="AB31" s="13"/>
      <c r="AC31" s="13"/>
    </row>
    <row r="32" spans="12:29" ht="15">
      <c r="L32" s="2">
        <v>43678</v>
      </c>
      <c r="M32" s="13">
        <v>465.72413793103448</v>
      </c>
      <c r="N32" s="13">
        <v>471.25806451612902</v>
      </c>
      <c r="O32" s="2">
        <v>44075</v>
      </c>
      <c r="P32" s="13">
        <v>427.60606060606062</v>
      </c>
      <c r="Q32" s="13">
        <v>184.49180327868854</v>
      </c>
      <c r="R32" s="2">
        <v>44440</v>
      </c>
      <c r="S32" s="13">
        <v>338.28571428571428</v>
      </c>
      <c r="T32" s="13">
        <v>439.73333333333335</v>
      </c>
      <c r="U32" s="2">
        <v>44805</v>
      </c>
      <c r="V32" s="13">
        <v>433</v>
      </c>
      <c r="W32" s="13">
        <v>418.56666666666666</v>
      </c>
      <c r="X32" s="2">
        <v>45170</v>
      </c>
      <c r="Y32" s="13">
        <v>364.46428571428572</v>
      </c>
      <c r="Z32" s="13">
        <v>379.73333333333335</v>
      </c>
      <c r="AA32" s="2">
        <v>45536</v>
      </c>
      <c r="AB32" s="13"/>
      <c r="AC32" s="13"/>
    </row>
    <row r="33" spans="12:29" ht="15">
      <c r="L33" s="2">
        <v>43709</v>
      </c>
      <c r="M33" s="13">
        <v>524.89285714285711</v>
      </c>
      <c r="N33" s="13">
        <v>486.96666666666664</v>
      </c>
      <c r="O33" s="2">
        <v>44105</v>
      </c>
      <c r="P33" s="13">
        <v>389</v>
      </c>
      <c r="Q33" s="13">
        <v>386</v>
      </c>
      <c r="R33" s="2">
        <v>44470</v>
      </c>
      <c r="S33" s="13">
        <v>382.48275862068965</v>
      </c>
      <c r="T33" s="13">
        <v>386.45161290322579</v>
      </c>
      <c r="U33" s="2">
        <v>44835</v>
      </c>
      <c r="V33" s="13">
        <v>402.82142857142856</v>
      </c>
      <c r="W33" s="13">
        <v>363.83870967741933</v>
      </c>
      <c r="X33" s="2">
        <v>45200</v>
      </c>
      <c r="Y33" s="13">
        <v>404.4848484848485</v>
      </c>
      <c r="Z33" s="13">
        <v>367.19354838709677</v>
      </c>
      <c r="AA33" s="2">
        <v>45566</v>
      </c>
      <c r="AB33" s="13"/>
      <c r="AC33" s="13"/>
    </row>
    <row r="34" spans="12:29" ht="15">
      <c r="L34" s="2">
        <v>43739</v>
      </c>
      <c r="M34" s="13">
        <v>359.79411764705884</v>
      </c>
      <c r="N34" s="13">
        <v>792.22580645161293</v>
      </c>
      <c r="O34" s="2">
        <v>44136</v>
      </c>
      <c r="P34" s="13">
        <v>392.28571428571428</v>
      </c>
      <c r="Q34" s="13">
        <v>407.03333333333336</v>
      </c>
      <c r="R34" s="2">
        <v>44501</v>
      </c>
      <c r="S34" s="13">
        <v>407.51428571428573</v>
      </c>
      <c r="T34" s="13">
        <v>413.53333333333336</v>
      </c>
      <c r="U34" s="2">
        <v>44866</v>
      </c>
      <c r="V34" s="13">
        <v>418.52941176470586</v>
      </c>
      <c r="W34" s="13">
        <v>392.06666666666666</v>
      </c>
      <c r="X34" s="2">
        <v>45231</v>
      </c>
      <c r="Y34" s="13">
        <v>344.55172413793105</v>
      </c>
      <c r="Z34" s="13">
        <v>383.83333333333331</v>
      </c>
      <c r="AA34" s="2">
        <v>45597</v>
      </c>
      <c r="AB34" s="13"/>
      <c r="AC34" s="13"/>
    </row>
    <row r="35" spans="12:29" ht="15">
      <c r="L35" s="2">
        <v>43770</v>
      </c>
      <c r="M35" s="13">
        <v>367.89655172413791</v>
      </c>
      <c r="N35" s="13">
        <v>362.51724137931035</v>
      </c>
      <c r="O35" s="2">
        <v>44166</v>
      </c>
      <c r="P35" s="13">
        <v>353</v>
      </c>
      <c r="Q35" s="13">
        <v>341</v>
      </c>
      <c r="R35" s="2">
        <v>44531</v>
      </c>
      <c r="S35" s="13">
        <v>391.22857142857146</v>
      </c>
      <c r="T35" s="13">
        <v>400.48387096774195</v>
      </c>
      <c r="U35" s="2">
        <v>44896</v>
      </c>
      <c r="V35" s="13">
        <v>334.33333333333331</v>
      </c>
      <c r="W35" s="13">
        <v>348.09677419354841</v>
      </c>
      <c r="X35" s="2">
        <v>45261</v>
      </c>
      <c r="Y35" s="13">
        <v>322.85714285714283</v>
      </c>
      <c r="Z35" s="13">
        <v>314.38709677419354</v>
      </c>
      <c r="AA35" s="2">
        <v>45627</v>
      </c>
      <c r="AB35" s="13"/>
      <c r="AC35" s="13"/>
    </row>
    <row r="36" spans="12:29" ht="15">
      <c r="L36" s="2">
        <v>43800</v>
      </c>
      <c r="M36" s="13">
        <v>366.72500000000002</v>
      </c>
      <c r="N36" s="13">
        <v>397</v>
      </c>
      <c r="O36" s="2">
        <v>44197</v>
      </c>
      <c r="P36" s="13">
        <v>408.36363636363637</v>
      </c>
      <c r="Q36" s="13">
        <v>355.41935483870969</v>
      </c>
      <c r="R36" s="2">
        <v>44562</v>
      </c>
      <c r="S36" s="13">
        <v>400</v>
      </c>
      <c r="T36" s="13">
        <v>397</v>
      </c>
      <c r="U36" s="2">
        <v>44927</v>
      </c>
      <c r="V36" s="13">
        <v>341.46428571428572</v>
      </c>
      <c r="W36" s="13">
        <v>332.41935483870969</v>
      </c>
      <c r="X36" s="2">
        <v>45292</v>
      </c>
      <c r="Y36" s="13">
        <v>339</v>
      </c>
      <c r="Z36" s="13">
        <v>330.83870967741933</v>
      </c>
      <c r="AA36" s="2">
        <v>45658</v>
      </c>
      <c r="AB36" s="13"/>
      <c r="AC36" s="13"/>
    </row>
    <row r="37" spans="12:29">
      <c r="L37" s="2">
        <v>43831</v>
      </c>
      <c r="M37" s="13">
        <v>377.28571428571428</v>
      </c>
      <c r="N37" s="13">
        <v>406.42631578947368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4640-BF34-4919-ABE0-81B8CF60785B}">
  <dimension ref="A1:AD22"/>
  <sheetViews>
    <sheetView workbookViewId="0">
      <selection activeCell="E29" sqref="E29"/>
    </sheetView>
  </sheetViews>
  <sheetFormatPr defaultRowHeight="14.45"/>
  <cols>
    <col min="12" max="13" width="9.140625" hidden="1" customWidth="1"/>
    <col min="15" max="16" width="9.140625" hidden="1" customWidth="1"/>
    <col min="18" max="19" width="9.140625" hidden="1" customWidth="1"/>
    <col min="21" max="22" width="0" hidden="1" customWidth="1"/>
    <col min="23" max="23" width="27.7109375" hidden="1" customWidth="1"/>
    <col min="25" max="27" width="9.140625" hidden="1" customWidth="1"/>
  </cols>
  <sheetData>
    <row r="1" spans="1:30" ht="18">
      <c r="A1" s="14" t="s">
        <v>166</v>
      </c>
    </row>
    <row r="3" spans="1:30" ht="15">
      <c r="L3" t="s">
        <v>153</v>
      </c>
      <c r="M3" t="s">
        <v>154</v>
      </c>
      <c r="O3" s="6" t="s">
        <v>153</v>
      </c>
      <c r="P3" s="6" t="s">
        <v>154</v>
      </c>
      <c r="Q3" s="6"/>
      <c r="R3" s="6" t="s">
        <v>153</v>
      </c>
      <c r="S3" s="6" t="s">
        <v>154</v>
      </c>
      <c r="U3" s="6" t="s">
        <v>153</v>
      </c>
      <c r="V3" s="6" t="s">
        <v>154</v>
      </c>
      <c r="Y3" s="6" t="s">
        <v>156</v>
      </c>
      <c r="Z3" s="6" t="s">
        <v>154</v>
      </c>
      <c r="AC3" s="6" t="s">
        <v>156</v>
      </c>
      <c r="AD3" s="6" t="s">
        <v>154</v>
      </c>
    </row>
    <row r="4" spans="1:30" ht="15">
      <c r="K4" s="2">
        <v>43466</v>
      </c>
      <c r="L4" s="18">
        <v>1.5307798316553884</v>
      </c>
      <c r="M4" s="18">
        <v>1.42</v>
      </c>
      <c r="N4" s="2">
        <v>43862</v>
      </c>
      <c r="O4" s="19">
        <v>1.4846282937768642</v>
      </c>
      <c r="P4" s="18">
        <v>1.54</v>
      </c>
      <c r="Q4" s="2">
        <v>44228</v>
      </c>
      <c r="R4" s="23">
        <v>1.7175029632556302</v>
      </c>
      <c r="S4" s="23">
        <v>1.64</v>
      </c>
      <c r="T4" s="2">
        <v>44593</v>
      </c>
      <c r="U4" s="23">
        <v>2.1747200976403582</v>
      </c>
      <c r="V4" s="23">
        <v>1.8766854191980558</v>
      </c>
      <c r="X4" s="2">
        <v>44958</v>
      </c>
      <c r="Y4" s="23">
        <v>2.0184303667351946</v>
      </c>
      <c r="Z4" s="23">
        <v>2.0184303667351946</v>
      </c>
      <c r="AB4" s="2">
        <v>45323</v>
      </c>
      <c r="AC4" s="23">
        <v>2.3199999999999998</v>
      </c>
      <c r="AD4" s="23">
        <v>2.3199999999999998</v>
      </c>
    </row>
    <row r="5" spans="1:30" ht="15">
      <c r="K5" s="2">
        <v>43497</v>
      </c>
      <c r="L5" s="18">
        <v>1.3326352530541012</v>
      </c>
      <c r="M5" s="18">
        <v>1.42</v>
      </c>
      <c r="N5" s="2">
        <v>43891</v>
      </c>
      <c r="O5" s="19">
        <v>1.7336874784408416</v>
      </c>
      <c r="P5" s="18">
        <v>1.54</v>
      </c>
      <c r="Q5" s="2">
        <v>44256</v>
      </c>
      <c r="R5" s="23">
        <v>1.3871456621336629</v>
      </c>
      <c r="S5" s="23">
        <v>1.6378298364153625</v>
      </c>
      <c r="T5" s="2">
        <v>44621</v>
      </c>
      <c r="U5" s="23">
        <v>1.1394846885684553</v>
      </c>
      <c r="V5" s="23">
        <v>1.876685064329666</v>
      </c>
      <c r="X5" s="2">
        <v>44986</v>
      </c>
      <c r="Y5" s="23">
        <v>2.0184303667351946</v>
      </c>
      <c r="Z5" s="23">
        <v>2.0184303667351946</v>
      </c>
      <c r="AB5" s="2">
        <v>45352</v>
      </c>
      <c r="AC5" s="23">
        <v>2.3199999999999998</v>
      </c>
      <c r="AD5" s="23">
        <v>2.3199999999999998</v>
      </c>
    </row>
    <row r="6" spans="1:30" ht="15">
      <c r="K6" s="2">
        <v>43525</v>
      </c>
      <c r="L6" s="18">
        <v>1.7537014805922368</v>
      </c>
      <c r="M6" s="18">
        <v>1.43</v>
      </c>
      <c r="N6" s="2">
        <v>43922</v>
      </c>
      <c r="O6" s="18">
        <v>1.52</v>
      </c>
      <c r="P6" s="18">
        <v>1.54</v>
      </c>
      <c r="Q6" s="2">
        <v>44287</v>
      </c>
      <c r="R6" s="23">
        <v>1.507331486611265</v>
      </c>
      <c r="S6" s="23">
        <v>1.6378303061144601</v>
      </c>
      <c r="T6" s="2">
        <v>44652</v>
      </c>
      <c r="U6" s="23">
        <v>2.0946561906406487</v>
      </c>
      <c r="V6" s="23">
        <v>1.8766845680492286</v>
      </c>
      <c r="X6" s="2">
        <v>45017</v>
      </c>
      <c r="Y6" s="23">
        <v>2.0184303667351946</v>
      </c>
      <c r="Z6" s="23">
        <v>2.0184303667351946</v>
      </c>
      <c r="AB6" s="2">
        <v>45383</v>
      </c>
      <c r="AC6" s="23">
        <v>2.3187451049196435</v>
      </c>
      <c r="AD6" s="23">
        <v>2.3187452218130806</v>
      </c>
    </row>
    <row r="7" spans="1:30" ht="15">
      <c r="K7" s="2">
        <v>43556</v>
      </c>
      <c r="L7" s="18">
        <v>1.4851849329064777</v>
      </c>
      <c r="M7" s="18">
        <v>1.42</v>
      </c>
      <c r="N7" s="2">
        <v>43952</v>
      </c>
      <c r="O7" s="18">
        <v>1.52</v>
      </c>
      <c r="P7" s="18">
        <v>1.54</v>
      </c>
      <c r="Q7" s="2">
        <v>44317</v>
      </c>
      <c r="R7" s="23">
        <v>1.6967537432303281</v>
      </c>
      <c r="S7" s="23">
        <v>1.6378303631852018</v>
      </c>
      <c r="T7" s="2">
        <v>44682</v>
      </c>
      <c r="U7" s="23">
        <v>1.8766845680492286</v>
      </c>
      <c r="V7" s="23">
        <v>1.8810837160477625</v>
      </c>
      <c r="X7" s="2">
        <v>45047</v>
      </c>
      <c r="Y7" s="23">
        <v>2.02</v>
      </c>
      <c r="Z7" s="23">
        <v>2.02</v>
      </c>
      <c r="AB7" s="2">
        <v>45413</v>
      </c>
      <c r="AC7" s="23">
        <v>2.3187455251141555</v>
      </c>
      <c r="AD7" s="23">
        <v>2.3187445722688347</v>
      </c>
    </row>
    <row r="8" spans="1:30" ht="15">
      <c r="K8" s="28">
        <v>43586</v>
      </c>
      <c r="L8" s="29">
        <v>2.0778202489463884</v>
      </c>
      <c r="M8" s="29">
        <v>1.42</v>
      </c>
      <c r="N8" s="28">
        <v>43983</v>
      </c>
      <c r="O8" s="29">
        <v>1.3081420118343197</v>
      </c>
      <c r="P8" s="29">
        <v>1.54</v>
      </c>
      <c r="Q8" s="28">
        <v>44348</v>
      </c>
      <c r="R8" s="30">
        <v>1.3621212121212123</v>
      </c>
      <c r="S8" s="30">
        <v>1.6378298894762131</v>
      </c>
      <c r="T8" s="28">
        <v>44713</v>
      </c>
      <c r="U8" s="27">
        <v>1.876684694503099</v>
      </c>
      <c r="V8" s="27">
        <v>1.8972515654351909</v>
      </c>
      <c r="W8" s="26" t="s">
        <v>167</v>
      </c>
      <c r="X8" s="2">
        <v>45078</v>
      </c>
      <c r="Y8" s="23">
        <v>2.02</v>
      </c>
      <c r="Z8" s="23">
        <v>2.02</v>
      </c>
      <c r="AB8" s="2">
        <v>45444</v>
      </c>
      <c r="AD8" s="23"/>
    </row>
    <row r="9" spans="1:30" ht="15">
      <c r="K9" s="2">
        <v>43617</v>
      </c>
      <c r="L9" s="18">
        <v>1.3082252172817734</v>
      </c>
      <c r="M9" s="18">
        <v>1.42</v>
      </c>
      <c r="N9" s="2">
        <v>44013</v>
      </c>
      <c r="O9" s="18">
        <v>1.65</v>
      </c>
      <c r="P9" s="18">
        <v>1.6397152368478498</v>
      </c>
      <c r="Q9" s="2">
        <v>44378</v>
      </c>
      <c r="R9" s="23">
        <v>1.86</v>
      </c>
      <c r="S9" s="23">
        <v>1.88</v>
      </c>
      <c r="T9" s="2">
        <v>44743</v>
      </c>
      <c r="U9" s="23">
        <v>2.02</v>
      </c>
      <c r="V9" s="23">
        <v>2.02</v>
      </c>
      <c r="X9" s="2">
        <v>45108</v>
      </c>
      <c r="Y9" s="23">
        <v>2.3290608108108106</v>
      </c>
      <c r="Z9" s="23">
        <v>2.3187447183098588</v>
      </c>
      <c r="AA9" t="s">
        <v>168</v>
      </c>
      <c r="AB9" s="2">
        <v>45474</v>
      </c>
      <c r="AC9" s="23"/>
      <c r="AD9" s="23"/>
    </row>
    <row r="10" spans="1:30" ht="15">
      <c r="K10" s="2">
        <v>43647</v>
      </c>
      <c r="L10" s="18">
        <v>1.6056830354625924</v>
      </c>
      <c r="M10" s="18">
        <v>1.6</v>
      </c>
      <c r="N10" s="2">
        <v>44044</v>
      </c>
      <c r="O10" s="18">
        <v>1.3097084995397361</v>
      </c>
      <c r="P10" s="18">
        <v>0.45</v>
      </c>
      <c r="Q10" s="2">
        <v>44409</v>
      </c>
      <c r="R10" s="23">
        <v>1.6480593298595081</v>
      </c>
      <c r="S10" s="23">
        <v>1.876685115877357</v>
      </c>
      <c r="T10" s="2">
        <v>44774</v>
      </c>
      <c r="U10" s="23">
        <v>2.0184303667351946</v>
      </c>
      <c r="V10" s="23">
        <v>2.0184303667351946</v>
      </c>
      <c r="X10" s="2">
        <v>45139</v>
      </c>
      <c r="Y10" s="23">
        <v>2.3187444633008059</v>
      </c>
      <c r="Z10" s="23">
        <v>2.31874501673214</v>
      </c>
      <c r="AB10" s="2">
        <v>45505</v>
      </c>
      <c r="AC10" s="23"/>
      <c r="AD10" s="23"/>
    </row>
    <row r="11" spans="1:30" ht="15">
      <c r="K11" s="2">
        <v>43678</v>
      </c>
      <c r="L11" s="18">
        <v>1.8843476973197097</v>
      </c>
      <c r="M11" s="18">
        <v>1.6</v>
      </c>
      <c r="N11" s="2">
        <v>44075</v>
      </c>
      <c r="O11" s="18">
        <v>1.34</v>
      </c>
      <c r="P11" s="18">
        <v>0</v>
      </c>
      <c r="Q11" s="2">
        <v>44440</v>
      </c>
      <c r="R11" s="23">
        <v>2.3386372888513511</v>
      </c>
      <c r="S11" s="23">
        <v>1.8766845815645845</v>
      </c>
      <c r="T11" s="2">
        <v>44805</v>
      </c>
      <c r="U11" s="23">
        <v>2.0184303667351946</v>
      </c>
      <c r="V11" s="23">
        <v>2.0184303667351946</v>
      </c>
      <c r="X11" s="2">
        <v>45170</v>
      </c>
      <c r="Y11" s="23">
        <v>2.3187444633008059</v>
      </c>
      <c r="Z11" s="23">
        <v>2.31874501673214</v>
      </c>
      <c r="AB11" s="2">
        <v>45536</v>
      </c>
      <c r="AC11" s="23"/>
      <c r="AD11" s="23"/>
    </row>
    <row r="12" spans="1:30" ht="15">
      <c r="K12" s="2">
        <v>43709</v>
      </c>
      <c r="L12" s="18">
        <v>1.3648731033544261</v>
      </c>
      <c r="M12" s="18">
        <v>1.6</v>
      </c>
      <c r="N12" s="2">
        <v>44105</v>
      </c>
      <c r="O12" s="18">
        <v>1.645860324784808</v>
      </c>
      <c r="P12" s="18">
        <v>1.7093605769230769</v>
      </c>
      <c r="Q12" s="2">
        <v>44470</v>
      </c>
      <c r="R12" s="23">
        <v>1.8915553552109627</v>
      </c>
      <c r="S12" s="23">
        <v>1.8766848080133554</v>
      </c>
      <c r="T12" s="2">
        <v>44835</v>
      </c>
      <c r="U12" s="23">
        <v>2.0184303667351946</v>
      </c>
      <c r="V12" s="23">
        <v>2.0184303667351946</v>
      </c>
      <c r="X12" s="2">
        <v>45200</v>
      </c>
      <c r="Y12" s="23">
        <v>2.3187447932274496</v>
      </c>
      <c r="Z12" s="23">
        <v>2.3187447070192393</v>
      </c>
      <c r="AB12" s="2">
        <v>45566</v>
      </c>
      <c r="AC12" s="37"/>
      <c r="AD12" s="37"/>
    </row>
    <row r="13" spans="1:30" ht="15">
      <c r="K13" s="2">
        <v>43739</v>
      </c>
      <c r="L13" s="18">
        <v>1.64</v>
      </c>
      <c r="M13" s="18">
        <v>1.6</v>
      </c>
      <c r="N13" s="2">
        <v>44136</v>
      </c>
      <c r="O13" s="19">
        <v>1.5758685360524398</v>
      </c>
      <c r="P13" s="19">
        <v>1.6378303578740476</v>
      </c>
      <c r="Q13" s="2">
        <v>44501</v>
      </c>
      <c r="R13" s="23">
        <v>1.4476525976302319</v>
      </c>
      <c r="S13" s="23">
        <v>1.8766848702240848</v>
      </c>
      <c r="T13" s="2">
        <v>44866</v>
      </c>
      <c r="U13" s="23">
        <v>2.0184303667351946</v>
      </c>
      <c r="V13" s="23">
        <v>2.0184303667351946</v>
      </c>
      <c r="X13" s="2">
        <v>45231</v>
      </c>
      <c r="Y13" s="23">
        <v>2.3187448055085769</v>
      </c>
      <c r="Z13" s="23">
        <v>2.3187445505861914</v>
      </c>
      <c r="AB13" s="2">
        <v>45597</v>
      </c>
      <c r="AC13" s="23"/>
      <c r="AD13" s="23"/>
    </row>
    <row r="14" spans="1:30" ht="15">
      <c r="K14" s="2">
        <v>43770</v>
      </c>
      <c r="L14" s="18">
        <v>1.8801707751429375</v>
      </c>
      <c r="M14" s="18">
        <v>1.6</v>
      </c>
      <c r="N14" s="2">
        <v>44166</v>
      </c>
      <c r="O14" s="19">
        <v>1.4856460204504629</v>
      </c>
      <c r="P14" s="19">
        <v>1.6378301521307754</v>
      </c>
      <c r="Q14" s="2">
        <v>44531</v>
      </c>
      <c r="R14" s="23">
        <v>1.6080594099174761</v>
      </c>
      <c r="S14" s="23">
        <v>1.8857545308095045</v>
      </c>
      <c r="T14" s="2">
        <v>44896</v>
      </c>
      <c r="U14" s="23">
        <v>2.0184303667351946</v>
      </c>
      <c r="V14" s="23">
        <v>2.0184303667351946</v>
      </c>
      <c r="X14" s="2">
        <v>45261</v>
      </c>
      <c r="Y14" s="23">
        <v>2.3187449999999998</v>
      </c>
      <c r="Z14" s="23">
        <v>2.3187450235994254</v>
      </c>
      <c r="AB14" s="2">
        <v>45627</v>
      </c>
      <c r="AC14" s="23"/>
      <c r="AD14" s="23"/>
    </row>
    <row r="15" spans="1:30" ht="15">
      <c r="K15" s="2">
        <v>43800</v>
      </c>
      <c r="L15" s="18">
        <v>1.25</v>
      </c>
      <c r="M15" s="18">
        <v>1.6</v>
      </c>
      <c r="N15" s="2">
        <v>44197</v>
      </c>
      <c r="O15" s="23">
        <v>1.9749788512911843</v>
      </c>
      <c r="P15" s="23">
        <v>1.6378304592485022</v>
      </c>
      <c r="Q15" s="2">
        <v>44562</v>
      </c>
      <c r="R15" s="23">
        <v>2.2369826724235886</v>
      </c>
      <c r="S15" s="23">
        <v>1.87</v>
      </c>
      <c r="T15" s="2">
        <v>44927</v>
      </c>
      <c r="U15" s="23">
        <v>2.0184303667351946</v>
      </c>
      <c r="V15" s="23">
        <v>2.0184303667351946</v>
      </c>
      <c r="X15" s="2">
        <v>45292</v>
      </c>
      <c r="Y15" s="23">
        <v>2.3187450484618624</v>
      </c>
      <c r="Z15" s="23">
        <v>2.3187446860374412</v>
      </c>
      <c r="AB15" s="2">
        <v>45658</v>
      </c>
      <c r="AC15" s="23"/>
      <c r="AD15" s="23"/>
    </row>
    <row r="16" spans="1:30">
      <c r="K16" s="2">
        <v>43831</v>
      </c>
      <c r="L16" s="18">
        <v>1.8191518364255963</v>
      </c>
      <c r="M16" s="18">
        <v>1.54</v>
      </c>
    </row>
    <row r="21" spans="2:2" ht="21" hidden="1">
      <c r="B21" s="15" t="s">
        <v>169</v>
      </c>
    </row>
    <row r="22" spans="2:2" hidden="1">
      <c r="B22" t="s">
        <v>170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DF12-5AE7-48D4-AF65-B8130CBD5696}">
  <dimension ref="A1:C19"/>
  <sheetViews>
    <sheetView workbookViewId="0">
      <selection activeCell="C18" sqref="C18"/>
    </sheetView>
  </sheetViews>
  <sheetFormatPr defaultRowHeight="15"/>
  <cols>
    <col min="1" max="1" width="10.42578125" bestFit="1" customWidth="1"/>
    <col min="2" max="2" width="13.85546875" bestFit="1" customWidth="1"/>
  </cols>
  <sheetData>
    <row r="1" spans="1:3" ht="21">
      <c r="A1" s="15" t="s">
        <v>171</v>
      </c>
    </row>
    <row r="2" spans="1:3" ht="21">
      <c r="A2" s="15"/>
    </row>
    <row r="4" spans="1:3">
      <c r="A4" s="6" t="s">
        <v>172</v>
      </c>
      <c r="B4" s="6" t="s">
        <v>173</v>
      </c>
      <c r="C4" s="6" t="s">
        <v>174</v>
      </c>
    </row>
    <row r="5" spans="1:3">
      <c r="A5" s="2">
        <v>44986</v>
      </c>
      <c r="B5" s="23">
        <v>1514.8145</v>
      </c>
      <c r="C5">
        <f t="shared" ref="C5:C7" si="0">B5/2.02</f>
        <v>749.90816831683162</v>
      </c>
    </row>
    <row r="6" spans="1:3">
      <c r="A6" s="2">
        <v>45017</v>
      </c>
      <c r="B6" s="23">
        <v>1825.4870000000001</v>
      </c>
      <c r="C6">
        <f t="shared" si="0"/>
        <v>903.70643564356442</v>
      </c>
    </row>
    <row r="7" spans="1:3">
      <c r="A7" s="2">
        <v>45047</v>
      </c>
      <c r="B7" s="23">
        <v>1831.2370000000001</v>
      </c>
      <c r="C7">
        <f t="shared" si="0"/>
        <v>906.55297029702979</v>
      </c>
    </row>
    <row r="8" spans="1:3">
      <c r="A8" s="2">
        <v>45078</v>
      </c>
      <c r="B8" s="23">
        <v>1987.3609999999999</v>
      </c>
      <c r="C8">
        <f>B8/2.02</f>
        <v>983.84207920792073</v>
      </c>
    </row>
    <row r="9" spans="1:3">
      <c r="A9" s="2">
        <v>45108</v>
      </c>
      <c r="B9" s="23">
        <v>2385.0539999999996</v>
      </c>
      <c r="C9">
        <f>B9/2.32</f>
        <v>1028.0405172413791</v>
      </c>
    </row>
    <row r="10" spans="1:3">
      <c r="A10" s="2">
        <v>45139</v>
      </c>
      <c r="B10" s="23">
        <v>2096.6224999999999</v>
      </c>
      <c r="C10">
        <f t="shared" ref="C10:C17" si="1">B10/2.32</f>
        <v>903.71659482758628</v>
      </c>
    </row>
    <row r="11" spans="1:3">
      <c r="A11" s="2">
        <v>45170</v>
      </c>
      <c r="B11" s="23">
        <v>1977.655</v>
      </c>
      <c r="C11">
        <f t="shared" si="1"/>
        <v>852.4375</v>
      </c>
    </row>
    <row r="12" spans="1:3">
      <c r="A12" s="2">
        <v>45200</v>
      </c>
      <c r="B12" s="23">
        <v>2441.8180000000002</v>
      </c>
      <c r="C12">
        <f t="shared" si="1"/>
        <v>1052.5077586206899</v>
      </c>
    </row>
    <row r="13" spans="1:3">
      <c r="A13" s="2">
        <v>45231</v>
      </c>
      <c r="B13" s="23">
        <v>1962.7049999999999</v>
      </c>
      <c r="C13">
        <f t="shared" si="1"/>
        <v>845.99353448275861</v>
      </c>
    </row>
    <row r="14" spans="1:3">
      <c r="A14" s="2">
        <v>45261</v>
      </c>
      <c r="B14" s="23">
        <v>2101.2224999999999</v>
      </c>
      <c r="C14">
        <f t="shared" si="1"/>
        <v>905.69935344827582</v>
      </c>
    </row>
    <row r="15" spans="1:3">
      <c r="A15" s="2">
        <v>45292</v>
      </c>
      <c r="B15" s="23">
        <v>2331.8319999999999</v>
      </c>
      <c r="C15">
        <f t="shared" si="1"/>
        <v>1005.1</v>
      </c>
    </row>
    <row r="16" spans="1:3">
      <c r="A16" s="2">
        <v>45323</v>
      </c>
      <c r="B16" s="23">
        <v>2027.7949999999998</v>
      </c>
      <c r="C16">
        <f t="shared" si="1"/>
        <v>874.04956896551721</v>
      </c>
    </row>
    <row r="17" spans="1:3">
      <c r="A17" s="2">
        <v>45352</v>
      </c>
      <c r="B17" s="23">
        <v>347.84050000000002</v>
      </c>
      <c r="C17">
        <f t="shared" si="1"/>
        <v>149.93125000000001</v>
      </c>
    </row>
    <row r="18" spans="1:3">
      <c r="A18" s="48">
        <v>45406</v>
      </c>
      <c r="B18" s="23">
        <v>5977.2974999999988</v>
      </c>
    </row>
    <row r="19" spans="1:3" ht="18.75">
      <c r="A19" s="45" t="s">
        <v>175</v>
      </c>
      <c r="B19" s="46">
        <f>SUM(B5:B18)/13</f>
        <v>2369.9031923076918</v>
      </c>
      <c r="C19" s="47">
        <f>SUM(C5:C18)/13</f>
        <v>858.57582546550407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50B8-56AA-4111-916F-B7A2A3CCE3AC}">
  <dimension ref="K2:S15"/>
  <sheetViews>
    <sheetView tabSelected="1" workbookViewId="0">
      <selection activeCell="R10" sqref="R10"/>
    </sheetView>
  </sheetViews>
  <sheetFormatPr defaultRowHeight="15"/>
  <cols>
    <col min="12" max="14" width="13.28515625" hidden="1" customWidth="1"/>
    <col min="15" max="15" width="18" hidden="1" customWidth="1"/>
    <col min="17" max="18" width="13.28515625" bestFit="1" customWidth="1"/>
    <col min="19" max="19" width="18" bestFit="1" customWidth="1"/>
  </cols>
  <sheetData>
    <row r="2" spans="11:19" ht="30.75">
      <c r="K2" s="50" t="s">
        <v>176</v>
      </c>
      <c r="L2" s="6" t="s">
        <v>156</v>
      </c>
      <c r="M2" s="6" t="s">
        <v>154</v>
      </c>
      <c r="N2" s="6" t="s">
        <v>13</v>
      </c>
      <c r="O2" s="6" t="s">
        <v>155</v>
      </c>
      <c r="P2" s="50" t="s">
        <v>176</v>
      </c>
      <c r="Q2" s="6" t="s">
        <v>156</v>
      </c>
      <c r="R2" s="6" t="s">
        <v>154</v>
      </c>
      <c r="S2" s="6" t="s">
        <v>155</v>
      </c>
    </row>
    <row r="3" spans="11:19">
      <c r="K3" s="2">
        <v>44986</v>
      </c>
      <c r="L3" s="23">
        <v>20331.87</v>
      </c>
      <c r="M3" s="23">
        <v>22607.815500000001</v>
      </c>
      <c r="N3" s="23">
        <f>L3-M3</f>
        <v>-2275.9455000000016</v>
      </c>
      <c r="O3" s="16" t="s">
        <v>157</v>
      </c>
      <c r="P3" s="2">
        <v>45352</v>
      </c>
      <c r="Q3" s="23">
        <v>23220.776999999998</v>
      </c>
      <c r="R3" s="23">
        <v>24352.319499999998</v>
      </c>
      <c r="S3" s="16" t="s">
        <v>157</v>
      </c>
    </row>
    <row r="4" spans="11:19">
      <c r="K4" s="2">
        <v>45017</v>
      </c>
      <c r="L4" s="23">
        <v>20375.150000000001</v>
      </c>
      <c r="M4" s="23">
        <v>20675.654500000001</v>
      </c>
      <c r="N4" s="23">
        <f t="shared" ref="N4:N14" si="0">L4-M4</f>
        <v>-300.5044999999991</v>
      </c>
      <c r="O4" s="16" t="s">
        <v>157</v>
      </c>
      <c r="P4" s="2">
        <v>45383</v>
      </c>
      <c r="Q4" s="23">
        <v>22154.151999999995</v>
      </c>
      <c r="R4" s="23">
        <v>24319.8665</v>
      </c>
      <c r="S4" s="16" t="s">
        <v>157</v>
      </c>
    </row>
    <row r="5" spans="11:19">
      <c r="K5" s="2">
        <v>45047</v>
      </c>
      <c r="L5" s="23">
        <v>20772.47</v>
      </c>
      <c r="M5" s="23">
        <v>22918.418999999998</v>
      </c>
      <c r="N5" s="23">
        <f t="shared" si="0"/>
        <v>-2145.9489999999969</v>
      </c>
      <c r="O5" s="16" t="s">
        <v>157</v>
      </c>
      <c r="P5" s="2">
        <v>45413</v>
      </c>
      <c r="Q5" s="23">
        <v>20711.890999999996</v>
      </c>
      <c r="R5" s="23">
        <v>27658.86</v>
      </c>
      <c r="S5" s="16" t="s">
        <v>157</v>
      </c>
    </row>
    <row r="6" spans="11:19">
      <c r="K6" s="2">
        <v>45078</v>
      </c>
      <c r="L6" s="23">
        <v>26107.08</v>
      </c>
      <c r="M6" s="23">
        <v>23702.971999999998</v>
      </c>
      <c r="N6" s="23">
        <f t="shared" si="0"/>
        <v>2404.1080000000038</v>
      </c>
      <c r="O6" s="16" t="s">
        <v>157</v>
      </c>
      <c r="P6" s="2">
        <v>45444</v>
      </c>
      <c r="Q6" s="23">
        <v>34251.040000000001</v>
      </c>
      <c r="R6" s="23">
        <v>28018.26</v>
      </c>
      <c r="S6" s="16" t="s">
        <v>157</v>
      </c>
    </row>
    <row r="7" spans="11:19">
      <c r="K7" s="2">
        <v>45108</v>
      </c>
      <c r="L7" s="23">
        <v>22291.18</v>
      </c>
      <c r="M7" s="23">
        <v>26930.35</v>
      </c>
      <c r="N7" s="23">
        <f t="shared" si="0"/>
        <v>-4639.1699999999983</v>
      </c>
      <c r="O7" s="16" t="s">
        <v>157</v>
      </c>
      <c r="P7" s="2">
        <v>45474</v>
      </c>
      <c r="Q7" s="23">
        <v>26601.53</v>
      </c>
      <c r="R7" s="23"/>
      <c r="S7" s="16"/>
    </row>
    <row r="8" spans="11:19">
      <c r="K8" s="2">
        <v>45139</v>
      </c>
      <c r="L8" s="23">
        <v>25371.33</v>
      </c>
      <c r="M8" s="23">
        <v>31503.329999999994</v>
      </c>
      <c r="N8" s="23">
        <f t="shared" si="0"/>
        <v>-6131.9999999999927</v>
      </c>
      <c r="O8" s="16" t="s">
        <v>157</v>
      </c>
      <c r="P8" s="2">
        <v>45505</v>
      </c>
      <c r="Q8" s="23"/>
      <c r="R8" s="23"/>
      <c r="S8" s="16"/>
    </row>
    <row r="9" spans="11:19">
      <c r="K9" s="2">
        <v>45170</v>
      </c>
      <c r="L9" s="23">
        <v>37232.503499999999</v>
      </c>
      <c r="M9" s="23">
        <v>33084.718000000001</v>
      </c>
      <c r="N9" s="23">
        <f t="shared" si="0"/>
        <v>4147.7854999999981</v>
      </c>
      <c r="O9" s="16" t="s">
        <v>157</v>
      </c>
      <c r="P9" s="2">
        <v>45536</v>
      </c>
      <c r="Q9" s="23"/>
      <c r="R9" s="23"/>
      <c r="S9" s="16"/>
    </row>
    <row r="10" spans="11:19">
      <c r="K10" s="2">
        <v>45200</v>
      </c>
      <c r="L10" s="23">
        <v>28537.69</v>
      </c>
      <c r="M10" s="23">
        <v>27626.392499999994</v>
      </c>
      <c r="N10" s="23">
        <f t="shared" si="0"/>
        <v>911.29750000000422</v>
      </c>
      <c r="O10" s="16" t="s">
        <v>157</v>
      </c>
      <c r="P10" s="2">
        <v>45566</v>
      </c>
      <c r="Q10" s="37"/>
      <c r="R10" s="37"/>
      <c r="S10" s="16"/>
    </row>
    <row r="11" spans="11:19">
      <c r="K11" s="2">
        <v>45231</v>
      </c>
      <c r="L11" s="23">
        <v>24874.03</v>
      </c>
      <c r="M11" s="37">
        <v>27605.52</v>
      </c>
      <c r="N11" s="23">
        <f t="shared" si="0"/>
        <v>-2731.4900000000016</v>
      </c>
      <c r="O11" s="16" t="s">
        <v>157</v>
      </c>
      <c r="P11" s="2">
        <v>45597</v>
      </c>
      <c r="Q11" s="23"/>
      <c r="R11" s="23"/>
      <c r="S11" s="16"/>
    </row>
    <row r="12" spans="11:19">
      <c r="K12" s="2">
        <v>45261</v>
      </c>
      <c r="L12" s="37">
        <v>32161.854499999998</v>
      </c>
      <c r="M12" s="23">
        <v>27911.592499999995</v>
      </c>
      <c r="N12" s="23">
        <f t="shared" si="0"/>
        <v>4250.2620000000024</v>
      </c>
      <c r="O12" s="16" t="s">
        <v>157</v>
      </c>
      <c r="P12" s="2">
        <v>45627</v>
      </c>
      <c r="Q12" s="23"/>
      <c r="R12" s="23"/>
      <c r="S12" s="16"/>
    </row>
    <row r="13" spans="11:19">
      <c r="K13" s="2">
        <v>45292</v>
      </c>
      <c r="L13" s="23">
        <v>24380.149499999996</v>
      </c>
      <c r="M13" s="23">
        <v>23809.737999999998</v>
      </c>
      <c r="N13" s="23">
        <f t="shared" si="0"/>
        <v>570.41149999999834</v>
      </c>
      <c r="O13" s="16" t="s">
        <v>157</v>
      </c>
      <c r="P13" s="2">
        <v>45658</v>
      </c>
      <c r="Q13" s="23"/>
      <c r="R13" s="23"/>
      <c r="S13" s="16"/>
    </row>
    <row r="14" spans="11:19">
      <c r="K14" s="2">
        <v>45323</v>
      </c>
      <c r="L14" s="23">
        <v>27413.040000000001</v>
      </c>
      <c r="M14" s="23">
        <v>24992.294499999996</v>
      </c>
      <c r="N14" s="23">
        <f t="shared" si="0"/>
        <v>2420.7455000000045</v>
      </c>
      <c r="O14" s="16" t="s">
        <v>157</v>
      </c>
      <c r="P14" s="2">
        <v>45689</v>
      </c>
      <c r="Q14" s="23"/>
      <c r="R14" s="23"/>
      <c r="S14" s="16"/>
    </row>
    <row r="15" spans="11:19">
      <c r="K15" s="6"/>
      <c r="L15" s="17">
        <f>SUM(L3:L14)</f>
        <v>309848.34749999997</v>
      </c>
      <c r="M15" s="17">
        <f>SUM(M3:M14)</f>
        <v>313368.79649999994</v>
      </c>
      <c r="N15" s="17"/>
      <c r="O15" s="17">
        <f>L15-M15</f>
        <v>-3520.4489999999641</v>
      </c>
      <c r="P15" s="6"/>
      <c r="Q15" s="17">
        <f>SUM(Q3:Q14)</f>
        <v>126939.38999999998</v>
      </c>
      <c r="R15" s="17">
        <f>SUM(R3:R14)</f>
        <v>104349.306</v>
      </c>
      <c r="S15" s="17">
        <f>Q15-R15</f>
        <v>22590.083999999988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7" ma:contentTypeDescription="Create a new document." ma:contentTypeScope="" ma:versionID="295cc371d64fe7a09f66e12b7a044a9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44237ddf2954c1c60c1f83c4e8162a02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716D26-0671-40FE-9A3A-A26E9EBEFC3A}"/>
</file>

<file path=customXml/itemProps2.xml><?xml version="1.0" encoding="utf-8"?>
<ds:datastoreItem xmlns:ds="http://schemas.openxmlformats.org/officeDocument/2006/customXml" ds:itemID="{00DF95EE-9F47-494C-BD7D-C742165AF6A8}"/>
</file>

<file path=customXml/itemProps3.xml><?xml version="1.0" encoding="utf-8"?>
<ds:datastoreItem xmlns:ds="http://schemas.openxmlformats.org/officeDocument/2006/customXml" ds:itemID="{AA55FAB0-95A9-4D80-9AA1-2FCDBF9D58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2019-05-24T17:23:57Z</dcterms:created>
  <dcterms:modified xsi:type="dcterms:W3CDTF">2024-06-26T10:35:55Z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