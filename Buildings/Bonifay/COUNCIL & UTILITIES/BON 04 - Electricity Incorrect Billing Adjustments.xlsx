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BON - Bonifay/COUNCIL &amp; UTILITIES/"/>
    </mc:Choice>
  </mc:AlternateContent>
  <xr:revisionPtr revIDLastSave="5" documentId="8_{6698797A-C155-4228-945C-0CD867FEC5B7}" xr6:coauthVersionLast="47" xr6:coauthVersionMax="47" xr10:uidLastSave="{AAA7C5BA-3298-49E0-8E4F-12C894DC8453}"/>
  <bookViews>
    <workbookView xWindow="-120" yWindow="-120" windowWidth="20730" windowHeight="11160" xr2:uid="{33113502-0833-4233-B1D7-494C83AF04E9}"/>
  </bookViews>
  <sheets>
    <sheet name="BON 04 El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  <c r="E13" i="1"/>
  <c r="L12" i="1"/>
  <c r="L13" i="1" s="1"/>
  <c r="M13" i="1" s="1"/>
  <c r="D12" i="1"/>
  <c r="K11" i="1"/>
  <c r="D11" i="1"/>
  <c r="K10" i="1"/>
  <c r="K9" i="1"/>
  <c r="K8" i="1"/>
  <c r="K7" i="1"/>
  <c r="D7" i="1"/>
  <c r="K6" i="1"/>
  <c r="K12" i="1" s="1"/>
  <c r="D5" i="1"/>
</calcChain>
</file>

<file path=xl/sharedStrings.xml><?xml version="1.0" encoding="utf-8"?>
<sst xmlns="http://schemas.openxmlformats.org/spreadsheetml/2006/main" count="32" uniqueCount="27">
  <si>
    <t>Unit 17</t>
  </si>
  <si>
    <t xml:space="preserve">Previous Reading </t>
  </si>
  <si>
    <t xml:space="preserve">Current Reading </t>
  </si>
  <si>
    <t>Consumption (kwh)</t>
  </si>
  <si>
    <t xml:space="preserve">Rand Value Billed </t>
  </si>
  <si>
    <t xml:space="preserve">Correct Rand Value To be Billed </t>
  </si>
  <si>
    <t>Prev reading</t>
  </si>
  <si>
    <t xml:space="preserve">Curr Reading </t>
  </si>
  <si>
    <t>Cons (kwh)</t>
  </si>
  <si>
    <t>Rand Value</t>
  </si>
  <si>
    <t>May</t>
  </si>
  <si>
    <t xml:space="preserve">June </t>
  </si>
  <si>
    <t>35037 </t>
  </si>
  <si>
    <t>July</t>
  </si>
  <si>
    <t>Aug</t>
  </si>
  <si>
    <t>Sept</t>
  </si>
  <si>
    <t>Oct</t>
  </si>
  <si>
    <t xml:space="preserve">Nov </t>
  </si>
  <si>
    <t>Nov</t>
  </si>
  <si>
    <t>Dec</t>
  </si>
  <si>
    <t xml:space="preserve">Total Correct Billing </t>
  </si>
  <si>
    <t xml:space="preserve">Billing based on incorrect readings </t>
  </si>
  <si>
    <t xml:space="preserve">Billing Difference </t>
  </si>
  <si>
    <t>Three months payment plan</t>
  </si>
  <si>
    <t>Incorrect Billing By The Previous Managing Agent June 2025 - November 2025</t>
  </si>
  <si>
    <t xml:space="preserve">Billing Adjustment - What Should Have Been Billed </t>
  </si>
  <si>
    <t>Values are VAT 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</si>
</sst>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&quot;R&quot;#,##0.00"/>
    <numFmt numFmtId="165" formatCode="_-[$R-1C09]* #,##0.00_-;\-[$R-1C09]* #,##0.00_-;_-[$R-1C09]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0"/>
      <name val="Aptos Narrow"/>
      <family val="2"/>
    </font>
    <font>
      <sz val="10"/>
      <color rgb="FFFF0000"/>
      <name val="Aptos Narrow"/>
      <family val="2"/>
    </font>
    <font>
      <sz val="11"/>
      <color rgb="FFFF0000"/>
      <name val="Aptos Narrow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2" fillId="0" borderId="1" xfId="0" applyFont="1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164" fontId="4" fillId="0" borderId="5" xfId="0" applyNumberFormat="1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165" fontId="5" fillId="0" borderId="5" xfId="0" applyNumberFormat="1" applyFont="1" applyBorder="1"/>
    <xf numFmtId="164" fontId="6" fillId="0" borderId="5" xfId="0" applyNumberFormat="1" applyFont="1" applyBorder="1"/>
    <xf numFmtId="164" fontId="0" fillId="0" borderId="7" xfId="0" applyNumberFormat="1" applyBorder="1"/>
    <xf numFmtId="0" fontId="1" fillId="0" borderId="5" xfId="0" applyFont="1" applyBorder="1" applyAlignment="1">
      <alignment horizontal="right"/>
    </xf>
    <xf numFmtId="165" fontId="7" fillId="0" borderId="5" xfId="0" applyNumberFormat="1" applyFont="1" applyBorder="1"/>
    <xf numFmtId="164" fontId="1" fillId="0" borderId="5" xfId="0" applyNumberFormat="1" applyFont="1" applyBorder="1"/>
    <xf numFmtId="164" fontId="0" fillId="0" borderId="0" xfId="0" applyNumberFormat="1"/>
    <xf numFmtId="165" fontId="1" fillId="0" borderId="5" xfId="0" applyNumberFormat="1" applyFont="1" applyBorder="1"/>
    <xf numFmtId="0" fontId="7" fillId="0" borderId="5" xfId="0" applyFont="1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0" fontId="0" fillId="0" borderId="5" xfId="0" applyBorder="1" applyAlignment="1">
      <alignment horizontal="right"/>
    </xf>
    <xf numFmtId="44" fontId="8" fillId="0" borderId="5" xfId="0" applyNumberFormat="1" applyFont="1" applyBorder="1"/>
    <xf numFmtId="0" fontId="2" fillId="0" borderId="0" xfId="0" applyFont="1"/>
    <xf numFmtId="0" fontId="0" fillId="0" borderId="0" xfId="0" applyAlignment="1">
      <alignment horizontal="right"/>
    </xf>
    <xf numFmtId="44" fontId="9" fillId="0" borderId="0" xfId="0" applyNumberFormat="1" applyFont="1"/>
    <xf numFmtId="44" fontId="8" fillId="0" borderId="0" xfId="0" applyNumberFormat="1" applyFont="1"/>
    <xf numFmtId="165" fontId="0" fillId="0" borderId="0" xfId="0" applyNumberFormat="1"/>
    <xf numFmtId="165" fontId="0" fillId="0" borderId="5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0C09-70BB-4398-8B2F-590F9B82CEB2}">
  <dimension ref="A2:N15"/>
  <sheetViews>
    <sheetView tabSelected="1" workbookViewId="0">
      <selection activeCell="I17" sqref="I17"/>
    </sheetView>
  </sheetViews>
  <sheetFormatPr defaultRowHeight="15" x14ac:dyDescent="0.25"/>
  <cols>
    <col min="2" max="2" width="18" customWidth="1"/>
    <col min="3" max="3" width="17.28515625" customWidth="1"/>
    <col min="4" max="4" width="19.5703125" customWidth="1"/>
    <col min="5" max="5" width="13.85546875" customWidth="1"/>
    <col min="6" max="6" width="29" customWidth="1"/>
    <col min="9" max="9" width="12.7109375" customWidth="1"/>
    <col min="10" max="10" width="14" customWidth="1"/>
    <col min="11" max="12" width="13.5703125" customWidth="1"/>
    <col min="13" max="13" width="12.42578125" customWidth="1"/>
    <col min="14" max="14" width="11" customWidth="1"/>
  </cols>
  <sheetData>
    <row r="2" spans="1:14" x14ac:dyDescent="0.25">
      <c r="B2" s="36" t="s">
        <v>24</v>
      </c>
      <c r="C2" s="37"/>
      <c r="D2" s="37"/>
      <c r="E2" s="37"/>
      <c r="F2" s="38"/>
      <c r="H2" s="36" t="s">
        <v>25</v>
      </c>
      <c r="I2" s="37"/>
      <c r="J2" s="37"/>
      <c r="K2" s="37"/>
      <c r="L2" s="38"/>
    </row>
    <row r="3" spans="1:14" x14ac:dyDescent="0.25">
      <c r="G3" s="1"/>
    </row>
    <row r="4" spans="1:14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1"/>
      <c r="H4" s="3"/>
      <c r="I4" s="4" t="s">
        <v>6</v>
      </c>
      <c r="J4" s="4" t="s">
        <v>7</v>
      </c>
      <c r="K4" s="4" t="s">
        <v>8</v>
      </c>
      <c r="L4" s="5" t="s">
        <v>9</v>
      </c>
    </row>
    <row r="5" spans="1:14" x14ac:dyDescent="0.25">
      <c r="A5" s="6" t="s">
        <v>10</v>
      </c>
      <c r="B5" s="7">
        <v>349622</v>
      </c>
      <c r="C5" s="7">
        <v>349949</v>
      </c>
      <c r="D5" s="8">
        <f>C5-B5</f>
        <v>327</v>
      </c>
      <c r="E5" s="9">
        <v>853.47</v>
      </c>
      <c r="F5" s="7">
        <v>853.47</v>
      </c>
      <c r="G5" s="1"/>
      <c r="H5" s="10"/>
      <c r="L5" s="11"/>
    </row>
    <row r="6" spans="1:14" x14ac:dyDescent="0.25">
      <c r="A6" s="12" t="s">
        <v>11</v>
      </c>
      <c r="B6" s="13">
        <v>34994</v>
      </c>
      <c r="C6" s="14" t="s">
        <v>12</v>
      </c>
      <c r="D6" s="15">
        <v>43</v>
      </c>
      <c r="E6" s="16">
        <v>112.23</v>
      </c>
      <c r="F6" s="17"/>
      <c r="G6" s="1"/>
      <c r="H6" s="10" t="s">
        <v>11</v>
      </c>
      <c r="I6">
        <v>349949</v>
      </c>
      <c r="J6">
        <v>350372</v>
      </c>
      <c r="K6">
        <f>J6-I6</f>
        <v>423</v>
      </c>
      <c r="L6" s="18">
        <f>1105.60356*1.15</f>
        <v>1271.444094</v>
      </c>
    </row>
    <row r="7" spans="1:14" x14ac:dyDescent="0.25">
      <c r="A7" s="12" t="s">
        <v>13</v>
      </c>
      <c r="B7" s="12">
        <v>35037</v>
      </c>
      <c r="C7" s="12">
        <v>35075</v>
      </c>
      <c r="D7" s="19">
        <f>C7-B7</f>
        <v>38</v>
      </c>
      <c r="E7" s="20">
        <v>99.18</v>
      </c>
      <c r="F7" s="21"/>
      <c r="G7" s="1"/>
      <c r="H7" s="10" t="s">
        <v>13</v>
      </c>
      <c r="I7">
        <v>350372</v>
      </c>
      <c r="J7">
        <v>350750</v>
      </c>
      <c r="K7">
        <f t="shared" ref="K7:K11" si="0">J7-I7</f>
        <v>378</v>
      </c>
      <c r="L7" s="18">
        <f>987.98616*1.15</f>
        <v>1136.184084</v>
      </c>
      <c r="M7" s="22"/>
    </row>
    <row r="8" spans="1:14" x14ac:dyDescent="0.25">
      <c r="A8" s="12" t="s">
        <v>14</v>
      </c>
      <c r="B8" s="12">
        <v>35075</v>
      </c>
      <c r="C8" s="12">
        <v>35122</v>
      </c>
      <c r="D8" s="19">
        <v>47</v>
      </c>
      <c r="E8" s="23">
        <v>122.67</v>
      </c>
      <c r="F8" s="21"/>
      <c r="G8" s="1"/>
      <c r="H8" s="10" t="s">
        <v>14</v>
      </c>
      <c r="I8">
        <v>350750</v>
      </c>
      <c r="J8">
        <v>351226</v>
      </c>
      <c r="K8">
        <f t="shared" si="0"/>
        <v>476</v>
      </c>
      <c r="L8" s="18">
        <f>1244.13072*1.15</f>
        <v>1430.7503280000001</v>
      </c>
      <c r="M8" s="22"/>
    </row>
    <row r="9" spans="1:14" x14ac:dyDescent="0.25">
      <c r="A9" s="24" t="s">
        <v>15</v>
      </c>
      <c r="B9" s="12">
        <v>35122</v>
      </c>
      <c r="C9" s="12">
        <v>35161</v>
      </c>
      <c r="D9" s="19">
        <v>39</v>
      </c>
      <c r="E9" s="23">
        <v>115.44</v>
      </c>
      <c r="F9" s="21"/>
      <c r="G9" s="1"/>
      <c r="H9" s="10" t="s">
        <v>15</v>
      </c>
      <c r="I9">
        <v>351226</v>
      </c>
      <c r="J9">
        <v>351617</v>
      </c>
      <c r="K9">
        <f t="shared" si="0"/>
        <v>391</v>
      </c>
      <c r="L9" s="18">
        <v>1158.0735750000001</v>
      </c>
    </row>
    <row r="10" spans="1:14" x14ac:dyDescent="0.25">
      <c r="A10" s="12" t="s">
        <v>16</v>
      </c>
      <c r="B10" s="12">
        <v>35161</v>
      </c>
      <c r="C10" s="12">
        <v>35204</v>
      </c>
      <c r="D10" s="19">
        <v>43</v>
      </c>
      <c r="E10" s="23">
        <v>127.28</v>
      </c>
      <c r="F10" s="21"/>
      <c r="G10" s="1"/>
      <c r="H10" s="10" t="s">
        <v>16</v>
      </c>
      <c r="I10">
        <v>351617</v>
      </c>
      <c r="J10">
        <v>352044</v>
      </c>
      <c r="K10">
        <f t="shared" si="0"/>
        <v>427</v>
      </c>
      <c r="L10" s="18">
        <v>1264.6992750000002</v>
      </c>
    </row>
    <row r="11" spans="1:14" x14ac:dyDescent="0.25">
      <c r="A11" s="24" t="s">
        <v>17</v>
      </c>
      <c r="B11" s="12">
        <v>35204</v>
      </c>
      <c r="C11" s="12">
        <v>35243</v>
      </c>
      <c r="D11" s="19">
        <f>C11-B11</f>
        <v>39</v>
      </c>
      <c r="E11" s="23">
        <v>115.44</v>
      </c>
      <c r="F11" s="21"/>
      <c r="G11" s="1"/>
      <c r="H11" s="25" t="s">
        <v>18</v>
      </c>
      <c r="I11" s="26">
        <v>352044</v>
      </c>
      <c r="J11" s="26">
        <v>352436</v>
      </c>
      <c r="K11" s="26">
        <f t="shared" si="0"/>
        <v>392</v>
      </c>
      <c r="L11" s="27">
        <v>1161.0354</v>
      </c>
      <c r="M11" s="22"/>
    </row>
    <row r="12" spans="1:14" x14ac:dyDescent="0.25">
      <c r="A12" s="6" t="s">
        <v>19</v>
      </c>
      <c r="B12" s="6">
        <v>352436</v>
      </c>
      <c r="C12" s="6">
        <v>352788</v>
      </c>
      <c r="D12" s="28">
        <f>C12-B12</f>
        <v>352</v>
      </c>
      <c r="E12" s="29">
        <v>1042.56</v>
      </c>
      <c r="F12" s="29">
        <v>1042.56</v>
      </c>
      <c r="G12" s="1"/>
      <c r="H12" t="s">
        <v>20</v>
      </c>
      <c r="K12">
        <f>SUM(K6:K11)</f>
        <v>2487</v>
      </c>
      <c r="L12" s="22">
        <f>SUM(L6:L11)</f>
        <v>7422.1867560000001</v>
      </c>
    </row>
    <row r="13" spans="1:14" x14ac:dyDescent="0.25">
      <c r="A13" s="30" t="s">
        <v>21</v>
      </c>
      <c r="B13" s="30"/>
      <c r="C13" s="30"/>
      <c r="D13" s="31"/>
      <c r="E13" s="32">
        <f>SUM(E6:E11)</f>
        <v>692.24</v>
      </c>
      <c r="F13" s="33"/>
      <c r="G13" s="1"/>
      <c r="H13" t="s">
        <v>22</v>
      </c>
      <c r="L13" s="34">
        <f>L12-E13</f>
        <v>6729.9467560000003</v>
      </c>
      <c r="M13" s="35">
        <f>L13/3</f>
        <v>2243.3155853333333</v>
      </c>
      <c r="N13" t="s">
        <v>23</v>
      </c>
    </row>
    <row r="15" spans="1:14" x14ac:dyDescent="0.25">
      <c r="H15" t="s">
        <v>26</v>
      </c>
    </row>
  </sheetData>
  <mergeCells count="2">
    <mergeCell ref="B2:F2"/>
    <mergeCell ref="H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 04 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2026-01-14T10:38:52Z</dcterms:created>
  <dcterms:modified xsi:type="dcterms:W3CDTF">2026-01-15T08:10:49Z</dcterms:modified>
</cp:coreProperties>
</file>