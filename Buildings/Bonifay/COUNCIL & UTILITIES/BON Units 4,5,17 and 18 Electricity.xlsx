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"/>
    </mc:Choice>
  </mc:AlternateContent>
  <xr:revisionPtr revIDLastSave="68" documentId="8_{16997CC6-3597-4A7B-9E26-398A957E41A1}" xr6:coauthVersionLast="47" xr6:coauthVersionMax="47" xr10:uidLastSave="{D98A173D-D78C-474E-91FF-179EB28AD400}"/>
  <bookViews>
    <workbookView xWindow="-120" yWindow="-120" windowWidth="20730" windowHeight="11160" xr2:uid="{B01C7DB3-7555-4C74-A719-64086CFBD5EF}"/>
  </bookViews>
  <sheets>
    <sheet name="Unit 4,5,17&amp;18 Billing" sheetId="1" r:id="rId1"/>
    <sheet name="BON Elec Calc Jun 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L39" i="1"/>
  <c r="L38" i="1"/>
  <c r="L29" i="1"/>
  <c r="L28" i="1"/>
  <c r="L27" i="1"/>
  <c r="L18" i="1"/>
  <c r="L17" i="1"/>
  <c r="L16" i="1"/>
  <c r="L7" i="1"/>
  <c r="L6" i="1"/>
  <c r="L5" i="1"/>
  <c r="C19" i="2"/>
  <c r="D17" i="2" l="1"/>
  <c r="H17" i="2"/>
  <c r="C17" i="2"/>
  <c r="H16" i="2"/>
  <c r="C16" i="2"/>
  <c r="H15" i="2"/>
  <c r="C15" i="2"/>
  <c r="L44" i="1"/>
  <c r="L45" i="1" s="1"/>
  <c r="M45" i="1" s="1"/>
  <c r="K44" i="1"/>
  <c r="H13" i="2"/>
  <c r="C13" i="2"/>
  <c r="H12" i="2"/>
  <c r="H11" i="2"/>
  <c r="C12" i="2"/>
  <c r="C11" i="2"/>
  <c r="L33" i="1"/>
  <c r="L34" i="1" s="1"/>
  <c r="M34" i="1" s="1"/>
  <c r="K33" i="1"/>
  <c r="H9" i="2"/>
  <c r="D9" i="2"/>
  <c r="C9" i="2"/>
  <c r="H8" i="2"/>
  <c r="D8" i="2"/>
  <c r="C8" i="2"/>
  <c r="H7" i="2"/>
  <c r="D7" i="2"/>
  <c r="C7" i="2"/>
  <c r="L22" i="1"/>
  <c r="L23" i="1" s="1"/>
  <c r="M23" i="1" s="1"/>
  <c r="K22" i="1"/>
  <c r="K11" i="1"/>
  <c r="L11" i="1"/>
  <c r="L12" i="1" s="1"/>
  <c r="H5" i="2"/>
  <c r="C5" i="2"/>
  <c r="H4" i="2"/>
  <c r="C4" i="2"/>
  <c r="H3" i="2"/>
  <c r="D3" i="2"/>
  <c r="C3" i="2"/>
  <c r="E12" i="1"/>
  <c r="E45" i="1"/>
  <c r="E34" i="1"/>
  <c r="E23" i="1"/>
  <c r="K39" i="1"/>
  <c r="K40" i="1"/>
  <c r="K41" i="1"/>
  <c r="K42" i="1"/>
  <c r="K43" i="1"/>
  <c r="K38" i="1"/>
  <c r="K28" i="1"/>
  <c r="K29" i="1"/>
  <c r="K30" i="1"/>
  <c r="K31" i="1"/>
  <c r="K32" i="1"/>
  <c r="K27" i="1"/>
  <c r="K17" i="1"/>
  <c r="K18" i="1"/>
  <c r="K19" i="1"/>
  <c r="K20" i="1"/>
  <c r="K21" i="1"/>
  <c r="K16" i="1"/>
  <c r="K10" i="1"/>
  <c r="K9" i="1"/>
  <c r="K8" i="1"/>
  <c r="K7" i="1"/>
  <c r="K6" i="1"/>
  <c r="K5" i="1"/>
  <c r="N45" i="1" l="1"/>
  <c r="N34" i="1"/>
  <c r="N23" i="1"/>
  <c r="M12" i="1"/>
  <c r="N12" i="1"/>
  <c r="D15" i="1"/>
  <c r="D44" i="1"/>
  <c r="D43" i="1"/>
  <c r="D37" i="1"/>
  <c r="D33" i="1"/>
  <c r="D32" i="1"/>
  <c r="D28" i="1"/>
  <c r="D26" i="1"/>
  <c r="D22" i="1"/>
  <c r="D21" i="1"/>
  <c r="D17" i="1"/>
  <c r="D16" i="1"/>
</calcChain>
</file>

<file path=xl/sharedStrings.xml><?xml version="1.0" encoding="utf-8"?>
<sst xmlns="http://schemas.openxmlformats.org/spreadsheetml/2006/main" count="120" uniqueCount="37">
  <si>
    <t xml:space="preserve">Previous Reading </t>
  </si>
  <si>
    <t xml:space="preserve">Current Reading </t>
  </si>
  <si>
    <t xml:space="preserve">Rand Value Billed </t>
  </si>
  <si>
    <t xml:space="preserve">Correct Rand Value To be Billed </t>
  </si>
  <si>
    <t xml:space="preserve">June </t>
  </si>
  <si>
    <t>May</t>
  </si>
  <si>
    <t> 365506 </t>
  </si>
  <si>
    <t>July</t>
  </si>
  <si>
    <t>Aug</t>
  </si>
  <si>
    <t>Sept</t>
  </si>
  <si>
    <t>Oct</t>
  </si>
  <si>
    <t xml:space="preserve">Nov </t>
  </si>
  <si>
    <t>Dec</t>
  </si>
  <si>
    <t>Unit 5</t>
  </si>
  <si>
    <t>Unit 17</t>
  </si>
  <si>
    <t>35037 </t>
  </si>
  <si>
    <t>Unit 18</t>
  </si>
  <si>
    <t>BONIFAY ELECTRICITY</t>
  </si>
  <si>
    <t xml:space="preserve">Unit 4 </t>
  </si>
  <si>
    <t>Consumption (kwh)</t>
  </si>
  <si>
    <t> 1156</t>
  </si>
  <si>
    <t>Nov</t>
  </si>
  <si>
    <t>Prev reading</t>
  </si>
  <si>
    <t xml:space="preserve">Curr Reading </t>
  </si>
  <si>
    <t>Cons (kwh)</t>
  </si>
  <si>
    <t>Rand Value</t>
  </si>
  <si>
    <t xml:space="preserve">Unit Number </t>
  </si>
  <si>
    <t xml:space="preserve">Cons </t>
  </si>
  <si>
    <t>Rate 1 0-500kwh</t>
  </si>
  <si>
    <t>Rate 2 501 - 1000kwh</t>
  </si>
  <si>
    <t>Rate 3 1001-2000kwh</t>
  </si>
  <si>
    <t>Rate 4 2001-3000kwh</t>
  </si>
  <si>
    <t>Rate 5 3001- 99999kwh</t>
  </si>
  <si>
    <t>Total Electricity</t>
  </si>
  <si>
    <t xml:space="preserve">Total Correct Billing </t>
  </si>
  <si>
    <t xml:space="preserve">Billing Difference </t>
  </si>
  <si>
    <t xml:space="preserve">Billing based on incorrect readings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</si>
</sst>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&quot;R&quot;#,##0.00"/>
  </numFmts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666666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rgb="FFFF0000"/>
      <name val="Arial"/>
      <family val="2"/>
    </font>
    <font>
      <sz val="10"/>
      <name val="Aptos Narrow"/>
      <family val="2"/>
    </font>
    <font>
      <sz val="11"/>
      <color rgb="FFFF0000"/>
      <name val="Aptos Narrow"/>
      <family val="2"/>
    </font>
    <font>
      <sz val="10"/>
      <color rgb="FFFF0000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b/>
      <sz val="14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1" xfId="0" applyBorder="1"/>
    <xf numFmtId="0" fontId="2" fillId="0" borderId="2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0" fillId="0" borderId="1" xfId="0" applyBorder="1" applyAlignment="1">
      <alignment horizontal="right"/>
    </xf>
    <xf numFmtId="44" fontId="4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65" fontId="1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9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/>
    <xf numFmtId="0" fontId="8" fillId="0" borderId="1" xfId="0" applyFont="1" applyBorder="1"/>
    <xf numFmtId="0" fontId="11" fillId="0" borderId="0" xfId="0" applyFont="1"/>
    <xf numFmtId="0" fontId="12" fillId="0" borderId="1" xfId="0" applyFont="1" applyBorder="1" applyAlignment="1">
      <alignment horizontal="right"/>
    </xf>
    <xf numFmtId="165" fontId="12" fillId="0" borderId="1" xfId="0" applyNumberFormat="1" applyFont="1" applyBorder="1"/>
    <xf numFmtId="0" fontId="12" fillId="0" borderId="1" xfId="0" applyFont="1" applyBorder="1"/>
    <xf numFmtId="164" fontId="12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5" fontId="8" fillId="0" borderId="1" xfId="0" applyNumberFormat="1" applyFont="1" applyBorder="1"/>
    <xf numFmtId="0" fontId="2" fillId="0" borderId="0" xfId="0" applyFont="1"/>
    <xf numFmtId="0" fontId="0" fillId="0" borderId="0" xfId="0" applyAlignment="1">
      <alignment horizontal="right"/>
    </xf>
    <xf numFmtId="44" fontId="4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164" fontId="13" fillId="0" borderId="0" xfId="0" applyNumberFormat="1" applyFont="1"/>
    <xf numFmtId="44" fontId="14" fillId="0" borderId="0" xfId="0" applyNumberFormat="1" applyFont="1"/>
    <xf numFmtId="164" fontId="2" fillId="0" borderId="0" xfId="0" applyNumberFormat="1" applyFont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165" fontId="0" fillId="0" borderId="10" xfId="0" applyNumberFormat="1" applyBorder="1"/>
    <xf numFmtId="164" fontId="0" fillId="0" borderId="1" xfId="0" applyNumberFormat="1" applyBorder="1"/>
    <xf numFmtId="8" fontId="0" fillId="0" borderId="7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8" fontId="0" fillId="0" borderId="11" xfId="0" applyNumberFormat="1" applyBorder="1"/>
    <xf numFmtId="165" fontId="0" fillId="0" borderId="11" xfId="0" applyNumberFormat="1" applyBorder="1"/>
    <xf numFmtId="0" fontId="0" fillId="0" borderId="1" xfId="0" applyBorder="1" applyAlignment="1">
      <alignment wrapText="1"/>
    </xf>
    <xf numFmtId="0" fontId="15" fillId="0" borderId="0" xfId="0" applyFont="1"/>
    <xf numFmtId="0" fontId="16" fillId="0" borderId="0" xfId="0" applyFont="1"/>
    <xf numFmtId="8" fontId="0" fillId="0" borderId="0" xfId="0" applyNumberFormat="1"/>
    <xf numFmtId="165" fontId="0" fillId="2" borderId="7" xfId="0" applyNumberFormat="1" applyFill="1" applyBorder="1" applyAlignment="1">
      <alignment horizontal="left" indent="2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2F33-ABB1-4F03-8AF3-C84FABDC5B3F}">
  <dimension ref="A1:N45"/>
  <sheetViews>
    <sheetView tabSelected="1" topLeftCell="C21" zoomScaleNormal="100" workbookViewId="0">
      <selection activeCell="L40" sqref="L40"/>
    </sheetView>
  </sheetViews>
  <sheetFormatPr defaultRowHeight="15" x14ac:dyDescent="0.25"/>
  <cols>
    <col min="2" max="2" width="19.28515625" customWidth="1"/>
    <col min="3" max="3" width="20.5703125" customWidth="1"/>
    <col min="4" max="4" width="21.28515625" customWidth="1"/>
    <col min="5" max="5" width="16.42578125" customWidth="1"/>
    <col min="6" max="6" width="29.7109375" customWidth="1"/>
    <col min="7" max="7" width="9.140625" style="59"/>
    <col min="8" max="8" width="9.42578125" customWidth="1"/>
    <col min="9" max="9" width="16.140625" customWidth="1"/>
    <col min="10" max="10" width="17.5703125" customWidth="1"/>
    <col min="11" max="11" width="13.42578125" customWidth="1"/>
    <col min="12" max="12" width="12" customWidth="1"/>
    <col min="13" max="13" width="11.5703125" customWidth="1"/>
    <col min="14" max="14" width="10.5703125" bestFit="1" customWidth="1"/>
  </cols>
  <sheetData>
    <row r="1" spans="1:14" s="25" customFormat="1" ht="18.75" x14ac:dyDescent="0.3">
      <c r="A1" s="25" t="s">
        <v>17</v>
      </c>
      <c r="G1" s="58"/>
      <c r="M1" s="33"/>
    </row>
    <row r="3" spans="1:14" x14ac:dyDescent="0.25">
      <c r="A3" s="5" t="s">
        <v>18</v>
      </c>
      <c r="B3" s="5" t="s">
        <v>0</v>
      </c>
      <c r="C3" s="5" t="s">
        <v>1</v>
      </c>
      <c r="D3" s="5" t="s">
        <v>19</v>
      </c>
      <c r="E3" s="5" t="s">
        <v>2</v>
      </c>
      <c r="F3" s="5" t="s">
        <v>3</v>
      </c>
      <c r="H3" s="41"/>
      <c r="I3" s="42" t="s">
        <v>22</v>
      </c>
      <c r="J3" s="42" t="s">
        <v>23</v>
      </c>
      <c r="K3" s="42" t="s">
        <v>24</v>
      </c>
      <c r="L3" s="43" t="s">
        <v>25</v>
      </c>
    </row>
    <row r="4" spans="1:14" x14ac:dyDescent="0.25">
      <c r="A4" s="4" t="s">
        <v>5</v>
      </c>
      <c r="B4" s="2">
        <v>364350</v>
      </c>
      <c r="C4" s="3" t="s">
        <v>6</v>
      </c>
      <c r="D4" s="3" t="s">
        <v>20</v>
      </c>
      <c r="E4" s="6">
        <v>3301.71</v>
      </c>
      <c r="F4" s="7">
        <v>3301.71</v>
      </c>
      <c r="H4" s="44"/>
      <c r="L4" s="45"/>
    </row>
    <row r="5" spans="1:14" x14ac:dyDescent="0.25">
      <c r="A5" s="12" t="s">
        <v>4</v>
      </c>
      <c r="B5" s="12">
        <v>36440</v>
      </c>
      <c r="C5" s="12">
        <v>36470</v>
      </c>
      <c r="D5" s="13">
        <v>30</v>
      </c>
      <c r="E5" s="14">
        <v>78.3</v>
      </c>
      <c r="F5" s="15"/>
      <c r="H5" s="44" t="s">
        <v>4</v>
      </c>
      <c r="I5">
        <v>364405</v>
      </c>
      <c r="J5">
        <v>364700</v>
      </c>
      <c r="K5">
        <f t="shared" ref="K5:K10" si="0">J5-I5</f>
        <v>295</v>
      </c>
      <c r="L5" s="46">
        <f>771.0474*1.15</f>
        <v>886.70451000000003</v>
      </c>
    </row>
    <row r="6" spans="1:14" x14ac:dyDescent="0.25">
      <c r="A6" s="12" t="s">
        <v>7</v>
      </c>
      <c r="B6" s="12">
        <v>346470</v>
      </c>
      <c r="C6" s="12">
        <v>36510</v>
      </c>
      <c r="D6" s="13">
        <v>40</v>
      </c>
      <c r="E6" s="16">
        <v>104.4</v>
      </c>
      <c r="F6" s="15"/>
      <c r="H6" s="44" t="s">
        <v>7</v>
      </c>
      <c r="I6">
        <v>364700</v>
      </c>
      <c r="J6">
        <v>365104</v>
      </c>
      <c r="K6">
        <f t="shared" si="0"/>
        <v>404</v>
      </c>
      <c r="L6" s="46">
        <f>1055.94288*1.15</f>
        <v>1214.334312</v>
      </c>
    </row>
    <row r="7" spans="1:14" x14ac:dyDescent="0.25">
      <c r="A7" s="12" t="s">
        <v>8</v>
      </c>
      <c r="B7" s="12">
        <v>36510</v>
      </c>
      <c r="C7" s="12">
        <v>36565</v>
      </c>
      <c r="D7" s="13">
        <v>55</v>
      </c>
      <c r="E7" s="14">
        <v>143.55000000000001</v>
      </c>
      <c r="F7" s="15"/>
      <c r="H7" s="44" t="s">
        <v>8</v>
      </c>
      <c r="I7">
        <v>365104</v>
      </c>
      <c r="J7">
        <v>365650</v>
      </c>
      <c r="K7">
        <f t="shared" si="0"/>
        <v>546</v>
      </c>
      <c r="L7" s="46">
        <f>1444.83907*1.15</f>
        <v>1661.5649304999999</v>
      </c>
    </row>
    <row r="8" spans="1:14" x14ac:dyDescent="0.25">
      <c r="A8" s="17" t="s">
        <v>9</v>
      </c>
      <c r="B8" s="12">
        <v>36565</v>
      </c>
      <c r="C8" s="12">
        <v>36612</v>
      </c>
      <c r="D8" s="13">
        <v>47</v>
      </c>
      <c r="E8" s="14">
        <v>139.12</v>
      </c>
      <c r="F8" s="15"/>
      <c r="H8" s="44" t="s">
        <v>9</v>
      </c>
      <c r="I8">
        <v>365650</v>
      </c>
      <c r="J8">
        <v>366125</v>
      </c>
      <c r="K8" s="62">
        <f t="shared" si="0"/>
        <v>475</v>
      </c>
      <c r="L8" s="46">
        <v>1406.8668749999999</v>
      </c>
    </row>
    <row r="9" spans="1:14" x14ac:dyDescent="0.25">
      <c r="A9" s="12" t="s">
        <v>10</v>
      </c>
      <c r="B9" s="12">
        <v>36612</v>
      </c>
      <c r="C9" s="12">
        <v>36656</v>
      </c>
      <c r="D9" s="13">
        <v>44</v>
      </c>
      <c r="E9" s="14">
        <v>130.24</v>
      </c>
      <c r="F9" s="15"/>
      <c r="H9" s="44" t="s">
        <v>10</v>
      </c>
      <c r="I9">
        <v>366125</v>
      </c>
      <c r="J9">
        <v>366564</v>
      </c>
      <c r="K9">
        <f t="shared" si="0"/>
        <v>439</v>
      </c>
      <c r="L9" s="46">
        <v>1300.2411750000001</v>
      </c>
    </row>
    <row r="10" spans="1:14" x14ac:dyDescent="0.25">
      <c r="A10" s="17" t="s">
        <v>11</v>
      </c>
      <c r="B10" s="12">
        <v>36656</v>
      </c>
      <c r="C10" s="12">
        <v>36694</v>
      </c>
      <c r="D10" s="13">
        <v>38</v>
      </c>
      <c r="E10" s="14">
        <v>112.48</v>
      </c>
      <c r="F10" s="15"/>
      <c r="H10" s="47" t="s">
        <v>21</v>
      </c>
      <c r="I10" s="48">
        <v>366564</v>
      </c>
      <c r="J10" s="48">
        <v>366947</v>
      </c>
      <c r="K10" s="48">
        <f t="shared" si="0"/>
        <v>383</v>
      </c>
      <c r="L10" s="49">
        <v>1134.3789749999999</v>
      </c>
      <c r="M10" s="9"/>
      <c r="N10" s="9"/>
    </row>
    <row r="11" spans="1:14" x14ac:dyDescent="0.25">
      <c r="A11" s="4" t="s">
        <v>12</v>
      </c>
      <c r="B11" s="4">
        <v>366947</v>
      </c>
      <c r="C11" s="4">
        <v>367321</v>
      </c>
      <c r="D11" s="10">
        <v>374</v>
      </c>
      <c r="E11" s="6">
        <v>1107.72</v>
      </c>
      <c r="F11" s="8">
        <v>1107.72</v>
      </c>
      <c r="H11" t="s">
        <v>34</v>
      </c>
      <c r="K11">
        <f>SUM(K5:K10)</f>
        <v>2542</v>
      </c>
      <c r="L11" s="9">
        <f>SUM(L5:L10)</f>
        <v>7604.0907774999996</v>
      </c>
    </row>
    <row r="12" spans="1:14" x14ac:dyDescent="0.25">
      <c r="A12" s="33" t="s">
        <v>36</v>
      </c>
      <c r="B12" s="33"/>
      <c r="C12" s="33"/>
      <c r="D12" s="37"/>
      <c r="E12" s="38">
        <f>SUM(E5:E10)</f>
        <v>708.09</v>
      </c>
      <c r="F12" s="9"/>
      <c r="H12" t="s">
        <v>35</v>
      </c>
      <c r="L12" s="36">
        <f>L11-E12</f>
        <v>6896.0007774999995</v>
      </c>
      <c r="M12" s="50">
        <f>L12/6</f>
        <v>1149.3334629166666</v>
      </c>
      <c r="N12" s="36">
        <f>L12/3</f>
        <v>2298.6669258333332</v>
      </c>
    </row>
    <row r="13" spans="1:14" x14ac:dyDescent="0.25">
      <c r="A13" s="1"/>
      <c r="F13" s="9"/>
    </row>
    <row r="14" spans="1:14" x14ac:dyDescent="0.25">
      <c r="A14" s="5" t="s">
        <v>13</v>
      </c>
      <c r="B14" s="5" t="s">
        <v>0</v>
      </c>
      <c r="C14" s="5" t="s">
        <v>1</v>
      </c>
      <c r="D14" s="5" t="s">
        <v>19</v>
      </c>
      <c r="E14" s="5" t="s">
        <v>2</v>
      </c>
      <c r="F14" s="5" t="s">
        <v>3</v>
      </c>
      <c r="H14" s="41"/>
      <c r="I14" s="42" t="s">
        <v>22</v>
      </c>
      <c r="J14" s="42" t="s">
        <v>23</v>
      </c>
      <c r="K14" s="42" t="s">
        <v>24</v>
      </c>
      <c r="L14" s="43" t="s">
        <v>25</v>
      </c>
    </row>
    <row r="15" spans="1:14" x14ac:dyDescent="0.25">
      <c r="A15" s="4" t="s">
        <v>5</v>
      </c>
      <c r="B15" s="2">
        <v>254211</v>
      </c>
      <c r="C15" s="3">
        <v>254697</v>
      </c>
      <c r="D15" s="3">
        <f>C15-B15</f>
        <v>486</v>
      </c>
      <c r="E15" s="6">
        <v>1268.46</v>
      </c>
      <c r="F15" s="6">
        <v>1268.46</v>
      </c>
      <c r="H15" s="44"/>
      <c r="L15" s="45"/>
    </row>
    <row r="16" spans="1:14" x14ac:dyDescent="0.25">
      <c r="A16" s="12" t="s">
        <v>4</v>
      </c>
      <c r="B16" s="12">
        <v>25469</v>
      </c>
      <c r="C16" s="12">
        <v>25535</v>
      </c>
      <c r="D16" s="13">
        <f>C16-B16</f>
        <v>66</v>
      </c>
      <c r="E16" s="14">
        <v>172.26</v>
      </c>
      <c r="F16" s="15"/>
      <c r="H16" s="44" t="s">
        <v>4</v>
      </c>
      <c r="I16" s="34">
        <v>254692</v>
      </c>
      <c r="J16" s="34">
        <v>255367</v>
      </c>
      <c r="K16">
        <f>J16-I16</f>
        <v>675</v>
      </c>
      <c r="L16" s="46">
        <f>1831.780375*1.15</f>
        <v>2106.54743125</v>
      </c>
    </row>
    <row r="17" spans="1:14" x14ac:dyDescent="0.25">
      <c r="A17" s="12" t="s">
        <v>7</v>
      </c>
      <c r="B17" s="12">
        <v>25535</v>
      </c>
      <c r="C17" s="12">
        <v>25597</v>
      </c>
      <c r="D17" s="13">
        <f>C17-B17</f>
        <v>62</v>
      </c>
      <c r="E17" s="16">
        <v>161.82</v>
      </c>
      <c r="F17" s="15"/>
      <c r="H17" s="44" t="s">
        <v>7</v>
      </c>
      <c r="I17" s="34">
        <v>255367</v>
      </c>
      <c r="J17" s="34">
        <v>255971</v>
      </c>
      <c r="K17">
        <f t="shared" ref="K17:K21" si="1">J17-I17</f>
        <v>604</v>
      </c>
      <c r="L17" s="46">
        <f>1618.81268*1.15</f>
        <v>1861.6345819999999</v>
      </c>
    </row>
    <row r="18" spans="1:14" x14ac:dyDescent="0.25">
      <c r="A18" s="12" t="s">
        <v>8</v>
      </c>
      <c r="B18" s="12">
        <v>25597</v>
      </c>
      <c r="C18" s="12">
        <v>25675</v>
      </c>
      <c r="D18" s="13">
        <v>78</v>
      </c>
      <c r="E18" s="14">
        <v>203.58</v>
      </c>
      <c r="F18" s="15"/>
      <c r="H18" s="44" t="s">
        <v>8</v>
      </c>
      <c r="I18" s="34">
        <v>255971</v>
      </c>
      <c r="J18">
        <v>256750</v>
      </c>
      <c r="K18">
        <f t="shared" si="1"/>
        <v>779</v>
      </c>
      <c r="L18" s="46">
        <f>2143.733055*1.15</f>
        <v>2465.2930132500001</v>
      </c>
    </row>
    <row r="19" spans="1:14" x14ac:dyDescent="0.25">
      <c r="A19" s="17" t="s">
        <v>9</v>
      </c>
      <c r="B19" s="12">
        <v>25675</v>
      </c>
      <c r="C19" s="12">
        <v>25766</v>
      </c>
      <c r="D19" s="13">
        <v>91</v>
      </c>
      <c r="E19" s="14">
        <v>269.36</v>
      </c>
      <c r="F19" s="15"/>
      <c r="H19" s="44" t="s">
        <v>9</v>
      </c>
      <c r="I19">
        <v>256750</v>
      </c>
      <c r="J19">
        <v>257660</v>
      </c>
      <c r="K19" s="62">
        <f t="shared" si="1"/>
        <v>910</v>
      </c>
      <c r="L19" s="46">
        <v>2874.5721999999996</v>
      </c>
    </row>
    <row r="20" spans="1:14" x14ac:dyDescent="0.25">
      <c r="A20" s="12" t="s">
        <v>10</v>
      </c>
      <c r="B20" s="12">
        <v>25766</v>
      </c>
      <c r="C20" s="12">
        <v>25844</v>
      </c>
      <c r="D20" s="13">
        <v>78</v>
      </c>
      <c r="E20" s="14">
        <v>230.88</v>
      </c>
      <c r="F20" s="15"/>
      <c r="H20" s="44" t="s">
        <v>10</v>
      </c>
      <c r="I20">
        <v>257660</v>
      </c>
      <c r="J20">
        <v>258445</v>
      </c>
      <c r="K20">
        <f t="shared" si="1"/>
        <v>785</v>
      </c>
      <c r="L20" s="46">
        <v>2449.6759499999994</v>
      </c>
    </row>
    <row r="21" spans="1:14" x14ac:dyDescent="0.25">
      <c r="A21" s="17" t="s">
        <v>11</v>
      </c>
      <c r="B21" s="12">
        <v>25844</v>
      </c>
      <c r="C21" s="12">
        <v>25911</v>
      </c>
      <c r="D21" s="13">
        <f>C21-B21</f>
        <v>67</v>
      </c>
      <c r="E21" s="14">
        <v>198.32</v>
      </c>
      <c r="F21" s="15"/>
      <c r="H21" s="47" t="s">
        <v>21</v>
      </c>
      <c r="I21" s="48">
        <v>258445</v>
      </c>
      <c r="J21" s="48">
        <v>259114</v>
      </c>
      <c r="K21" s="48">
        <f t="shared" si="1"/>
        <v>669</v>
      </c>
      <c r="L21" s="49">
        <v>2055.3722299999999</v>
      </c>
      <c r="M21" s="9"/>
    </row>
    <row r="22" spans="1:14" x14ac:dyDescent="0.25">
      <c r="A22" s="4" t="s">
        <v>12</v>
      </c>
      <c r="B22" s="4">
        <v>259114</v>
      </c>
      <c r="C22" s="4">
        <v>259707</v>
      </c>
      <c r="D22" s="10">
        <f>C22-B22</f>
        <v>593</v>
      </c>
      <c r="E22" s="11">
        <v>1797.04</v>
      </c>
      <c r="F22" s="8">
        <v>1797.04</v>
      </c>
      <c r="H22" t="s">
        <v>34</v>
      </c>
      <c r="K22">
        <f>SUM(K16:K21)</f>
        <v>4422</v>
      </c>
      <c r="L22" s="9">
        <f>SUM(L16:L21)</f>
        <v>13813.095406499997</v>
      </c>
    </row>
    <row r="23" spans="1:14" x14ac:dyDescent="0.25">
      <c r="A23" s="33" t="s">
        <v>36</v>
      </c>
      <c r="B23" s="33"/>
      <c r="C23" s="33"/>
      <c r="D23" s="34"/>
      <c r="E23" s="39">
        <f>SUM(E16:E21)</f>
        <v>1236.22</v>
      </c>
      <c r="F23" s="9"/>
      <c r="H23" t="s">
        <v>35</v>
      </c>
      <c r="L23" s="36">
        <f>L22-E23</f>
        <v>12576.875406499998</v>
      </c>
      <c r="M23" s="50">
        <f>L23/6</f>
        <v>2096.1459010833328</v>
      </c>
      <c r="N23" s="36">
        <f>L23/3</f>
        <v>4192.2918021666655</v>
      </c>
    </row>
    <row r="25" spans="1:14" x14ac:dyDescent="0.25">
      <c r="A25" s="5" t="s">
        <v>14</v>
      </c>
      <c r="B25" s="5" t="s">
        <v>0</v>
      </c>
      <c r="C25" s="5" t="s">
        <v>1</v>
      </c>
      <c r="D25" s="5" t="s">
        <v>19</v>
      </c>
      <c r="E25" s="5" t="s">
        <v>2</v>
      </c>
      <c r="F25" s="5" t="s">
        <v>3</v>
      </c>
      <c r="H25" s="41"/>
      <c r="I25" s="42" t="s">
        <v>22</v>
      </c>
      <c r="J25" s="42" t="s">
        <v>23</v>
      </c>
      <c r="K25" s="42" t="s">
        <v>24</v>
      </c>
      <c r="L25" s="43" t="s">
        <v>25</v>
      </c>
    </row>
    <row r="26" spans="1:14" x14ac:dyDescent="0.25">
      <c r="A26" s="4" t="s">
        <v>5</v>
      </c>
      <c r="B26" s="24">
        <v>349622</v>
      </c>
      <c r="C26" s="24">
        <v>349949</v>
      </c>
      <c r="D26" s="18">
        <f>C26-B26</f>
        <v>327</v>
      </c>
      <c r="E26" s="32">
        <v>853.47</v>
      </c>
      <c r="F26" s="24">
        <v>853.47</v>
      </c>
      <c r="H26" s="44"/>
      <c r="L26" s="45"/>
    </row>
    <row r="27" spans="1:14" x14ac:dyDescent="0.25">
      <c r="A27" s="12" t="s">
        <v>4</v>
      </c>
      <c r="B27" s="21">
        <v>34994</v>
      </c>
      <c r="C27" s="22" t="s">
        <v>15</v>
      </c>
      <c r="D27" s="19">
        <v>43</v>
      </c>
      <c r="E27" s="23">
        <v>112.23</v>
      </c>
      <c r="F27" s="20"/>
      <c r="H27" s="44" t="s">
        <v>4</v>
      </c>
      <c r="I27">
        <v>349949</v>
      </c>
      <c r="J27">
        <v>350372</v>
      </c>
      <c r="K27">
        <f>J27-I27</f>
        <v>423</v>
      </c>
      <c r="L27" s="46">
        <f>1105.60356*1.15</f>
        <v>1271.444094</v>
      </c>
    </row>
    <row r="28" spans="1:14" x14ac:dyDescent="0.25">
      <c r="A28" s="12" t="s">
        <v>7</v>
      </c>
      <c r="B28" s="12">
        <v>35037</v>
      </c>
      <c r="C28" s="12">
        <v>35075</v>
      </c>
      <c r="D28" s="13">
        <f>C28-B28</f>
        <v>38</v>
      </c>
      <c r="E28" s="16">
        <v>99.18</v>
      </c>
      <c r="F28" s="15"/>
      <c r="H28" s="44" t="s">
        <v>7</v>
      </c>
      <c r="I28">
        <v>350372</v>
      </c>
      <c r="J28">
        <v>350750</v>
      </c>
      <c r="K28">
        <f t="shared" ref="K28:K32" si="2">J28-I28</f>
        <v>378</v>
      </c>
      <c r="L28" s="46">
        <f>987.98616*1.15</f>
        <v>1136.184084</v>
      </c>
      <c r="M28" s="9"/>
    </row>
    <row r="29" spans="1:14" x14ac:dyDescent="0.25">
      <c r="A29" s="12" t="s">
        <v>8</v>
      </c>
      <c r="B29" s="12">
        <v>35075</v>
      </c>
      <c r="C29" s="12">
        <v>35122</v>
      </c>
      <c r="D29" s="13">
        <v>47</v>
      </c>
      <c r="E29" s="14">
        <v>122.67</v>
      </c>
      <c r="F29" s="15"/>
      <c r="H29" s="44" t="s">
        <v>8</v>
      </c>
      <c r="I29">
        <v>350750</v>
      </c>
      <c r="J29">
        <v>351226</v>
      </c>
      <c r="K29">
        <f t="shared" si="2"/>
        <v>476</v>
      </c>
      <c r="L29" s="46">
        <f>1244.13072*1.15</f>
        <v>1430.7503280000001</v>
      </c>
      <c r="M29" s="9"/>
    </row>
    <row r="30" spans="1:14" x14ac:dyDescent="0.25">
      <c r="A30" s="17" t="s">
        <v>9</v>
      </c>
      <c r="B30" s="12">
        <v>35122</v>
      </c>
      <c r="C30" s="12">
        <v>35161</v>
      </c>
      <c r="D30" s="13">
        <v>39</v>
      </c>
      <c r="E30" s="14">
        <v>115.44</v>
      </c>
      <c r="F30" s="15"/>
      <c r="H30" s="44" t="s">
        <v>9</v>
      </c>
      <c r="I30">
        <v>351226</v>
      </c>
      <c r="J30">
        <v>351617</v>
      </c>
      <c r="K30" s="62">
        <f t="shared" si="2"/>
        <v>391</v>
      </c>
      <c r="L30" s="46">
        <v>1158.0735750000001</v>
      </c>
    </row>
    <row r="31" spans="1:14" x14ac:dyDescent="0.25">
      <c r="A31" s="12" t="s">
        <v>10</v>
      </c>
      <c r="B31" s="12">
        <v>35161</v>
      </c>
      <c r="C31" s="12">
        <v>35204</v>
      </c>
      <c r="D31" s="13">
        <v>43</v>
      </c>
      <c r="E31" s="14">
        <v>127.28</v>
      </c>
      <c r="F31" s="15"/>
      <c r="H31" s="44" t="s">
        <v>10</v>
      </c>
      <c r="I31">
        <v>351617</v>
      </c>
      <c r="J31">
        <v>352044</v>
      </c>
      <c r="K31">
        <f t="shared" si="2"/>
        <v>427</v>
      </c>
      <c r="L31" s="46">
        <v>1264.6992750000002</v>
      </c>
    </row>
    <row r="32" spans="1:14" x14ac:dyDescent="0.25">
      <c r="A32" s="17" t="s">
        <v>11</v>
      </c>
      <c r="B32" s="12">
        <v>35204</v>
      </c>
      <c r="C32" s="12">
        <v>35243</v>
      </c>
      <c r="D32" s="13">
        <f>C32-B32</f>
        <v>39</v>
      </c>
      <c r="E32" s="14">
        <v>115.44</v>
      </c>
      <c r="F32" s="15"/>
      <c r="H32" s="47" t="s">
        <v>21</v>
      </c>
      <c r="I32" s="48">
        <v>352044</v>
      </c>
      <c r="J32" s="48">
        <v>352436</v>
      </c>
      <c r="K32" s="48">
        <f t="shared" si="2"/>
        <v>392</v>
      </c>
      <c r="L32" s="49">
        <v>1161.0354</v>
      </c>
      <c r="M32" s="9"/>
    </row>
    <row r="33" spans="1:14" x14ac:dyDescent="0.25">
      <c r="A33" s="4" t="s">
        <v>12</v>
      </c>
      <c r="B33" s="4">
        <v>352436</v>
      </c>
      <c r="C33" s="4">
        <v>352788</v>
      </c>
      <c r="D33" s="10">
        <f>C33-B33</f>
        <v>352</v>
      </c>
      <c r="E33" s="11">
        <v>1042.56</v>
      </c>
      <c r="F33" s="11">
        <v>1042.56</v>
      </c>
      <c r="H33" t="s">
        <v>34</v>
      </c>
      <c r="K33">
        <f>SUM(K27:K32)</f>
        <v>2487</v>
      </c>
      <c r="L33" s="9">
        <f>SUM(L27:L32)</f>
        <v>7422.1867560000001</v>
      </c>
    </row>
    <row r="34" spans="1:14" x14ac:dyDescent="0.25">
      <c r="A34" s="33" t="s">
        <v>36</v>
      </c>
      <c r="B34" s="33"/>
      <c r="C34" s="33"/>
      <c r="D34" s="34"/>
      <c r="E34" s="39">
        <f>SUM(E27:E32)</f>
        <v>692.24</v>
      </c>
      <c r="F34" s="35"/>
      <c r="H34" t="s">
        <v>35</v>
      </c>
      <c r="L34" s="36">
        <f>L33-E34</f>
        <v>6729.9467560000003</v>
      </c>
      <c r="M34" s="50">
        <f>L34/6</f>
        <v>1121.6577926666666</v>
      </c>
      <c r="N34" s="36">
        <f>L34/3</f>
        <v>2243.3155853333333</v>
      </c>
    </row>
    <row r="35" spans="1:14" x14ac:dyDescent="0.25">
      <c r="A35" s="1"/>
    </row>
    <row r="36" spans="1:14" x14ac:dyDescent="0.25">
      <c r="A36" s="5" t="s">
        <v>16</v>
      </c>
      <c r="B36" s="5" t="s">
        <v>0</v>
      </c>
      <c r="C36" s="5" t="s">
        <v>1</v>
      </c>
      <c r="D36" s="5" t="s">
        <v>19</v>
      </c>
      <c r="E36" s="5" t="s">
        <v>2</v>
      </c>
      <c r="F36" s="5" t="s">
        <v>3</v>
      </c>
      <c r="H36" s="41"/>
      <c r="I36" s="42" t="s">
        <v>22</v>
      </c>
      <c r="J36" s="42" t="s">
        <v>23</v>
      </c>
      <c r="K36" s="42" t="s">
        <v>24</v>
      </c>
      <c r="L36" s="43" t="s">
        <v>25</v>
      </c>
    </row>
    <row r="37" spans="1:14" x14ac:dyDescent="0.25">
      <c r="A37" s="4" t="s">
        <v>5</v>
      </c>
      <c r="B37" s="28">
        <v>314643</v>
      </c>
      <c r="C37" s="28">
        <v>314945</v>
      </c>
      <c r="D37" s="26">
        <f>C37-B37</f>
        <v>302</v>
      </c>
      <c r="E37" s="29">
        <v>788.22</v>
      </c>
      <c r="F37" s="29">
        <v>788.22</v>
      </c>
      <c r="H37" s="44"/>
      <c r="L37" s="45"/>
    </row>
    <row r="38" spans="1:14" x14ac:dyDescent="0.25">
      <c r="A38" s="12" t="s">
        <v>4</v>
      </c>
      <c r="B38" s="30">
        <v>31494</v>
      </c>
      <c r="C38" s="30">
        <v>31523</v>
      </c>
      <c r="D38" s="19">
        <v>29</v>
      </c>
      <c r="E38" s="31">
        <v>75.69</v>
      </c>
      <c r="F38" s="27"/>
      <c r="H38" s="44" t="s">
        <v>4</v>
      </c>
      <c r="I38">
        <v>314945</v>
      </c>
      <c r="J38">
        <v>315237</v>
      </c>
      <c r="K38">
        <f>J38-I38</f>
        <v>292</v>
      </c>
      <c r="L38" s="46">
        <f>763.20624*1.15</f>
        <v>877.68717599999991</v>
      </c>
    </row>
    <row r="39" spans="1:14" x14ac:dyDescent="0.25">
      <c r="A39" s="12" t="s">
        <v>7</v>
      </c>
      <c r="B39" s="30">
        <v>31523</v>
      </c>
      <c r="C39" s="30">
        <v>31561</v>
      </c>
      <c r="D39" s="19">
        <v>38</v>
      </c>
      <c r="E39" s="31">
        <v>99.18</v>
      </c>
      <c r="F39" s="27"/>
      <c r="H39" s="44" t="s">
        <v>7</v>
      </c>
      <c r="I39">
        <v>315237</v>
      </c>
      <c r="J39">
        <v>315617</v>
      </c>
      <c r="K39">
        <f t="shared" ref="K39:K43" si="3">J39-I39</f>
        <v>380</v>
      </c>
      <c r="L39" s="46">
        <f>993.2136*1.15</f>
        <v>1142.1956399999999</v>
      </c>
    </row>
    <row r="40" spans="1:14" x14ac:dyDescent="0.25">
      <c r="A40" s="12" t="s">
        <v>8</v>
      </c>
      <c r="B40" s="30">
        <v>31561</v>
      </c>
      <c r="C40" s="30">
        <v>31641</v>
      </c>
      <c r="D40" s="19">
        <v>80</v>
      </c>
      <c r="E40" s="31">
        <v>208.8</v>
      </c>
      <c r="F40" s="27"/>
      <c r="H40" s="44" t="s">
        <v>8</v>
      </c>
      <c r="I40">
        <v>315617</v>
      </c>
      <c r="J40">
        <v>316416</v>
      </c>
      <c r="K40">
        <f t="shared" si="3"/>
        <v>799</v>
      </c>
      <c r="L40" s="46">
        <f>2203.723955*1.15</f>
        <v>2534.2825482499998</v>
      </c>
    </row>
    <row r="41" spans="1:14" x14ac:dyDescent="0.25">
      <c r="A41" s="17" t="s">
        <v>9</v>
      </c>
      <c r="B41" s="12">
        <v>31641</v>
      </c>
      <c r="C41" s="12">
        <v>31725</v>
      </c>
      <c r="D41" s="13">
        <v>84</v>
      </c>
      <c r="E41" s="14">
        <v>248.64</v>
      </c>
      <c r="F41" s="15"/>
      <c r="H41" s="44" t="s">
        <v>9</v>
      </c>
      <c r="I41">
        <v>316416</v>
      </c>
      <c r="J41">
        <v>317254</v>
      </c>
      <c r="K41" s="62">
        <f t="shared" si="3"/>
        <v>838</v>
      </c>
      <c r="L41" s="46">
        <v>2629.8319599999995</v>
      </c>
    </row>
    <row r="42" spans="1:14" x14ac:dyDescent="0.25">
      <c r="A42" s="12" t="s">
        <v>10</v>
      </c>
      <c r="B42" s="12">
        <v>31725</v>
      </c>
      <c r="C42" s="12">
        <v>31774</v>
      </c>
      <c r="D42" s="13">
        <v>49</v>
      </c>
      <c r="E42" s="14">
        <v>145.04</v>
      </c>
      <c r="F42" s="15"/>
      <c r="H42" s="44" t="s">
        <v>10</v>
      </c>
      <c r="I42">
        <v>317254</v>
      </c>
      <c r="J42">
        <v>317744</v>
      </c>
      <c r="K42">
        <f t="shared" si="3"/>
        <v>490</v>
      </c>
      <c r="L42" s="61">
        <v>1451.2942499999997</v>
      </c>
    </row>
    <row r="43" spans="1:14" x14ac:dyDescent="0.25">
      <c r="A43" s="17" t="s">
        <v>11</v>
      </c>
      <c r="B43" s="12">
        <v>31774</v>
      </c>
      <c r="C43" s="12">
        <v>31812</v>
      </c>
      <c r="D43" s="13">
        <f>C43-B43</f>
        <v>38</v>
      </c>
      <c r="E43" s="14">
        <v>112.48</v>
      </c>
      <c r="F43" s="15"/>
      <c r="H43" s="47" t="s">
        <v>21</v>
      </c>
      <c r="I43" s="48">
        <v>317744</v>
      </c>
      <c r="J43" s="48">
        <v>318123</v>
      </c>
      <c r="K43" s="48">
        <f t="shared" si="3"/>
        <v>379</v>
      </c>
      <c r="L43" s="49">
        <v>1122.531675</v>
      </c>
      <c r="M43" s="9"/>
    </row>
    <row r="44" spans="1:14" x14ac:dyDescent="0.25">
      <c r="A44" s="4" t="s">
        <v>12</v>
      </c>
      <c r="B44" s="4">
        <v>318123</v>
      </c>
      <c r="C44" s="4">
        <v>318498</v>
      </c>
      <c r="D44" s="10">
        <f>C44-B44</f>
        <v>375</v>
      </c>
      <c r="E44" s="11">
        <v>1110.68</v>
      </c>
      <c r="F44" s="11">
        <v>1110.68</v>
      </c>
      <c r="H44" t="s">
        <v>34</v>
      </c>
      <c r="K44">
        <f>SUM(K38:K43)</f>
        <v>3178</v>
      </c>
      <c r="L44" s="9">
        <f>SUM(L38:L43)</f>
        <v>9757.8232492499992</v>
      </c>
    </row>
    <row r="45" spans="1:14" x14ac:dyDescent="0.25">
      <c r="A45" s="33" t="s">
        <v>36</v>
      </c>
      <c r="B45" s="33"/>
      <c r="C45" s="33"/>
      <c r="E45" s="40">
        <f>SUM(E38:E43)</f>
        <v>889.82999999999993</v>
      </c>
      <c r="H45" t="s">
        <v>35</v>
      </c>
      <c r="L45" s="36">
        <f>L44-E45</f>
        <v>8867.9932492499993</v>
      </c>
      <c r="M45" s="50">
        <f>L45/6</f>
        <v>1477.998874875</v>
      </c>
      <c r="N45" s="36">
        <f>L45/3</f>
        <v>2955.9977497499999</v>
      </c>
    </row>
  </sheetData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6BAD7738-1457-4AE0-B536-35E1C4319C2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I16</xm:sqref>
            </x14:sparkline>
            <x14:sparkline>
              <xm:sqref>I17</xm:sqref>
            </x14:sparkline>
          </x14:sparklines>
        </x14:sparklineGroup>
        <x14:sparklineGroup manualMax="0" manualMin="0" displayEmptyCellsAs="span" xr2:uid="{6D93049C-1C82-4A40-BA6B-6BFAFC17D9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J16</xm:sqref>
            </x14:sparkline>
            <x14:sparkline>
              <xm:sqref>J17</xm:sqref>
            </x14:sparkline>
          </x14:sparklines>
        </x14:sparklineGroup>
        <x14:sparklineGroup manualMax="0" manualMin="0" displayEmptyCellsAs="span" xr2:uid="{3DB49394-C922-4EEF-9897-E6D1996738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I18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6F42-2B3A-4CA1-A82A-BE64C8214903}">
  <dimension ref="A1:K19"/>
  <sheetViews>
    <sheetView topLeftCell="A7" workbookViewId="0">
      <selection activeCell="H7" sqref="H7"/>
    </sheetView>
  </sheetViews>
  <sheetFormatPr defaultRowHeight="15" x14ac:dyDescent="0.25"/>
  <cols>
    <col min="1" max="1" width="12.85546875" customWidth="1"/>
    <col min="2" max="2" width="14.7109375" customWidth="1"/>
    <col min="3" max="3" width="16.7109375" customWidth="1"/>
    <col min="4" max="4" width="18.5703125" customWidth="1"/>
    <col min="5" max="5" width="19.28515625" customWidth="1"/>
    <col min="6" max="6" width="19.140625" customWidth="1"/>
    <col min="7" max="7" width="22.28515625" customWidth="1"/>
    <col min="8" max="8" width="18.42578125" customWidth="1"/>
  </cols>
  <sheetData>
    <row r="1" spans="1:11" x14ac:dyDescent="0.25">
      <c r="A1" s="4" t="s">
        <v>26</v>
      </c>
      <c r="B1" s="4" t="s">
        <v>27</v>
      </c>
      <c r="C1" s="57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11" x14ac:dyDescent="0.25">
      <c r="A2" s="53"/>
      <c r="B2" s="53"/>
      <c r="C2" s="55">
        <v>2.6137199999999998</v>
      </c>
      <c r="D2" s="56">
        <v>2.9995449999999999</v>
      </c>
      <c r="E2" s="56">
        <v>3.22092</v>
      </c>
      <c r="F2" s="56">
        <v>3.39825</v>
      </c>
      <c r="G2" s="56">
        <v>3.5649999999999999</v>
      </c>
      <c r="H2" s="45"/>
    </row>
    <row r="3" spans="1:11" x14ac:dyDescent="0.25">
      <c r="A3" s="53">
        <v>4</v>
      </c>
      <c r="B3" s="53">
        <v>546</v>
      </c>
      <c r="C3" s="55">
        <f>(B3-46)*C2</f>
        <v>1306.8599999999999</v>
      </c>
      <c r="D3" s="56">
        <f>(46)*D2</f>
        <v>137.97907000000001</v>
      </c>
      <c r="E3" s="53"/>
      <c r="F3" s="53"/>
      <c r="G3" s="53"/>
      <c r="H3" s="51">
        <f>SUM(C3:G3)</f>
        <v>1444.83907</v>
      </c>
    </row>
    <row r="4" spans="1:11" x14ac:dyDescent="0.25">
      <c r="A4" s="53">
        <v>4</v>
      </c>
      <c r="B4" s="53">
        <v>404</v>
      </c>
      <c r="C4" s="55">
        <f>404*C2</f>
        <v>1055.9428799999998</v>
      </c>
      <c r="D4" s="53"/>
      <c r="E4" s="53"/>
      <c r="F4" s="53"/>
      <c r="G4" s="53"/>
      <c r="H4" s="51">
        <f>SUM(C4:G4)</f>
        <v>1055.9428799999998</v>
      </c>
    </row>
    <row r="5" spans="1:11" x14ac:dyDescent="0.25">
      <c r="A5" s="53">
        <v>4</v>
      </c>
      <c r="B5" s="53">
        <v>295</v>
      </c>
      <c r="C5" s="55">
        <f>295*C2</f>
        <v>771.04739999999993</v>
      </c>
      <c r="D5" s="53"/>
      <c r="E5" s="53"/>
      <c r="F5" s="53"/>
      <c r="G5" s="53"/>
      <c r="H5" s="51">
        <f>SUM(C5:G5)</f>
        <v>771.04739999999993</v>
      </c>
    </row>
    <row r="6" spans="1:11" x14ac:dyDescent="0.25">
      <c r="A6" s="53"/>
      <c r="B6" s="53"/>
      <c r="C6" s="53"/>
      <c r="D6" s="53"/>
      <c r="E6" s="53"/>
      <c r="F6" s="53"/>
      <c r="G6" s="53"/>
      <c r="H6" s="45"/>
    </row>
    <row r="7" spans="1:11" x14ac:dyDescent="0.25">
      <c r="A7" s="53">
        <v>5</v>
      </c>
      <c r="B7" s="53">
        <v>675</v>
      </c>
      <c r="C7" s="55">
        <f>(B7-175)*C2</f>
        <v>1306.8599999999999</v>
      </c>
      <c r="D7" s="56">
        <f>175*D2</f>
        <v>524.92037500000004</v>
      </c>
      <c r="E7" s="53"/>
      <c r="F7" s="53"/>
      <c r="G7" s="53"/>
      <c r="H7" s="51">
        <f>SUM(C7:G7)</f>
        <v>1831.7803749999998</v>
      </c>
    </row>
    <row r="8" spans="1:11" x14ac:dyDescent="0.25">
      <c r="A8" s="53">
        <v>5</v>
      </c>
      <c r="B8" s="53">
        <v>604</v>
      </c>
      <c r="C8" s="55">
        <f>(B8-104)*C2</f>
        <v>1306.8599999999999</v>
      </c>
      <c r="D8" s="56">
        <f>104*D2</f>
        <v>311.95267999999999</v>
      </c>
      <c r="E8" s="53"/>
      <c r="F8" s="53"/>
      <c r="G8" s="53"/>
      <c r="H8" s="51">
        <f>SUM(C8:G8)</f>
        <v>1618.81268</v>
      </c>
    </row>
    <row r="9" spans="1:11" x14ac:dyDescent="0.25">
      <c r="A9" s="53">
        <v>5</v>
      </c>
      <c r="B9" s="53">
        <v>779</v>
      </c>
      <c r="C9" s="55">
        <f>(B9-279)*C2</f>
        <v>1306.8599999999999</v>
      </c>
      <c r="D9" s="56">
        <f>279*D2</f>
        <v>836.87305500000002</v>
      </c>
      <c r="E9" s="53"/>
      <c r="F9" s="53"/>
      <c r="G9" s="53"/>
      <c r="H9" s="51">
        <f>SUM(C9:G9)</f>
        <v>2143.7330549999997</v>
      </c>
    </row>
    <row r="10" spans="1:11" x14ac:dyDescent="0.25">
      <c r="A10" s="53"/>
      <c r="B10" s="53"/>
      <c r="C10" s="53"/>
      <c r="D10" s="53"/>
      <c r="E10" s="53"/>
      <c r="F10" s="53"/>
      <c r="G10" s="53"/>
      <c r="H10" s="45"/>
    </row>
    <row r="11" spans="1:11" x14ac:dyDescent="0.25">
      <c r="A11" s="53">
        <v>17</v>
      </c>
      <c r="B11" s="53">
        <v>423</v>
      </c>
      <c r="C11" s="55">
        <f>B11*C2</f>
        <v>1105.60356</v>
      </c>
      <c r="D11" s="53"/>
      <c r="E11" s="53"/>
      <c r="F11" s="53"/>
      <c r="G11" s="53"/>
      <c r="H11" s="51">
        <f>SUM(C11:G11)</f>
        <v>1105.60356</v>
      </c>
    </row>
    <row r="12" spans="1:11" x14ac:dyDescent="0.25">
      <c r="A12" s="53">
        <v>17</v>
      </c>
      <c r="B12" s="53">
        <v>378</v>
      </c>
      <c r="C12" s="55">
        <f>B12*C2</f>
        <v>987.98615999999993</v>
      </c>
      <c r="D12" s="53"/>
      <c r="E12" s="53"/>
      <c r="F12" s="53"/>
      <c r="G12" s="53"/>
      <c r="H12" s="51">
        <f>SUM(C12:G12)</f>
        <v>987.98615999999993</v>
      </c>
      <c r="I12" s="60"/>
      <c r="J12" s="9"/>
      <c r="K12" s="9"/>
    </row>
    <row r="13" spans="1:11" x14ac:dyDescent="0.25">
      <c r="A13" s="53">
        <v>17</v>
      </c>
      <c r="B13" s="53">
        <v>476</v>
      </c>
      <c r="C13" s="55">
        <f>B13*C2</f>
        <v>1244.1307199999999</v>
      </c>
      <c r="D13" s="53"/>
      <c r="E13" s="53"/>
      <c r="F13" s="53"/>
      <c r="G13" s="53"/>
      <c r="H13" s="51">
        <f>SUM(C13:G13)</f>
        <v>1244.1307199999999</v>
      </c>
      <c r="J13" s="9"/>
    </row>
    <row r="14" spans="1:11" x14ac:dyDescent="0.25">
      <c r="A14" s="53"/>
      <c r="B14" s="53"/>
      <c r="C14" s="53"/>
      <c r="D14" s="53"/>
      <c r="E14" s="53"/>
      <c r="F14" s="53"/>
      <c r="G14" s="53"/>
      <c r="H14" s="45"/>
    </row>
    <row r="15" spans="1:11" x14ac:dyDescent="0.25">
      <c r="A15" s="53">
        <v>18</v>
      </c>
      <c r="B15" s="53">
        <v>292</v>
      </c>
      <c r="C15" s="55">
        <f>B15*C2</f>
        <v>763.20623999999998</v>
      </c>
      <c r="D15" s="53"/>
      <c r="E15" s="53"/>
      <c r="F15" s="53"/>
      <c r="G15" s="53"/>
      <c r="H15" s="51">
        <f>SUM(C15:G15)</f>
        <v>763.20623999999998</v>
      </c>
    </row>
    <row r="16" spans="1:11" x14ac:dyDescent="0.25">
      <c r="A16" s="53">
        <v>18</v>
      </c>
      <c r="B16" s="53">
        <v>380</v>
      </c>
      <c r="C16" s="55">
        <f>B16*C2</f>
        <v>993.21359999999993</v>
      </c>
      <c r="D16" s="53"/>
      <c r="E16" s="53"/>
      <c r="F16" s="53"/>
      <c r="G16" s="53"/>
      <c r="H16" s="51">
        <f>SUM(C16:G16)</f>
        <v>993.21359999999993</v>
      </c>
    </row>
    <row r="17" spans="1:8" x14ac:dyDescent="0.25">
      <c r="A17" s="53">
        <v>18</v>
      </c>
      <c r="B17" s="53">
        <v>799</v>
      </c>
      <c r="C17" s="55">
        <f>(B17-299)*C2</f>
        <v>1306.8599999999999</v>
      </c>
      <c r="D17" s="56">
        <f>299*D2</f>
        <v>896.86395499999992</v>
      </c>
      <c r="E17" s="53"/>
      <c r="F17" s="53"/>
      <c r="G17" s="53"/>
      <c r="H17" s="51">
        <f>SUM(C17:G17)</f>
        <v>2203.7239549999999</v>
      </c>
    </row>
    <row r="18" spans="1:8" x14ac:dyDescent="0.25">
      <c r="A18" s="54"/>
      <c r="B18" s="54"/>
      <c r="C18" s="54"/>
      <c r="D18" s="54"/>
      <c r="E18" s="54"/>
      <c r="F18" s="54"/>
      <c r="G18" s="54"/>
      <c r="H18" s="52"/>
    </row>
    <row r="19" spans="1:8" x14ac:dyDescent="0.25">
      <c r="B19" s="53">
        <v>392</v>
      </c>
      <c r="C19" s="60">
        <f>B19*C2</f>
        <v>1024.5782399999998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4,5,17&amp;18 Billing</vt:lpstr>
      <vt:lpstr>BON Elec Calc Jun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2025-11-25T06:49:47Z</dcterms:created>
  <dcterms:modified xsi:type="dcterms:W3CDTF">2026-01-15T07:26:10Z</dcterms:modified>
</cp:coreProperties>
</file>