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TV\Utilities Back Date\"/>
    </mc:Choice>
  </mc:AlternateContent>
  <xr:revisionPtr revIDLastSave="91" documentId="13_ncr:1_{DB95B846-27D5-4BD9-81C7-C853DF3058DA}" xr6:coauthVersionLast="47" xr6:coauthVersionMax="47" xr10:uidLastSave="{AA762925-9C5F-4CF0-B95C-080BFAC8790E}"/>
  <bookViews>
    <workbookView xWindow="-28920" yWindow="-3765" windowWidth="29040" windowHeight="15840" firstSheet="1" xr2:uid="{53C600ED-F93C-4B94-BC97-CA5D69BDF629}"/>
  </bookViews>
  <sheets>
    <sheet name="TV Water Data" sheetId="1" r:id="rId1"/>
    <sheet name="Collected Grap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6" i="1" l="1"/>
  <c r="E286" i="1"/>
  <c r="E288" i="1" s="1"/>
  <c r="E285" i="1"/>
  <c r="E287" i="1" s="1"/>
  <c r="D285" i="1"/>
  <c r="F278" i="1"/>
  <c r="E278" i="1"/>
  <c r="E280" i="1" s="1"/>
  <c r="E277" i="1"/>
  <c r="E279" i="1" s="1"/>
  <c r="D277" i="1"/>
  <c r="F270" i="1"/>
  <c r="E270" i="1"/>
  <c r="E272" i="1" s="1"/>
  <c r="E269" i="1"/>
  <c r="E271" i="1" s="1"/>
  <c r="D269" i="1"/>
  <c r="F262" i="1"/>
  <c r="E262" i="1"/>
  <c r="E264" i="1" s="1"/>
  <c r="E261" i="1"/>
  <c r="E263" i="1" s="1"/>
  <c r="D261" i="1"/>
  <c r="F254" i="1"/>
  <c r="E254" i="1"/>
  <c r="E256" i="1" s="1"/>
  <c r="E253" i="1"/>
  <c r="E255" i="1" s="1"/>
  <c r="D253" i="1"/>
  <c r="F246" i="1"/>
  <c r="E246" i="1"/>
  <c r="E248" i="1" s="1"/>
  <c r="E245" i="1"/>
  <c r="E247" i="1" s="1"/>
  <c r="D245" i="1"/>
  <c r="F238" i="1"/>
  <c r="E238" i="1"/>
  <c r="E240" i="1" s="1"/>
  <c r="E237" i="1"/>
  <c r="E239" i="1" s="1"/>
  <c r="D237" i="1"/>
  <c r="E229" i="1"/>
  <c r="F230" i="1"/>
  <c r="E230" i="1"/>
  <c r="E232" i="1" s="1"/>
  <c r="E231" i="1"/>
  <c r="D229" i="1"/>
  <c r="F222" i="1"/>
  <c r="E222" i="1"/>
  <c r="E224" i="1"/>
  <c r="F221" i="1"/>
  <c r="E221" i="1"/>
  <c r="E223" i="1" s="1"/>
  <c r="D221" i="1"/>
  <c r="F214" i="1"/>
  <c r="E214" i="1"/>
  <c r="E216" i="1" s="1"/>
  <c r="D214" i="1"/>
  <c r="F213" i="1"/>
  <c r="E213" i="1"/>
  <c r="E215" i="1" s="1"/>
  <c r="D213" i="1"/>
  <c r="F206" i="1"/>
  <c r="E206" i="1"/>
  <c r="E208" i="1" s="1"/>
  <c r="D206" i="1"/>
  <c r="F205" i="1"/>
  <c r="E205" i="1"/>
  <c r="E207" i="1" s="1"/>
  <c r="D205" i="1"/>
  <c r="V15" i="2"/>
  <c r="S15" i="2"/>
  <c r="R15" i="2"/>
  <c r="T15" i="2" s="1"/>
  <c r="AA15" i="2"/>
  <c r="Z15" i="2"/>
  <c r="AB15" i="2" s="1"/>
  <c r="E200" i="1"/>
  <c r="F198" i="1"/>
  <c r="E198" i="1"/>
  <c r="D198" i="1"/>
  <c r="F197" i="1"/>
  <c r="E199" i="1" s="1"/>
  <c r="E197" i="1"/>
  <c r="D197" i="1"/>
  <c r="F190" i="1"/>
  <c r="E190" i="1"/>
  <c r="E192" i="1" s="1"/>
  <c r="D190" i="1"/>
  <c r="F189" i="1"/>
  <c r="E189" i="1"/>
  <c r="E191" i="1" s="1"/>
  <c r="D189" i="1"/>
  <c r="F182" i="1"/>
  <c r="E182" i="1"/>
  <c r="E184" i="1" s="1"/>
  <c r="D182" i="1"/>
  <c r="F181" i="1"/>
  <c r="E181" i="1"/>
  <c r="E183" i="1" s="1"/>
  <c r="D181" i="1"/>
  <c r="F174" i="1"/>
  <c r="E174" i="1"/>
  <c r="E176" i="1" s="1"/>
  <c r="D174" i="1"/>
  <c r="F173" i="1"/>
  <c r="E173" i="1"/>
  <c r="E175" i="1" s="1"/>
  <c r="D173" i="1"/>
  <c r="F165" i="1"/>
  <c r="E165" i="1"/>
  <c r="F166" i="1"/>
  <c r="E166" i="1"/>
  <c r="E168" i="1" s="1"/>
  <c r="D166" i="1"/>
  <c r="D165" i="1"/>
  <c r="E160" i="1"/>
  <c r="F157" i="1"/>
  <c r="E157" i="1"/>
  <c r="E159" i="1" s="1"/>
  <c r="D158" i="1"/>
  <c r="D157" i="1"/>
  <c r="F150" i="1"/>
  <c r="E150" i="1"/>
  <c r="D150" i="1"/>
  <c r="E149" i="1"/>
  <c r="E152" i="1"/>
  <c r="F149" i="1"/>
  <c r="E151" i="1"/>
  <c r="D149" i="1"/>
  <c r="E144" i="1"/>
  <c r="F141" i="1"/>
  <c r="E141" i="1"/>
  <c r="E143" i="1" s="1"/>
  <c r="D141" i="1"/>
  <c r="E136" i="1"/>
  <c r="F133" i="1"/>
  <c r="E133" i="1"/>
  <c r="E135" i="1" s="1"/>
  <c r="D133" i="1"/>
  <c r="E128" i="1"/>
  <c r="E127" i="1"/>
  <c r="F125" i="1"/>
  <c r="E125" i="1"/>
  <c r="D125" i="1"/>
  <c r="E120" i="1"/>
  <c r="F117" i="1"/>
  <c r="E117" i="1"/>
  <c r="E119" i="1" s="1"/>
  <c r="D117" i="1"/>
  <c r="W15" i="2"/>
  <c r="E112" i="1"/>
  <c r="F109" i="1"/>
  <c r="E109" i="1"/>
  <c r="E111" i="1" s="1"/>
  <c r="D109" i="1"/>
  <c r="F101" i="1"/>
  <c r="E101" i="1"/>
  <c r="E104" i="1"/>
  <c r="D101" i="1"/>
  <c r="E95" i="1"/>
  <c r="F78" i="1"/>
  <c r="E96" i="1"/>
  <c r="D93" i="1"/>
  <c r="E167" i="1" l="1"/>
  <c r="X15" i="2"/>
  <c r="E103" i="1"/>
  <c r="E88" i="1"/>
  <c r="E87" i="1"/>
  <c r="E86" i="1"/>
  <c r="D85" i="1"/>
  <c r="E79" i="1" l="1"/>
  <c r="E80" i="1"/>
  <c r="D77" i="1"/>
  <c r="E72" i="1" l="1"/>
  <c r="E71" i="1"/>
  <c r="E70" i="1"/>
  <c r="D69" i="1"/>
  <c r="E63" i="1" l="1"/>
  <c r="E62" i="1"/>
  <c r="E64" i="1" s="1"/>
  <c r="D61" i="1"/>
  <c r="E55" i="1" l="1"/>
  <c r="E54" i="1"/>
  <c r="E56" i="1" s="1"/>
  <c r="D53" i="1"/>
  <c r="E47" i="1" l="1"/>
  <c r="E46" i="1"/>
  <c r="E48" i="1" s="1"/>
  <c r="D45" i="1"/>
  <c r="E38" i="1" l="1"/>
  <c r="E40" i="1"/>
  <c r="E39" i="1"/>
  <c r="D37" i="1"/>
  <c r="E31" i="1" l="1"/>
  <c r="E30" i="1"/>
  <c r="E32" i="1" s="1"/>
  <c r="D29" i="1"/>
  <c r="E23" i="1" l="1"/>
  <c r="E22" i="1"/>
  <c r="E24" i="1" s="1"/>
  <c r="D21" i="1"/>
  <c r="E14" i="1"/>
  <c r="E15" i="1"/>
  <c r="D13" i="1"/>
  <c r="E16" i="1" l="1"/>
  <c r="F6" i="1"/>
  <c r="O15" i="2" l="1"/>
  <c r="N15" i="2"/>
  <c r="E8" i="1"/>
  <c r="E7" i="1"/>
  <c r="D5" i="1"/>
  <c r="P15" i="2" l="1"/>
</calcChain>
</file>

<file path=xl/sharedStrings.xml><?xml version="1.0" encoding="utf-8"?>
<sst xmlns="http://schemas.openxmlformats.org/spreadsheetml/2006/main" count="758" uniqueCount="61">
  <si>
    <t>Transvalia Water STS vs Council</t>
  </si>
  <si>
    <t>Unit No.</t>
  </si>
  <si>
    <t>Opening Reading</t>
  </si>
  <si>
    <t>Closing Reading</t>
  </si>
  <si>
    <t>Cons</t>
  </si>
  <si>
    <t>Water Amount</t>
  </si>
  <si>
    <t>Basic Water Charge</t>
  </si>
  <si>
    <t>Reading Dates</t>
  </si>
  <si>
    <t>Days</t>
  </si>
  <si>
    <t>Estimated?</t>
  </si>
  <si>
    <t>Kwh p/day</t>
  </si>
  <si>
    <t>Rates</t>
  </si>
  <si>
    <t>BC Bulk</t>
  </si>
  <si>
    <t>1Jan - 31Jan 2020</t>
  </si>
  <si>
    <t>Estimated</t>
  </si>
  <si>
    <t>Council Bulk</t>
  </si>
  <si>
    <t>BC Total</t>
  </si>
  <si>
    <t>Council Total</t>
  </si>
  <si>
    <t>Difference</t>
  </si>
  <si>
    <t>1Feb - 29Feb 2020</t>
  </si>
  <si>
    <t>1Mar - 31Mar 2020</t>
  </si>
  <si>
    <t>1Apr - 30Apr 2020</t>
  </si>
  <si>
    <t>1May - 31May 2020</t>
  </si>
  <si>
    <t>31May - 30Jun 2020</t>
  </si>
  <si>
    <t>30Jun - 31Jul 2020</t>
  </si>
  <si>
    <t>1Aug - 31Aug 2020</t>
  </si>
  <si>
    <t>1Sept - 30Sept 2020</t>
  </si>
  <si>
    <t>1Oct - 31Oct 2020</t>
  </si>
  <si>
    <t>2Sept - 6Oct 2020</t>
  </si>
  <si>
    <t>Actual</t>
  </si>
  <si>
    <t>1Nov - 30Nov 2020</t>
  </si>
  <si>
    <t>1Dec - 31Dec 2020</t>
  </si>
  <si>
    <t>1Jan - 31Jan 2021</t>
  </si>
  <si>
    <t>1Feb - 28Feb 2021</t>
  </si>
  <si>
    <t>1Apr - 30Apr 2021</t>
  </si>
  <si>
    <t>1May - 31May 2021</t>
  </si>
  <si>
    <t>1Jun - 30Jun 2021</t>
  </si>
  <si>
    <t>1Jul - 31Jul 2021</t>
  </si>
  <si>
    <t>24Jun - 23Jul 2021</t>
  </si>
  <si>
    <t>1Aug - 31Aug 2021</t>
  </si>
  <si>
    <t>1Sept - 30Sept 2021</t>
  </si>
  <si>
    <t>1Oct - 31Oct 2021</t>
  </si>
  <si>
    <t>1Nov - 30Nov 2021</t>
  </si>
  <si>
    <t>1Jan - 31Jan 2022</t>
  </si>
  <si>
    <t>1Feb - 28Feb 2022</t>
  </si>
  <si>
    <t>1Mar - 31Mar 2022</t>
  </si>
  <si>
    <t>1Apr - 30Apr 2022</t>
  </si>
  <si>
    <t>1May - 31May 2022</t>
  </si>
  <si>
    <t>1Jun - 30Jun 2022</t>
  </si>
  <si>
    <t>1Jul - 31Jul 2022</t>
  </si>
  <si>
    <t>1Aug - 31Aug 2022</t>
  </si>
  <si>
    <t>1Sept - 30Sept 2022</t>
  </si>
  <si>
    <t>1Oct - 31Oct 2022</t>
  </si>
  <si>
    <t>1Nov - 30Nov 2022</t>
  </si>
  <si>
    <t>1Dec - 31Dec 2022</t>
  </si>
  <si>
    <t>TV Collected STS vs Council</t>
  </si>
  <si>
    <t>STS</t>
  </si>
  <si>
    <t>Council</t>
  </si>
  <si>
    <t>Estimated / Actual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</si>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</sst>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&quot;* #,##0.00_-;\-&quot;R&quot;* #,##0.00_-;_-&quot;R&quot;* &quot;-&quot;??_-;_-@_-"/>
    <numFmt numFmtId="165" formatCode="&quot;R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1">
    <xf numFmtId="0" fontId="0" fillId="0" borderId="0" xfId="0"/>
    <xf numFmtId="17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2" fillId="0" borderId="0" xfId="0" applyFont="1"/>
    <xf numFmtId="164" fontId="1" fillId="0" borderId="2" xfId="0" applyNumberFormat="1" applyFont="1" applyBorder="1"/>
    <xf numFmtId="164" fontId="1" fillId="0" borderId="0" xfId="0" applyNumberFormat="1" applyFont="1"/>
    <xf numFmtId="0" fontId="0" fillId="0" borderId="0" xfId="0" applyAlignment="1">
      <alignment horizontal="center"/>
    </xf>
    <xf numFmtId="164" fontId="0" fillId="0" borderId="0" xfId="1" applyFont="1"/>
    <xf numFmtId="17" fontId="1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Graph'!$Z$2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'Collected Graph'!$Y$3:$Y$14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'Collected Graph'!$Z$3:$Z$14</c:f>
              <c:numCache>
                <c:formatCode>_-"R"* #,##0.00_-;\-"R"* #,##0.00_-;_-"R"* "-"??_-;_-@_-</c:formatCode>
                <c:ptCount val="12"/>
                <c:pt idx="0">
                  <c:v>11266.227999999999</c:v>
                </c:pt>
                <c:pt idx="1">
                  <c:v>11266.227999999999</c:v>
                </c:pt>
                <c:pt idx="2">
                  <c:v>3748.6549999999993</c:v>
                </c:pt>
                <c:pt idx="3">
                  <c:v>3748.6549999999993</c:v>
                </c:pt>
                <c:pt idx="4">
                  <c:v>3748.6549999999993</c:v>
                </c:pt>
                <c:pt idx="5">
                  <c:v>3748.6549999999993</c:v>
                </c:pt>
                <c:pt idx="6">
                  <c:v>3748.6549999999993</c:v>
                </c:pt>
                <c:pt idx="7">
                  <c:v>3748.6549999999993</c:v>
                </c:pt>
                <c:pt idx="8">
                  <c:v>3748.6549999999993</c:v>
                </c:pt>
                <c:pt idx="9">
                  <c:v>3748.6549999999993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2-4417-88BA-0C211A60773C}"/>
            </c:ext>
          </c:extLst>
        </c:ser>
        <c:ser>
          <c:idx val="1"/>
          <c:order val="1"/>
          <c:tx>
            <c:strRef>
              <c:f>'Collected Graph'!$AA$2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'Collected Graph'!$Y$3:$Y$14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'Collected Graph'!$AA$3:$AA$14</c:f>
              <c:numCache>
                <c:formatCode>_-"R"* #,##0.00_-;\-"R"* #,##0.00_-;_-"R"* "-"??_-;_-@_-</c:formatCode>
                <c:ptCount val="12"/>
                <c:pt idx="1">
                  <c:v>3748.6549999999997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E2-4417-88BA-0C211A607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067352"/>
        <c:axId val="204685735"/>
      </c:barChart>
      <c:dateAx>
        <c:axId val="1766067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5735"/>
        <c:crosses val="autoZero"/>
        <c:auto val="1"/>
        <c:lblOffset val="100"/>
        <c:baseTimeUnit val="months"/>
      </c:dateAx>
      <c:valAx>
        <c:axId val="204685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06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133350</xdr:rowOff>
    </xdr:from>
    <xdr:to>
      <xdr:col>11</xdr:col>
      <xdr:colOff>200025</xdr:colOff>
      <xdr:row>20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16D364-7FB0-46EB-1EC8-0FA20F927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B6C7-5EBA-46B9-AA6F-5DA4A169FBA7}">
  <dimension ref="A1:K289"/>
  <sheetViews>
    <sheetView tabSelected="1" topLeftCell="A266" workbookViewId="0">
      <selection activeCell="H286" sqref="H286"/>
    </sheetView>
  </sheetViews>
  <sheetFormatPr defaultRowHeight="15"/>
  <cols>
    <col min="1" max="1" width="12.42578125" bestFit="1" customWidth="1"/>
    <col min="2" max="2" width="16.28515625" bestFit="1" customWidth="1"/>
    <col min="3" max="3" width="15.140625" bestFit="1" customWidth="1"/>
    <col min="5" max="5" width="14.28515625" bestFit="1" customWidth="1"/>
    <col min="6" max="6" width="18.140625" bestFit="1" customWidth="1"/>
    <col min="7" max="7" width="20.85546875" bestFit="1" customWidth="1"/>
    <col min="9" max="9" width="10.85546875" bestFit="1" customWidth="1"/>
    <col min="10" max="10" width="12" bestFit="1" customWidth="1"/>
  </cols>
  <sheetData>
    <row r="1" spans="1:11" ht="18.75">
      <c r="A1" s="5" t="s">
        <v>0</v>
      </c>
    </row>
    <row r="3" spans="1:11">
      <c r="A3" s="10">
        <v>43831</v>
      </c>
    </row>
    <row r="4" spans="1:11" hidden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spans="1:11" hidden="1">
      <c r="A5" s="3" t="s">
        <v>12</v>
      </c>
      <c r="B5" s="3"/>
      <c r="C5" s="3"/>
      <c r="D5" s="3">
        <f>C5-B5</f>
        <v>0</v>
      </c>
      <c r="E5" s="4">
        <v>7989.4000000000033</v>
      </c>
      <c r="F5" s="4"/>
      <c r="G5" s="3" t="s">
        <v>13</v>
      </c>
      <c r="H5" s="3">
        <v>31</v>
      </c>
      <c r="I5" s="3" t="s">
        <v>14</v>
      </c>
      <c r="J5" s="3"/>
      <c r="K5" s="4"/>
    </row>
    <row r="6" spans="1:11" hidden="1">
      <c r="A6" s="3" t="s">
        <v>15</v>
      </c>
      <c r="B6" s="3"/>
      <c r="C6" s="3"/>
      <c r="D6" s="3"/>
      <c r="E6" s="4">
        <v>917.36</v>
      </c>
      <c r="F6" s="4">
        <f>509.57+235.29</f>
        <v>744.86</v>
      </c>
      <c r="G6" s="3" t="s">
        <v>13</v>
      </c>
      <c r="H6" s="3">
        <v>31</v>
      </c>
      <c r="I6" s="3" t="s">
        <v>14</v>
      </c>
      <c r="J6" s="3"/>
      <c r="K6" s="4"/>
    </row>
    <row r="7" spans="1:11" hidden="1">
      <c r="A7" s="3" t="s">
        <v>16</v>
      </c>
      <c r="B7" s="3"/>
      <c r="C7" s="3"/>
      <c r="D7" s="3"/>
      <c r="E7" s="4">
        <f>E5</f>
        <v>7989.4000000000033</v>
      </c>
      <c r="F7" s="4"/>
      <c r="G7" s="3"/>
      <c r="H7" s="3"/>
      <c r="I7" s="3"/>
      <c r="J7" s="3"/>
      <c r="K7" s="3"/>
    </row>
    <row r="8" spans="1:11" hidden="1">
      <c r="A8" s="3" t="s">
        <v>17</v>
      </c>
      <c r="B8" s="3"/>
      <c r="C8" s="3"/>
      <c r="D8" s="3"/>
      <c r="E8" s="4">
        <f>E6+F6</f>
        <v>1662.22</v>
      </c>
      <c r="F8" s="4"/>
      <c r="G8" s="3"/>
      <c r="H8" s="3"/>
      <c r="I8" s="3"/>
      <c r="J8" s="3"/>
      <c r="K8" s="3"/>
    </row>
    <row r="9" spans="1:11" hidden="1">
      <c r="A9" s="3" t="s">
        <v>18</v>
      </c>
      <c r="B9" s="3"/>
      <c r="C9" s="3"/>
      <c r="D9" s="3"/>
      <c r="E9" s="4"/>
      <c r="F9" s="4"/>
      <c r="G9" s="3"/>
      <c r="H9" s="3"/>
      <c r="I9" s="3"/>
      <c r="J9" s="3"/>
      <c r="K9" s="3"/>
    </row>
    <row r="10" spans="1:11" hidden="1"/>
    <row r="11" spans="1:11" hidden="1">
      <c r="A11" s="10">
        <v>43862</v>
      </c>
    </row>
    <row r="12" spans="1:11" hidden="1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hidden="1">
      <c r="A13" s="3" t="s">
        <v>12</v>
      </c>
      <c r="B13" s="3"/>
      <c r="C13" s="3"/>
      <c r="D13" s="3">
        <f>C13-B13</f>
        <v>0</v>
      </c>
      <c r="E13" s="4">
        <v>7989.4000000000033</v>
      </c>
      <c r="F13" s="4"/>
      <c r="G13" s="3" t="s">
        <v>19</v>
      </c>
      <c r="H13" s="3">
        <v>29</v>
      </c>
      <c r="I13" s="3" t="s">
        <v>14</v>
      </c>
      <c r="J13" s="3"/>
      <c r="K13" s="4"/>
    </row>
    <row r="14" spans="1:11" hidden="1">
      <c r="A14" s="3" t="s">
        <v>15</v>
      </c>
      <c r="B14" s="3"/>
      <c r="C14" s="3"/>
      <c r="D14" s="3"/>
      <c r="E14" s="4">
        <f>917.36+509.57</f>
        <v>1426.93</v>
      </c>
      <c r="F14" s="4">
        <v>235.29</v>
      </c>
      <c r="G14" s="3" t="s">
        <v>19</v>
      </c>
      <c r="H14" s="3">
        <v>29</v>
      </c>
      <c r="I14" s="3" t="s">
        <v>14</v>
      </c>
      <c r="J14" s="3"/>
      <c r="K14" s="4"/>
    </row>
    <row r="15" spans="1:11" hidden="1">
      <c r="A15" s="3" t="s">
        <v>16</v>
      </c>
      <c r="B15" s="3"/>
      <c r="C15" s="3"/>
      <c r="D15" s="3"/>
      <c r="E15" s="4">
        <f>E13</f>
        <v>7989.4000000000033</v>
      </c>
      <c r="F15" s="4"/>
      <c r="G15" s="3"/>
      <c r="H15" s="3"/>
      <c r="I15" s="3"/>
      <c r="J15" s="3"/>
      <c r="K15" s="3"/>
    </row>
    <row r="16" spans="1:11" hidden="1">
      <c r="A16" s="3" t="s">
        <v>17</v>
      </c>
      <c r="B16" s="3"/>
      <c r="C16" s="3"/>
      <c r="D16" s="3"/>
      <c r="E16" s="4">
        <f>E14+F14</f>
        <v>1662.22</v>
      </c>
      <c r="F16" s="4"/>
      <c r="G16" s="3"/>
      <c r="H16" s="3"/>
      <c r="I16" s="3"/>
      <c r="J16" s="3"/>
      <c r="K16" s="3"/>
    </row>
    <row r="17" spans="1:11" hidden="1">
      <c r="A17" s="3" t="s">
        <v>18</v>
      </c>
      <c r="B17" s="3"/>
      <c r="C17" s="3"/>
      <c r="D17" s="3"/>
      <c r="E17" s="4"/>
      <c r="F17" s="4"/>
      <c r="G17" s="3"/>
      <c r="H17" s="3"/>
      <c r="I17" s="3"/>
      <c r="J17" s="3"/>
      <c r="K17" s="3"/>
    </row>
    <row r="18" spans="1:11" hidden="1"/>
    <row r="19" spans="1:11" hidden="1">
      <c r="A19" s="10">
        <v>43891</v>
      </c>
    </row>
    <row r="20" spans="1:11" hidden="1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2" t="s">
        <v>9</v>
      </c>
      <c r="J20" s="2" t="s">
        <v>10</v>
      </c>
      <c r="K20" s="2" t="s">
        <v>11</v>
      </c>
    </row>
    <row r="21" spans="1:11" hidden="1">
      <c r="A21" s="3" t="s">
        <v>12</v>
      </c>
      <c r="B21" s="3"/>
      <c r="C21" s="3"/>
      <c r="D21" s="3">
        <f>C21-B21</f>
        <v>0</v>
      </c>
      <c r="E21" s="4">
        <v>7989.4000000000033</v>
      </c>
      <c r="F21" s="4"/>
      <c r="G21" s="3" t="s">
        <v>20</v>
      </c>
      <c r="H21" s="3">
        <v>31</v>
      </c>
      <c r="I21" s="3" t="s">
        <v>14</v>
      </c>
      <c r="J21" s="3"/>
      <c r="K21" s="4"/>
    </row>
    <row r="22" spans="1:11" hidden="1">
      <c r="A22" s="3" t="s">
        <v>15</v>
      </c>
      <c r="B22" s="3"/>
      <c r="C22" s="3"/>
      <c r="D22" s="3"/>
      <c r="E22" s="4">
        <f>917.36+509.57</f>
        <v>1426.93</v>
      </c>
      <c r="F22" s="4">
        <v>235.29</v>
      </c>
      <c r="G22" s="3" t="s">
        <v>20</v>
      </c>
      <c r="H22" s="3">
        <v>31</v>
      </c>
      <c r="I22" s="3" t="s">
        <v>14</v>
      </c>
      <c r="J22" s="3"/>
      <c r="K22" s="4"/>
    </row>
    <row r="23" spans="1:11" hidden="1">
      <c r="A23" s="3" t="s">
        <v>16</v>
      </c>
      <c r="B23" s="3"/>
      <c r="C23" s="3"/>
      <c r="D23" s="3"/>
      <c r="E23" s="4">
        <f>E21</f>
        <v>7989.4000000000033</v>
      </c>
      <c r="F23" s="4"/>
      <c r="G23" s="3"/>
      <c r="H23" s="3"/>
      <c r="I23" s="3"/>
      <c r="J23" s="3"/>
      <c r="K23" s="3"/>
    </row>
    <row r="24" spans="1:11" hidden="1">
      <c r="A24" s="3" t="s">
        <v>17</v>
      </c>
      <c r="B24" s="3"/>
      <c r="C24" s="3"/>
      <c r="D24" s="3"/>
      <c r="E24" s="4">
        <f>E22+F22</f>
        <v>1662.22</v>
      </c>
      <c r="F24" s="4"/>
      <c r="G24" s="3"/>
      <c r="H24" s="3"/>
      <c r="I24" s="3"/>
      <c r="J24" s="3"/>
      <c r="K24" s="3"/>
    </row>
    <row r="25" spans="1:11" hidden="1">
      <c r="A25" s="3" t="s">
        <v>18</v>
      </c>
      <c r="B25" s="3"/>
      <c r="C25" s="3"/>
      <c r="D25" s="3"/>
      <c r="E25" s="4"/>
      <c r="F25" s="4"/>
      <c r="G25" s="3"/>
      <c r="H25" s="3"/>
      <c r="I25" s="3"/>
      <c r="J25" s="3"/>
      <c r="K25" s="3"/>
    </row>
    <row r="26" spans="1:11" hidden="1"/>
    <row r="27" spans="1:11" hidden="1">
      <c r="A27" s="10">
        <v>43922</v>
      </c>
    </row>
    <row r="28" spans="1:11" hidden="1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2" t="s">
        <v>11</v>
      </c>
    </row>
    <row r="29" spans="1:11" hidden="1">
      <c r="A29" s="3" t="s">
        <v>12</v>
      </c>
      <c r="B29" s="3"/>
      <c r="C29" s="3"/>
      <c r="D29" s="3">
        <f>C29-B29</f>
        <v>0</v>
      </c>
      <c r="E29" s="4">
        <v>7989.4000000000033</v>
      </c>
      <c r="F29" s="4"/>
      <c r="G29" s="3" t="s">
        <v>21</v>
      </c>
      <c r="H29" s="3">
        <v>30</v>
      </c>
      <c r="I29" s="3" t="s">
        <v>14</v>
      </c>
      <c r="J29" s="3"/>
      <c r="K29" s="4"/>
    </row>
    <row r="30" spans="1:11" hidden="1">
      <c r="A30" s="3" t="s">
        <v>15</v>
      </c>
      <c r="B30" s="3"/>
      <c r="C30" s="3"/>
      <c r="D30" s="3"/>
      <c r="E30" s="4">
        <f>917.36+509.57</f>
        <v>1426.93</v>
      </c>
      <c r="F30" s="4">
        <v>235.29</v>
      </c>
      <c r="G30" s="3" t="s">
        <v>20</v>
      </c>
      <c r="H30" s="3">
        <v>31</v>
      </c>
      <c r="I30" s="3" t="s">
        <v>14</v>
      </c>
      <c r="J30" s="3"/>
      <c r="K30" s="4"/>
    </row>
    <row r="31" spans="1:11" hidden="1">
      <c r="A31" s="3" t="s">
        <v>16</v>
      </c>
      <c r="B31" s="3"/>
      <c r="C31" s="3"/>
      <c r="D31" s="3"/>
      <c r="E31" s="4">
        <f>E29</f>
        <v>7989.4000000000033</v>
      </c>
      <c r="F31" s="4"/>
      <c r="G31" s="3"/>
      <c r="H31" s="3"/>
      <c r="I31" s="3"/>
      <c r="J31" s="3"/>
      <c r="K31" s="3"/>
    </row>
    <row r="32" spans="1:11" hidden="1">
      <c r="A32" s="3" t="s">
        <v>17</v>
      </c>
      <c r="B32" s="3"/>
      <c r="C32" s="3"/>
      <c r="D32" s="3"/>
      <c r="E32" s="4">
        <f>E30+F30</f>
        <v>1662.22</v>
      </c>
      <c r="F32" s="4"/>
      <c r="G32" s="3"/>
      <c r="H32" s="3"/>
      <c r="I32" s="3"/>
      <c r="J32" s="3"/>
      <c r="K32" s="3"/>
    </row>
    <row r="33" spans="1:11" hidden="1">
      <c r="A33" s="3" t="s">
        <v>18</v>
      </c>
      <c r="B33" s="3"/>
      <c r="C33" s="3"/>
      <c r="D33" s="3"/>
      <c r="E33" s="4"/>
      <c r="F33" s="4"/>
      <c r="G33" s="3"/>
      <c r="H33" s="3"/>
      <c r="I33" s="3"/>
      <c r="J33" s="3"/>
      <c r="K33" s="3"/>
    </row>
    <row r="34" spans="1:11" hidden="1"/>
    <row r="35" spans="1:11" hidden="1">
      <c r="A35" s="10">
        <v>43952</v>
      </c>
    </row>
    <row r="36" spans="1:11" hidden="1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</row>
    <row r="37" spans="1:11" hidden="1">
      <c r="A37" s="3" t="s">
        <v>12</v>
      </c>
      <c r="B37" s="3"/>
      <c r="C37" s="3"/>
      <c r="D37" s="3">
        <f>C37-B37</f>
        <v>0</v>
      </c>
      <c r="E37" s="4">
        <v>7989.4000000000033</v>
      </c>
      <c r="F37" s="4"/>
      <c r="G37" s="3" t="s">
        <v>22</v>
      </c>
      <c r="H37" s="3">
        <v>31</v>
      </c>
      <c r="I37" s="3" t="s">
        <v>14</v>
      </c>
      <c r="J37" s="3"/>
      <c r="K37" s="4"/>
    </row>
    <row r="38" spans="1:11" hidden="1">
      <c r="A38" s="3" t="s">
        <v>15</v>
      </c>
      <c r="B38" s="3"/>
      <c r="C38" s="3"/>
      <c r="D38" s="3">
        <v>30</v>
      </c>
      <c r="E38" s="4">
        <f>917.36+509.57</f>
        <v>1426.93</v>
      </c>
      <c r="F38" s="4">
        <v>235.29</v>
      </c>
      <c r="G38" s="3" t="s">
        <v>20</v>
      </c>
      <c r="H38" s="3">
        <v>31</v>
      </c>
      <c r="I38" s="3" t="s">
        <v>14</v>
      </c>
      <c r="J38" s="3"/>
      <c r="K38" s="4"/>
    </row>
    <row r="39" spans="1:11" hidden="1">
      <c r="A39" s="3" t="s">
        <v>16</v>
      </c>
      <c r="B39" s="3"/>
      <c r="C39" s="3"/>
      <c r="D39" s="3"/>
      <c r="E39" s="4">
        <f>E37</f>
        <v>7989.4000000000033</v>
      </c>
      <c r="F39" s="4"/>
      <c r="G39" s="3"/>
      <c r="H39" s="3"/>
      <c r="I39" s="3"/>
      <c r="J39" s="3"/>
      <c r="K39" s="3"/>
    </row>
    <row r="40" spans="1:11" hidden="1">
      <c r="A40" s="3" t="s">
        <v>17</v>
      </c>
      <c r="B40" s="3"/>
      <c r="C40" s="3"/>
      <c r="D40" s="3"/>
      <c r="E40" s="4">
        <f>E38+F38</f>
        <v>1662.22</v>
      </c>
      <c r="F40" s="4"/>
      <c r="G40" s="3"/>
      <c r="H40" s="3"/>
      <c r="I40" s="3"/>
      <c r="J40" s="3"/>
      <c r="K40" s="3"/>
    </row>
    <row r="41" spans="1:11" hidden="1">
      <c r="A41" s="3" t="s">
        <v>18</v>
      </c>
      <c r="B41" s="3"/>
      <c r="C41" s="3"/>
      <c r="D41" s="3"/>
      <c r="E41" s="4"/>
      <c r="F41" s="4"/>
      <c r="G41" s="3"/>
      <c r="H41" s="3"/>
      <c r="I41" s="3"/>
      <c r="J41" s="3"/>
      <c r="K41" s="3"/>
    </row>
    <row r="42" spans="1:11" hidden="1"/>
    <row r="43" spans="1:11" hidden="1">
      <c r="A43" s="10">
        <v>43983</v>
      </c>
    </row>
    <row r="44" spans="1:11" hidden="1">
      <c r="A44" s="2" t="s">
        <v>1</v>
      </c>
      <c r="B44" s="2" t="s">
        <v>2</v>
      </c>
      <c r="C44" s="2" t="s">
        <v>3</v>
      </c>
      <c r="D44" s="2" t="s">
        <v>4</v>
      </c>
      <c r="E44" s="2" t="s">
        <v>5</v>
      </c>
      <c r="F44" s="2" t="s">
        <v>6</v>
      </c>
      <c r="G44" s="2" t="s">
        <v>7</v>
      </c>
      <c r="H44" s="2" t="s">
        <v>8</v>
      </c>
      <c r="I44" s="2" t="s">
        <v>9</v>
      </c>
      <c r="J44" s="2" t="s">
        <v>10</v>
      </c>
      <c r="K44" s="2" t="s">
        <v>11</v>
      </c>
    </row>
    <row r="45" spans="1:11" hidden="1">
      <c r="A45" s="3" t="s">
        <v>12</v>
      </c>
      <c r="B45" s="3"/>
      <c r="C45" s="3"/>
      <c r="D45" s="3">
        <f>C45-B45</f>
        <v>0</v>
      </c>
      <c r="E45" s="4">
        <v>7989.4000000000033</v>
      </c>
      <c r="F45" s="4"/>
      <c r="G45" s="3" t="s">
        <v>23</v>
      </c>
      <c r="H45" s="3">
        <v>30</v>
      </c>
      <c r="I45" s="3" t="s">
        <v>14</v>
      </c>
      <c r="J45" s="3"/>
      <c r="K45" s="4"/>
    </row>
    <row r="46" spans="1:11" hidden="1">
      <c r="A46" s="3" t="s">
        <v>15</v>
      </c>
      <c r="B46" s="3"/>
      <c r="C46" s="3"/>
      <c r="D46" s="3">
        <v>30</v>
      </c>
      <c r="E46" s="4">
        <f>917.36+509.57</f>
        <v>1426.93</v>
      </c>
      <c r="F46" s="4">
        <v>235.29</v>
      </c>
      <c r="G46" s="3" t="s">
        <v>20</v>
      </c>
      <c r="H46" s="3">
        <v>31</v>
      </c>
      <c r="I46" s="3" t="s">
        <v>14</v>
      </c>
      <c r="J46" s="3"/>
      <c r="K46" s="4"/>
    </row>
    <row r="47" spans="1:11" hidden="1">
      <c r="A47" s="3" t="s">
        <v>16</v>
      </c>
      <c r="B47" s="3"/>
      <c r="C47" s="3"/>
      <c r="D47" s="3"/>
      <c r="E47" s="4">
        <f>E45</f>
        <v>7989.4000000000033</v>
      </c>
      <c r="F47" s="4"/>
      <c r="G47" s="3"/>
      <c r="H47" s="3"/>
      <c r="I47" s="3"/>
      <c r="J47" s="3"/>
      <c r="K47" s="3"/>
    </row>
    <row r="48" spans="1:11" hidden="1">
      <c r="A48" s="3" t="s">
        <v>17</v>
      </c>
      <c r="B48" s="3"/>
      <c r="C48" s="3"/>
      <c r="D48" s="3"/>
      <c r="E48" s="4">
        <f>E46+F46</f>
        <v>1662.22</v>
      </c>
      <c r="F48" s="4"/>
      <c r="G48" s="3"/>
      <c r="H48" s="3"/>
      <c r="I48" s="3"/>
      <c r="J48" s="3"/>
      <c r="K48" s="3"/>
    </row>
    <row r="49" spans="1:11" hidden="1">
      <c r="A49" s="3" t="s">
        <v>18</v>
      </c>
      <c r="B49" s="3"/>
      <c r="C49" s="3"/>
      <c r="D49" s="3"/>
      <c r="E49" s="4"/>
      <c r="F49" s="4"/>
      <c r="G49" s="3"/>
      <c r="H49" s="3"/>
      <c r="I49" s="3"/>
      <c r="J49" s="3"/>
      <c r="K49" s="3"/>
    </row>
    <row r="50" spans="1:11" hidden="1"/>
    <row r="51" spans="1:11" hidden="1">
      <c r="A51" s="10">
        <v>44013</v>
      </c>
    </row>
    <row r="52" spans="1:11" hidden="1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8</v>
      </c>
      <c r="I52" s="2" t="s">
        <v>9</v>
      </c>
      <c r="J52" s="2" t="s">
        <v>10</v>
      </c>
      <c r="K52" s="2" t="s">
        <v>11</v>
      </c>
    </row>
    <row r="53" spans="1:11" hidden="1">
      <c r="A53" s="3" t="s">
        <v>12</v>
      </c>
      <c r="B53" s="3"/>
      <c r="C53" s="3"/>
      <c r="D53" s="3">
        <f>C53-B53</f>
        <v>0</v>
      </c>
      <c r="E53" s="4">
        <v>7989.4000000000033</v>
      </c>
      <c r="F53" s="4"/>
      <c r="G53" s="3" t="s">
        <v>24</v>
      </c>
      <c r="H53" s="3">
        <v>31</v>
      </c>
      <c r="I53" s="3" t="s">
        <v>14</v>
      </c>
      <c r="J53" s="3"/>
      <c r="K53" s="4"/>
    </row>
    <row r="54" spans="1:11" hidden="1">
      <c r="A54" s="3" t="s">
        <v>15</v>
      </c>
      <c r="B54" s="3"/>
      <c r="C54" s="3"/>
      <c r="D54" s="3">
        <v>30</v>
      </c>
      <c r="E54" s="4">
        <f>917.36+509.57</f>
        <v>1426.93</v>
      </c>
      <c r="F54" s="4">
        <v>235.29</v>
      </c>
      <c r="G54" s="3" t="s">
        <v>20</v>
      </c>
      <c r="H54" s="3">
        <v>31</v>
      </c>
      <c r="I54" s="3" t="s">
        <v>14</v>
      </c>
      <c r="J54" s="3"/>
      <c r="K54" s="4"/>
    </row>
    <row r="55" spans="1:11" hidden="1">
      <c r="A55" s="3" t="s">
        <v>16</v>
      </c>
      <c r="B55" s="3"/>
      <c r="C55" s="3"/>
      <c r="D55" s="3"/>
      <c r="E55" s="4">
        <f>E53</f>
        <v>7989.4000000000033</v>
      </c>
      <c r="F55" s="4"/>
      <c r="G55" s="3"/>
      <c r="H55" s="3"/>
      <c r="I55" s="3"/>
      <c r="J55" s="3"/>
      <c r="K55" s="3"/>
    </row>
    <row r="56" spans="1:11" hidden="1">
      <c r="A56" s="3" t="s">
        <v>17</v>
      </c>
      <c r="B56" s="3"/>
      <c r="C56" s="3"/>
      <c r="D56" s="3"/>
      <c r="E56" s="4">
        <f>E54+F54</f>
        <v>1662.22</v>
      </c>
      <c r="F56" s="4"/>
      <c r="G56" s="3"/>
      <c r="H56" s="3"/>
      <c r="I56" s="3"/>
      <c r="J56" s="3"/>
      <c r="K56" s="3"/>
    </row>
    <row r="57" spans="1:11" hidden="1">
      <c r="A57" s="3" t="s">
        <v>18</v>
      </c>
      <c r="B57" s="3"/>
      <c r="C57" s="3"/>
      <c r="D57" s="3"/>
      <c r="E57" s="4"/>
      <c r="F57" s="4"/>
      <c r="G57" s="3"/>
      <c r="H57" s="3"/>
      <c r="I57" s="3"/>
      <c r="J57" s="3"/>
      <c r="K57" s="3"/>
    </row>
    <row r="58" spans="1:11" hidden="1"/>
    <row r="59" spans="1:11" hidden="1">
      <c r="A59" s="10">
        <v>44044</v>
      </c>
    </row>
    <row r="60" spans="1:11" hidden="1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8</v>
      </c>
      <c r="I60" s="2" t="s">
        <v>9</v>
      </c>
      <c r="J60" s="2" t="s">
        <v>10</v>
      </c>
      <c r="K60" s="2" t="s">
        <v>11</v>
      </c>
    </row>
    <row r="61" spans="1:11" hidden="1">
      <c r="A61" s="3" t="s">
        <v>12</v>
      </c>
      <c r="B61" s="3"/>
      <c r="C61" s="3"/>
      <c r="D61" s="3">
        <f>C61-B61</f>
        <v>0</v>
      </c>
      <c r="E61" s="4">
        <v>7989.4000000000033</v>
      </c>
      <c r="F61" s="4"/>
      <c r="G61" s="3" t="s">
        <v>25</v>
      </c>
      <c r="H61" s="3">
        <v>31</v>
      </c>
      <c r="I61" s="3" t="s">
        <v>14</v>
      </c>
      <c r="J61" s="3"/>
      <c r="K61" s="4"/>
    </row>
    <row r="62" spans="1:11" hidden="1">
      <c r="A62" s="3" t="s">
        <v>15</v>
      </c>
      <c r="B62" s="3"/>
      <c r="C62" s="3"/>
      <c r="D62" s="3">
        <v>30</v>
      </c>
      <c r="E62" s="4">
        <f>917.36+509.57</f>
        <v>1426.93</v>
      </c>
      <c r="F62" s="4">
        <v>235.29</v>
      </c>
      <c r="G62" s="3" t="s">
        <v>20</v>
      </c>
      <c r="H62" s="3">
        <v>31</v>
      </c>
      <c r="I62" s="3" t="s">
        <v>14</v>
      </c>
      <c r="J62" s="3"/>
      <c r="K62" s="4"/>
    </row>
    <row r="63" spans="1:11" hidden="1">
      <c r="A63" s="3" t="s">
        <v>16</v>
      </c>
      <c r="B63" s="3"/>
      <c r="C63" s="3"/>
      <c r="D63" s="3"/>
      <c r="E63" s="4">
        <f>E61</f>
        <v>7989.4000000000033</v>
      </c>
      <c r="F63" s="4"/>
      <c r="G63" s="3"/>
      <c r="H63" s="3"/>
      <c r="I63" s="3"/>
      <c r="J63" s="3"/>
      <c r="K63" s="3"/>
    </row>
    <row r="64" spans="1:11" hidden="1">
      <c r="A64" s="3" t="s">
        <v>17</v>
      </c>
      <c r="B64" s="3"/>
      <c r="C64" s="3"/>
      <c r="D64" s="3"/>
      <c r="E64" s="4">
        <f>E62+F62</f>
        <v>1662.22</v>
      </c>
      <c r="F64" s="4"/>
      <c r="G64" s="3"/>
      <c r="H64" s="3"/>
      <c r="I64" s="3"/>
      <c r="J64" s="3"/>
      <c r="K64" s="3"/>
    </row>
    <row r="65" spans="1:11" hidden="1">
      <c r="A65" s="3" t="s">
        <v>18</v>
      </c>
      <c r="B65" s="3"/>
      <c r="C65" s="3"/>
      <c r="D65" s="3"/>
      <c r="E65" s="4"/>
      <c r="F65" s="4"/>
      <c r="G65" s="3"/>
      <c r="H65" s="3"/>
      <c r="I65" s="3"/>
      <c r="J65" s="3"/>
      <c r="K65" s="3"/>
    </row>
    <row r="66" spans="1:11" hidden="1"/>
    <row r="67" spans="1:11" hidden="1">
      <c r="A67" s="10">
        <v>44075</v>
      </c>
    </row>
    <row r="68" spans="1:11" hidden="1">
      <c r="A68" s="2" t="s">
        <v>1</v>
      </c>
      <c r="B68" s="2" t="s">
        <v>2</v>
      </c>
      <c r="C68" s="2" t="s">
        <v>3</v>
      </c>
      <c r="D68" s="2" t="s">
        <v>4</v>
      </c>
      <c r="E68" s="2" t="s">
        <v>5</v>
      </c>
      <c r="F68" s="2" t="s">
        <v>6</v>
      </c>
      <c r="G68" s="2" t="s">
        <v>7</v>
      </c>
      <c r="H68" s="2" t="s">
        <v>8</v>
      </c>
      <c r="I68" s="2" t="s">
        <v>9</v>
      </c>
      <c r="J68" s="2" t="s">
        <v>10</v>
      </c>
      <c r="K68" s="2" t="s">
        <v>11</v>
      </c>
    </row>
    <row r="69" spans="1:11" hidden="1">
      <c r="A69" s="3" t="s">
        <v>12</v>
      </c>
      <c r="B69" s="3"/>
      <c r="C69" s="3"/>
      <c r="D69" s="3">
        <f>C69-B69</f>
        <v>0</v>
      </c>
      <c r="E69" s="4">
        <v>7989.4000000000033</v>
      </c>
      <c r="F69" s="4"/>
      <c r="G69" s="3" t="s">
        <v>26</v>
      </c>
      <c r="H69" s="3">
        <v>30</v>
      </c>
      <c r="I69" s="3" t="s">
        <v>14</v>
      </c>
      <c r="J69" s="3"/>
      <c r="K69" s="4"/>
    </row>
    <row r="70" spans="1:11" hidden="1">
      <c r="A70" s="3" t="s">
        <v>15</v>
      </c>
      <c r="B70" s="3"/>
      <c r="C70" s="3"/>
      <c r="D70" s="3">
        <v>30</v>
      </c>
      <c r="E70" s="4">
        <f>917.36+509.57</f>
        <v>1426.93</v>
      </c>
      <c r="F70" s="4">
        <v>235.29</v>
      </c>
      <c r="G70" s="3" t="s">
        <v>20</v>
      </c>
      <c r="H70" s="3">
        <v>31</v>
      </c>
      <c r="I70" s="3" t="s">
        <v>14</v>
      </c>
      <c r="J70" s="3"/>
      <c r="K70" s="4"/>
    </row>
    <row r="71" spans="1:11" hidden="1">
      <c r="A71" s="3" t="s">
        <v>16</v>
      </c>
      <c r="B71" s="3"/>
      <c r="C71" s="3"/>
      <c r="D71" s="3"/>
      <c r="E71" s="4">
        <f>E69</f>
        <v>7989.4000000000033</v>
      </c>
      <c r="F71" s="4"/>
      <c r="G71" s="3"/>
      <c r="H71" s="3"/>
      <c r="I71" s="3"/>
      <c r="J71" s="3"/>
      <c r="K71" s="3"/>
    </row>
    <row r="72" spans="1:11" hidden="1">
      <c r="A72" s="3" t="s">
        <v>17</v>
      </c>
      <c r="B72" s="3"/>
      <c r="C72" s="3"/>
      <c r="D72" s="3"/>
      <c r="E72" s="4">
        <f>E70+F70</f>
        <v>1662.22</v>
      </c>
      <c r="F72" s="4"/>
      <c r="G72" s="3"/>
      <c r="H72" s="3"/>
      <c r="I72" s="3"/>
      <c r="J72" s="3"/>
      <c r="K72" s="3"/>
    </row>
    <row r="73" spans="1:11" hidden="1">
      <c r="A73" s="3" t="s">
        <v>18</v>
      </c>
      <c r="B73" s="3"/>
      <c r="C73" s="3"/>
      <c r="D73" s="3"/>
      <c r="E73" s="4"/>
      <c r="F73" s="4"/>
      <c r="G73" s="3"/>
      <c r="H73" s="3"/>
      <c r="I73" s="3"/>
      <c r="J73" s="3"/>
      <c r="K73" s="3"/>
    </row>
    <row r="74" spans="1:11" hidden="1"/>
    <row r="75" spans="1:11" hidden="1">
      <c r="A75" s="10">
        <v>44105</v>
      </c>
    </row>
    <row r="76" spans="1:11" hidden="1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  <c r="J76" s="2" t="s">
        <v>10</v>
      </c>
      <c r="K76" s="2" t="s">
        <v>11</v>
      </c>
    </row>
    <row r="77" spans="1:11" hidden="1">
      <c r="A77" s="3" t="s">
        <v>12</v>
      </c>
      <c r="B77" s="3"/>
      <c r="C77" s="3"/>
      <c r="D77" s="3">
        <f>C77-B77</f>
        <v>0</v>
      </c>
      <c r="E77" s="4">
        <v>7989.4000000000033</v>
      </c>
      <c r="F77" s="4"/>
      <c r="G77" s="3" t="s">
        <v>27</v>
      </c>
      <c r="H77" s="3">
        <v>31</v>
      </c>
      <c r="I77" s="3" t="s">
        <v>14</v>
      </c>
      <c r="J77" s="3"/>
      <c r="K77" s="4"/>
    </row>
    <row r="78" spans="1:11" hidden="1">
      <c r="A78" s="3" t="s">
        <v>15</v>
      </c>
      <c r="B78" s="3"/>
      <c r="C78" s="3"/>
      <c r="D78" s="3">
        <v>30</v>
      </c>
      <c r="E78" s="4">
        <v>10038.02</v>
      </c>
      <c r="F78" s="4">
        <f>543.15+250.82</f>
        <v>793.97</v>
      </c>
      <c r="G78" s="3" t="s">
        <v>28</v>
      </c>
      <c r="H78" s="3">
        <v>36</v>
      </c>
      <c r="I78" s="3" t="s">
        <v>29</v>
      </c>
      <c r="J78" s="3"/>
      <c r="K78" s="4"/>
    </row>
    <row r="79" spans="1:11" hidden="1">
      <c r="A79" s="3" t="s">
        <v>16</v>
      </c>
      <c r="B79" s="3"/>
      <c r="C79" s="3"/>
      <c r="D79" s="3"/>
      <c r="E79" s="4">
        <f>E77</f>
        <v>7989.4000000000033</v>
      </c>
      <c r="F79" s="4"/>
      <c r="G79" s="3"/>
      <c r="H79" s="3"/>
      <c r="I79" s="3"/>
      <c r="J79" s="3"/>
      <c r="K79" s="3"/>
    </row>
    <row r="80" spans="1:11" hidden="1">
      <c r="A80" s="3" t="s">
        <v>17</v>
      </c>
      <c r="B80" s="3"/>
      <c r="C80" s="3"/>
      <c r="D80" s="3"/>
      <c r="E80" s="4">
        <f>E78+F78</f>
        <v>10831.99</v>
      </c>
      <c r="F80" s="4"/>
      <c r="G80" s="3"/>
      <c r="H80" s="3"/>
      <c r="I80" s="3"/>
      <c r="J80" s="3"/>
      <c r="K80" s="3"/>
    </row>
    <row r="81" spans="1:11" hidden="1">
      <c r="A81" s="3" t="s">
        <v>18</v>
      </c>
      <c r="B81" s="3"/>
      <c r="C81" s="3"/>
      <c r="D81" s="3"/>
      <c r="E81" s="4"/>
      <c r="F81" s="4"/>
      <c r="G81" s="3"/>
      <c r="H81" s="3"/>
      <c r="I81" s="3"/>
      <c r="J81" s="3"/>
      <c r="K81" s="3"/>
    </row>
    <row r="82" spans="1:11" hidden="1"/>
    <row r="83" spans="1:11" hidden="1">
      <c r="A83" s="10">
        <v>44136</v>
      </c>
    </row>
    <row r="84" spans="1:11" hidden="1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2" t="s">
        <v>6</v>
      </c>
      <c r="G84" s="2" t="s">
        <v>7</v>
      </c>
      <c r="H84" s="2" t="s">
        <v>8</v>
      </c>
      <c r="I84" s="2" t="s">
        <v>9</v>
      </c>
      <c r="J84" s="2" t="s">
        <v>10</v>
      </c>
      <c r="K84" s="2" t="s">
        <v>11</v>
      </c>
    </row>
    <row r="85" spans="1:11" hidden="1">
      <c r="A85" s="3" t="s">
        <v>12</v>
      </c>
      <c r="B85" s="3"/>
      <c r="C85" s="3"/>
      <c r="D85" s="3">
        <f>C85-B85</f>
        <v>0</v>
      </c>
      <c r="E85" s="4">
        <v>7989.4000000000033</v>
      </c>
      <c r="F85" s="4"/>
      <c r="G85" s="3" t="s">
        <v>30</v>
      </c>
      <c r="H85" s="3">
        <v>30</v>
      </c>
      <c r="I85" s="3" t="s">
        <v>14</v>
      </c>
      <c r="J85" s="3"/>
      <c r="K85" s="4"/>
    </row>
    <row r="86" spans="1:11" hidden="1">
      <c r="A86" s="3" t="s">
        <v>15</v>
      </c>
      <c r="B86" s="3"/>
      <c r="C86" s="3"/>
      <c r="D86" s="3">
        <v>30</v>
      </c>
      <c r="E86" s="4">
        <f>917.36+509.57</f>
        <v>1426.93</v>
      </c>
      <c r="F86" s="4">
        <v>235.29</v>
      </c>
      <c r="G86" s="3" t="s">
        <v>20</v>
      </c>
      <c r="H86" s="3">
        <v>31</v>
      </c>
      <c r="I86" s="3" t="s">
        <v>14</v>
      </c>
      <c r="J86" s="3"/>
      <c r="K86" s="4"/>
    </row>
    <row r="87" spans="1:11" hidden="1">
      <c r="A87" s="3" t="s">
        <v>16</v>
      </c>
      <c r="B87" s="3"/>
      <c r="C87" s="3"/>
      <c r="D87" s="3"/>
      <c r="E87" s="4">
        <f>E85</f>
        <v>7989.4000000000033</v>
      </c>
      <c r="F87" s="4"/>
      <c r="G87" s="3"/>
      <c r="H87" s="3"/>
      <c r="I87" s="3"/>
      <c r="J87" s="3"/>
      <c r="K87" s="3"/>
    </row>
    <row r="88" spans="1:11" hidden="1">
      <c r="A88" s="3" t="s">
        <v>17</v>
      </c>
      <c r="B88" s="3"/>
      <c r="C88" s="3"/>
      <c r="D88" s="3"/>
      <c r="E88" s="4">
        <f>E86+F86</f>
        <v>1662.22</v>
      </c>
      <c r="F88" s="4"/>
      <c r="G88" s="3"/>
      <c r="H88" s="3"/>
      <c r="I88" s="3"/>
      <c r="J88" s="3"/>
      <c r="K88" s="3"/>
    </row>
    <row r="89" spans="1:11" hidden="1">
      <c r="A89" s="3" t="s">
        <v>18</v>
      </c>
      <c r="B89" s="3"/>
      <c r="C89" s="3"/>
      <c r="D89" s="3"/>
      <c r="E89" s="4"/>
      <c r="F89" s="4"/>
      <c r="G89" s="3"/>
      <c r="H89" s="3"/>
      <c r="I89" s="3"/>
      <c r="J89" s="3"/>
      <c r="K89" s="3"/>
    </row>
    <row r="90" spans="1:11" hidden="1"/>
    <row r="91" spans="1:11" hidden="1">
      <c r="A91" s="10">
        <v>44166</v>
      </c>
    </row>
    <row r="92" spans="1:11" hidden="1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  <c r="F92" s="2" t="s">
        <v>6</v>
      </c>
      <c r="G92" s="2" t="s">
        <v>7</v>
      </c>
      <c r="H92" s="2" t="s">
        <v>8</v>
      </c>
      <c r="I92" s="2" t="s">
        <v>9</v>
      </c>
      <c r="J92" s="2" t="s">
        <v>10</v>
      </c>
      <c r="K92" s="2" t="s">
        <v>11</v>
      </c>
    </row>
    <row r="93" spans="1:11" hidden="1">
      <c r="A93" s="3" t="s">
        <v>12</v>
      </c>
      <c r="B93" s="3"/>
      <c r="C93" s="3"/>
      <c r="D93" s="3">
        <f>C93-B93</f>
        <v>0</v>
      </c>
      <c r="E93" s="4">
        <v>917.35500000000002</v>
      </c>
      <c r="F93" s="4">
        <v>744.85500000000002</v>
      </c>
      <c r="G93" s="3" t="s">
        <v>31</v>
      </c>
      <c r="H93" s="3">
        <v>31</v>
      </c>
      <c r="I93" s="3" t="s">
        <v>14</v>
      </c>
      <c r="J93" s="3"/>
      <c r="K93" s="4"/>
    </row>
    <row r="94" spans="1:11" hidden="1">
      <c r="A94" s="3" t="s">
        <v>15</v>
      </c>
      <c r="B94" s="3"/>
      <c r="C94" s="3"/>
      <c r="D94" s="3">
        <v>30</v>
      </c>
      <c r="E94" s="4"/>
      <c r="F94" s="4"/>
      <c r="G94" s="3" t="s">
        <v>20</v>
      </c>
      <c r="H94" s="3">
        <v>31</v>
      </c>
      <c r="I94" s="3" t="s">
        <v>14</v>
      </c>
      <c r="J94" s="3"/>
      <c r="K94" s="4"/>
    </row>
    <row r="95" spans="1:11" hidden="1">
      <c r="A95" s="3" t="s">
        <v>16</v>
      </c>
      <c r="B95" s="3"/>
      <c r="C95" s="3"/>
      <c r="D95" s="3"/>
      <c r="E95" s="4">
        <f>E93+F93</f>
        <v>1662.21</v>
      </c>
      <c r="F95" s="4"/>
      <c r="G95" s="3"/>
      <c r="H95" s="3"/>
      <c r="I95" s="3"/>
      <c r="J95" s="3"/>
      <c r="K95" s="3"/>
    </row>
    <row r="96" spans="1:11" hidden="1">
      <c r="A96" s="3" t="s">
        <v>17</v>
      </c>
      <c r="B96" s="3"/>
      <c r="C96" s="3"/>
      <c r="D96" s="3"/>
      <c r="E96" s="4">
        <f>E94+F94</f>
        <v>0</v>
      </c>
      <c r="F96" s="4"/>
      <c r="G96" s="3"/>
      <c r="H96" s="3"/>
      <c r="I96" s="3"/>
      <c r="J96" s="3"/>
      <c r="K96" s="3"/>
    </row>
    <row r="97" spans="1:11" hidden="1">
      <c r="A97" s="3" t="s">
        <v>18</v>
      </c>
      <c r="B97" s="3"/>
      <c r="C97" s="3"/>
      <c r="D97" s="3"/>
      <c r="E97" s="4"/>
      <c r="F97" s="4"/>
      <c r="G97" s="3"/>
      <c r="H97" s="3"/>
      <c r="I97" s="3"/>
      <c r="J97" s="3"/>
      <c r="K97" s="3"/>
    </row>
    <row r="99" spans="1:11">
      <c r="A99" s="10">
        <v>44197</v>
      </c>
    </row>
    <row r="100" spans="1:11" hidden="1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  <c r="G100" s="2" t="s">
        <v>7</v>
      </c>
      <c r="H100" s="2" t="s">
        <v>8</v>
      </c>
      <c r="I100" s="2" t="s">
        <v>9</v>
      </c>
      <c r="J100" s="2" t="s">
        <v>10</v>
      </c>
      <c r="K100" s="2" t="s">
        <v>11</v>
      </c>
    </row>
    <row r="101" spans="1:11" hidden="1">
      <c r="A101" s="3" t="s">
        <v>12</v>
      </c>
      <c r="B101" s="3"/>
      <c r="C101" s="3"/>
      <c r="D101" s="3">
        <f>C101-B101</f>
        <v>0</v>
      </c>
      <c r="E101" s="4">
        <f>8728.72*1.15</f>
        <v>10038.027999999998</v>
      </c>
      <c r="F101" s="4">
        <f>(472.3+218.1)*1.15</f>
        <v>793.95999999999992</v>
      </c>
      <c r="G101" s="3" t="s">
        <v>32</v>
      </c>
      <c r="H101" s="3">
        <v>31</v>
      </c>
      <c r="I101" s="3" t="s">
        <v>14</v>
      </c>
      <c r="J101" s="3"/>
      <c r="K101" s="4"/>
    </row>
    <row r="102" spans="1:11" hidden="1">
      <c r="A102" s="3" t="s">
        <v>15</v>
      </c>
      <c r="B102" s="3"/>
      <c r="C102" s="3"/>
      <c r="D102" s="3">
        <v>30</v>
      </c>
      <c r="E102" s="4"/>
      <c r="F102" s="4"/>
      <c r="G102" s="3" t="s">
        <v>20</v>
      </c>
      <c r="H102" s="3">
        <v>31</v>
      </c>
      <c r="I102" s="3" t="s">
        <v>14</v>
      </c>
      <c r="J102" s="3"/>
      <c r="K102" s="4"/>
    </row>
    <row r="103" spans="1:11" hidden="1">
      <c r="A103" s="3" t="s">
        <v>16</v>
      </c>
      <c r="B103" s="3"/>
      <c r="C103" s="3"/>
      <c r="D103" s="3"/>
      <c r="E103" s="4">
        <f>E101+F101</f>
        <v>10831.987999999998</v>
      </c>
      <c r="F103" s="4"/>
      <c r="G103" s="3"/>
      <c r="H103" s="3"/>
      <c r="I103" s="3"/>
      <c r="J103" s="3"/>
      <c r="K103" s="3"/>
    </row>
    <row r="104" spans="1:11" hidden="1">
      <c r="A104" s="3" t="s">
        <v>17</v>
      </c>
      <c r="B104" s="3"/>
      <c r="C104" s="3"/>
      <c r="D104" s="3"/>
      <c r="E104" s="4">
        <f>E102+F102</f>
        <v>0</v>
      </c>
      <c r="F104" s="4"/>
      <c r="G104" s="3"/>
      <c r="H104" s="3"/>
      <c r="I104" s="3"/>
      <c r="J104" s="3"/>
      <c r="K104" s="3"/>
    </row>
    <row r="105" spans="1:11" hidden="1">
      <c r="A105" s="3" t="s">
        <v>18</v>
      </c>
      <c r="B105" s="3"/>
      <c r="C105" s="3"/>
      <c r="D105" s="3"/>
      <c r="E105" s="4"/>
      <c r="F105" s="4"/>
      <c r="G105" s="3"/>
      <c r="H105" s="3"/>
      <c r="I105" s="3"/>
      <c r="J105" s="3"/>
      <c r="K105" s="3"/>
    </row>
    <row r="106" spans="1:11" hidden="1"/>
    <row r="107" spans="1:11" hidden="1">
      <c r="A107" s="10">
        <v>44228</v>
      </c>
    </row>
    <row r="108" spans="1:11" hidden="1">
      <c r="A108" s="2" t="s">
        <v>1</v>
      </c>
      <c r="B108" s="2" t="s">
        <v>2</v>
      </c>
      <c r="C108" s="2" t="s">
        <v>3</v>
      </c>
      <c r="D108" s="2" t="s">
        <v>4</v>
      </c>
      <c r="E108" s="2" t="s">
        <v>5</v>
      </c>
      <c r="F108" s="2" t="s">
        <v>6</v>
      </c>
      <c r="G108" s="2" t="s">
        <v>7</v>
      </c>
      <c r="H108" s="2" t="s">
        <v>8</v>
      </c>
      <c r="I108" s="2" t="s">
        <v>9</v>
      </c>
      <c r="J108" s="2" t="s">
        <v>10</v>
      </c>
      <c r="K108" s="2" t="s">
        <v>11</v>
      </c>
    </row>
    <row r="109" spans="1:11" hidden="1">
      <c r="A109" s="3" t="s">
        <v>12</v>
      </c>
      <c r="B109" s="3"/>
      <c r="C109" s="3"/>
      <c r="D109" s="3">
        <f>C109-B109</f>
        <v>0</v>
      </c>
      <c r="E109" s="4">
        <f>8728.72*1.15</f>
        <v>10038.027999999998</v>
      </c>
      <c r="F109" s="4">
        <f>(472.3+218.1)*1.15</f>
        <v>793.95999999999992</v>
      </c>
      <c r="G109" s="3" t="s">
        <v>33</v>
      </c>
      <c r="H109" s="3">
        <v>28</v>
      </c>
      <c r="I109" s="3" t="s">
        <v>14</v>
      </c>
      <c r="J109" s="3"/>
      <c r="K109" s="4"/>
    </row>
    <row r="110" spans="1:11" hidden="1">
      <c r="A110" s="3" t="s">
        <v>15</v>
      </c>
      <c r="B110" s="3"/>
      <c r="C110" s="3"/>
      <c r="D110" s="3">
        <v>30</v>
      </c>
      <c r="E110" s="4"/>
      <c r="F110" s="4"/>
      <c r="G110" s="3" t="s">
        <v>20</v>
      </c>
      <c r="H110" s="3">
        <v>31</v>
      </c>
      <c r="I110" s="3" t="s">
        <v>14</v>
      </c>
      <c r="J110" s="3"/>
      <c r="K110" s="4"/>
    </row>
    <row r="111" spans="1:11" hidden="1">
      <c r="A111" s="3" t="s">
        <v>16</v>
      </c>
      <c r="B111" s="3"/>
      <c r="C111" s="3"/>
      <c r="D111" s="3"/>
      <c r="E111" s="4">
        <f>E109+F109</f>
        <v>10831.987999999998</v>
      </c>
      <c r="F111" s="4"/>
      <c r="G111" s="3"/>
      <c r="H111" s="3"/>
      <c r="I111" s="3"/>
      <c r="J111" s="3"/>
      <c r="K111" s="3"/>
    </row>
    <row r="112" spans="1:11" hidden="1">
      <c r="A112" s="3" t="s">
        <v>17</v>
      </c>
      <c r="B112" s="3"/>
      <c r="C112" s="3"/>
      <c r="D112" s="3"/>
      <c r="E112" s="4">
        <f>E110+F110</f>
        <v>0</v>
      </c>
      <c r="F112" s="4"/>
      <c r="G112" s="3"/>
      <c r="H112" s="3"/>
      <c r="I112" s="3"/>
      <c r="J112" s="3"/>
      <c r="K112" s="3"/>
    </row>
    <row r="113" spans="1:11" hidden="1">
      <c r="A113" s="3" t="s">
        <v>18</v>
      </c>
      <c r="B113" s="3"/>
      <c r="C113" s="3"/>
      <c r="D113" s="3"/>
      <c r="E113" s="4"/>
      <c r="F113" s="4"/>
      <c r="G113" s="3"/>
      <c r="H113" s="3"/>
      <c r="I113" s="3"/>
      <c r="J113" s="3"/>
      <c r="K113" s="3"/>
    </row>
    <row r="114" spans="1:11" hidden="1"/>
    <row r="115" spans="1:11" hidden="1">
      <c r="A115" s="10">
        <v>44256</v>
      </c>
    </row>
    <row r="116" spans="1:11" hidden="1">
      <c r="A116" s="2" t="s">
        <v>1</v>
      </c>
      <c r="B116" s="2" t="s">
        <v>2</v>
      </c>
      <c r="C116" s="2" t="s">
        <v>3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8</v>
      </c>
      <c r="I116" s="2" t="s">
        <v>9</v>
      </c>
      <c r="J116" s="2" t="s">
        <v>10</v>
      </c>
      <c r="K116" s="2" t="s">
        <v>11</v>
      </c>
    </row>
    <row r="117" spans="1:11" hidden="1">
      <c r="A117" s="3" t="s">
        <v>12</v>
      </c>
      <c r="B117" s="3"/>
      <c r="C117" s="3"/>
      <c r="D117" s="3">
        <f>C117-B117</f>
        <v>0</v>
      </c>
      <c r="E117" s="4">
        <f>8728.72*1.15</f>
        <v>10038.027999999998</v>
      </c>
      <c r="F117" s="4">
        <f>(472.3+218.1)*1.15</f>
        <v>793.95999999999992</v>
      </c>
      <c r="G117" s="3" t="s">
        <v>20</v>
      </c>
      <c r="H117" s="3">
        <v>31</v>
      </c>
      <c r="I117" s="3" t="s">
        <v>14</v>
      </c>
      <c r="J117" s="3"/>
      <c r="K117" s="4"/>
    </row>
    <row r="118" spans="1:11" hidden="1">
      <c r="A118" s="3" t="s">
        <v>15</v>
      </c>
      <c r="B118" s="3"/>
      <c r="C118" s="3"/>
      <c r="D118" s="3">
        <v>30</v>
      </c>
      <c r="E118" s="4"/>
      <c r="F118" s="4"/>
      <c r="G118" s="3" t="s">
        <v>20</v>
      </c>
      <c r="H118" s="3">
        <v>31</v>
      </c>
      <c r="I118" s="3" t="s">
        <v>14</v>
      </c>
      <c r="J118" s="3"/>
      <c r="K118" s="4"/>
    </row>
    <row r="119" spans="1:11" hidden="1">
      <c r="A119" s="3" t="s">
        <v>16</v>
      </c>
      <c r="B119" s="3"/>
      <c r="C119" s="3"/>
      <c r="D119" s="3"/>
      <c r="E119" s="4">
        <f>E117+F117</f>
        <v>10831.987999999998</v>
      </c>
      <c r="F119" s="4"/>
      <c r="G119" s="3"/>
      <c r="H119" s="3"/>
      <c r="I119" s="3"/>
      <c r="J119" s="3"/>
      <c r="K119" s="3"/>
    </row>
    <row r="120" spans="1:11" hidden="1">
      <c r="A120" s="3" t="s">
        <v>17</v>
      </c>
      <c r="B120" s="3"/>
      <c r="C120" s="3"/>
      <c r="D120" s="3"/>
      <c r="E120" s="4">
        <f>E118+F118</f>
        <v>0</v>
      </c>
      <c r="F120" s="4"/>
      <c r="G120" s="3"/>
      <c r="H120" s="3"/>
      <c r="I120" s="3"/>
      <c r="J120" s="3"/>
      <c r="K120" s="3"/>
    </row>
    <row r="121" spans="1:11" hidden="1">
      <c r="A121" s="3" t="s">
        <v>18</v>
      </c>
      <c r="B121" s="3"/>
      <c r="C121" s="3"/>
      <c r="D121" s="3"/>
      <c r="E121" s="4"/>
      <c r="F121" s="4"/>
      <c r="G121" s="3"/>
      <c r="H121" s="3"/>
      <c r="I121" s="3"/>
      <c r="J121" s="3"/>
      <c r="K121" s="3"/>
    </row>
    <row r="122" spans="1:11" hidden="1"/>
    <row r="123" spans="1:11" hidden="1">
      <c r="A123" s="10">
        <v>44287</v>
      </c>
    </row>
    <row r="124" spans="1:11" hidden="1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  <c r="G124" s="2" t="s">
        <v>7</v>
      </c>
      <c r="H124" s="2" t="s">
        <v>8</v>
      </c>
      <c r="I124" s="2" t="s">
        <v>9</v>
      </c>
      <c r="J124" s="2" t="s">
        <v>10</v>
      </c>
      <c r="K124" s="2" t="s">
        <v>11</v>
      </c>
    </row>
    <row r="125" spans="1:11" hidden="1">
      <c r="A125" s="3" t="s">
        <v>12</v>
      </c>
      <c r="B125" s="3"/>
      <c r="C125" s="3"/>
      <c r="D125" s="3">
        <f>C125-B125</f>
        <v>0</v>
      </c>
      <c r="E125" s="4">
        <f>8728.72*1.15</f>
        <v>10038.027999999998</v>
      </c>
      <c r="F125" s="4">
        <f>(472.3+218.1)*1.15</f>
        <v>793.95999999999992</v>
      </c>
      <c r="G125" s="3" t="s">
        <v>34</v>
      </c>
      <c r="H125" s="3">
        <v>30</v>
      </c>
      <c r="I125" s="3" t="s">
        <v>14</v>
      </c>
      <c r="J125" s="3"/>
      <c r="K125" s="4"/>
    </row>
    <row r="126" spans="1:11" hidden="1">
      <c r="A126" s="3" t="s">
        <v>15</v>
      </c>
      <c r="B126" s="3"/>
      <c r="C126" s="3"/>
      <c r="D126" s="3">
        <v>30</v>
      </c>
      <c r="E126" s="4"/>
      <c r="F126" s="4"/>
      <c r="G126" s="3" t="s">
        <v>20</v>
      </c>
      <c r="H126" s="3">
        <v>31</v>
      </c>
      <c r="I126" s="3" t="s">
        <v>14</v>
      </c>
      <c r="J126" s="3"/>
      <c r="K126" s="4"/>
    </row>
    <row r="127" spans="1:11" hidden="1">
      <c r="A127" s="3" t="s">
        <v>16</v>
      </c>
      <c r="B127" s="3"/>
      <c r="C127" s="3"/>
      <c r="D127" s="3"/>
      <c r="E127" s="4">
        <f>E125+F125</f>
        <v>10831.987999999998</v>
      </c>
      <c r="F127" s="4"/>
      <c r="G127" s="3"/>
      <c r="H127" s="3"/>
      <c r="I127" s="3"/>
      <c r="J127" s="3"/>
      <c r="K127" s="3"/>
    </row>
    <row r="128" spans="1:11" hidden="1">
      <c r="A128" s="3" t="s">
        <v>17</v>
      </c>
      <c r="B128" s="3"/>
      <c r="C128" s="3"/>
      <c r="D128" s="3"/>
      <c r="E128" s="4">
        <f>E126+F126</f>
        <v>0</v>
      </c>
      <c r="F128" s="4"/>
      <c r="G128" s="3"/>
      <c r="H128" s="3"/>
      <c r="I128" s="3"/>
      <c r="J128" s="3"/>
      <c r="K128" s="3"/>
    </row>
    <row r="129" spans="1:11" hidden="1">
      <c r="A129" s="3" t="s">
        <v>18</v>
      </c>
      <c r="B129" s="3"/>
      <c r="C129" s="3"/>
      <c r="D129" s="3"/>
      <c r="E129" s="4"/>
      <c r="F129" s="4"/>
      <c r="G129" s="3"/>
      <c r="H129" s="3"/>
      <c r="I129" s="3"/>
      <c r="J129" s="3"/>
      <c r="K129" s="3"/>
    </row>
    <row r="130" spans="1:11" hidden="1"/>
    <row r="131" spans="1:11" hidden="1">
      <c r="A131" s="10">
        <v>44317</v>
      </c>
    </row>
    <row r="132" spans="1:11" hidden="1">
      <c r="A132" s="2" t="s">
        <v>1</v>
      </c>
      <c r="B132" s="2" t="s">
        <v>2</v>
      </c>
      <c r="C132" s="2" t="s">
        <v>3</v>
      </c>
      <c r="D132" s="2" t="s">
        <v>4</v>
      </c>
      <c r="E132" s="2" t="s">
        <v>5</v>
      </c>
      <c r="F132" s="2" t="s">
        <v>6</v>
      </c>
      <c r="G132" s="2" t="s">
        <v>7</v>
      </c>
      <c r="H132" s="2" t="s">
        <v>8</v>
      </c>
      <c r="I132" s="2" t="s">
        <v>9</v>
      </c>
      <c r="J132" s="2" t="s">
        <v>10</v>
      </c>
      <c r="K132" s="2" t="s">
        <v>11</v>
      </c>
    </row>
    <row r="133" spans="1:11" hidden="1">
      <c r="A133" s="3" t="s">
        <v>12</v>
      </c>
      <c r="B133" s="3"/>
      <c r="C133" s="3"/>
      <c r="D133" s="3">
        <f>C133-B133</f>
        <v>0</v>
      </c>
      <c r="E133" s="4">
        <f>8728.72*1.15</f>
        <v>10038.027999999998</v>
      </c>
      <c r="F133" s="4">
        <f>(472.3+218.1)*1.15</f>
        <v>793.95999999999992</v>
      </c>
      <c r="G133" s="3" t="s">
        <v>35</v>
      </c>
      <c r="H133" s="3">
        <v>31</v>
      </c>
      <c r="I133" s="3" t="s">
        <v>14</v>
      </c>
      <c r="J133" s="3"/>
      <c r="K133" s="4"/>
    </row>
    <row r="134" spans="1:11" hidden="1">
      <c r="A134" s="3" t="s">
        <v>15</v>
      </c>
      <c r="B134" s="3"/>
      <c r="C134" s="3"/>
      <c r="D134" s="3">
        <v>30</v>
      </c>
      <c r="E134" s="4"/>
      <c r="F134" s="4"/>
      <c r="G134" s="3" t="s">
        <v>20</v>
      </c>
      <c r="H134" s="3">
        <v>31</v>
      </c>
      <c r="I134" s="3" t="s">
        <v>14</v>
      </c>
      <c r="J134" s="3"/>
      <c r="K134" s="4"/>
    </row>
    <row r="135" spans="1:11" hidden="1">
      <c r="A135" s="3" t="s">
        <v>16</v>
      </c>
      <c r="B135" s="3"/>
      <c r="C135" s="3"/>
      <c r="D135" s="3"/>
      <c r="E135" s="4">
        <f>E133+F133</f>
        <v>10831.987999999998</v>
      </c>
      <c r="F135" s="4"/>
      <c r="G135" s="3"/>
      <c r="H135" s="3"/>
      <c r="I135" s="3"/>
      <c r="J135" s="3"/>
      <c r="K135" s="3"/>
    </row>
    <row r="136" spans="1:11" hidden="1">
      <c r="A136" s="3" t="s">
        <v>17</v>
      </c>
      <c r="B136" s="3"/>
      <c r="C136" s="3"/>
      <c r="D136" s="3"/>
      <c r="E136" s="4">
        <f>E134+F134</f>
        <v>0</v>
      </c>
      <c r="F136" s="4"/>
      <c r="G136" s="3"/>
      <c r="H136" s="3"/>
      <c r="I136" s="3"/>
      <c r="J136" s="3"/>
      <c r="K136" s="3"/>
    </row>
    <row r="137" spans="1:11" hidden="1">
      <c r="A137" s="3" t="s">
        <v>18</v>
      </c>
      <c r="B137" s="3"/>
      <c r="C137" s="3"/>
      <c r="D137" s="3"/>
      <c r="E137" s="4"/>
      <c r="F137" s="4"/>
      <c r="G137" s="3"/>
      <c r="H137" s="3"/>
      <c r="I137" s="3"/>
      <c r="J137" s="3"/>
      <c r="K137" s="3"/>
    </row>
    <row r="138" spans="1:11" hidden="1"/>
    <row r="139" spans="1:11" hidden="1">
      <c r="A139" s="10">
        <v>44348</v>
      </c>
    </row>
    <row r="140" spans="1:11" hidden="1">
      <c r="A140" s="2" t="s">
        <v>1</v>
      </c>
      <c r="B140" s="2" t="s">
        <v>2</v>
      </c>
      <c r="C140" s="2" t="s">
        <v>3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8</v>
      </c>
      <c r="I140" s="2" t="s">
        <v>9</v>
      </c>
      <c r="J140" s="2" t="s">
        <v>10</v>
      </c>
      <c r="K140" s="2" t="s">
        <v>11</v>
      </c>
    </row>
    <row r="141" spans="1:11" hidden="1">
      <c r="A141" s="3" t="s">
        <v>12</v>
      </c>
      <c r="B141" s="3"/>
      <c r="C141" s="3"/>
      <c r="D141" s="3">
        <f>C141-B141</f>
        <v>0</v>
      </c>
      <c r="E141" s="4">
        <f>8728.72*1.15</f>
        <v>10038.027999999998</v>
      </c>
      <c r="F141" s="4">
        <f>(472.3+218.1)*1.15</f>
        <v>793.95999999999992</v>
      </c>
      <c r="G141" s="3" t="s">
        <v>36</v>
      </c>
      <c r="H141" s="3">
        <v>30</v>
      </c>
      <c r="I141" s="3" t="s">
        <v>14</v>
      </c>
      <c r="J141" s="3"/>
      <c r="K141" s="4"/>
    </row>
    <row r="142" spans="1:11" hidden="1">
      <c r="A142" s="3" t="s">
        <v>15</v>
      </c>
      <c r="B142" s="3"/>
      <c r="C142" s="3"/>
      <c r="D142" s="3">
        <v>30</v>
      </c>
      <c r="E142" s="4"/>
      <c r="F142" s="4"/>
      <c r="G142" s="3" t="s">
        <v>20</v>
      </c>
      <c r="H142" s="3">
        <v>31</v>
      </c>
      <c r="I142" s="3" t="s">
        <v>14</v>
      </c>
      <c r="J142" s="3"/>
      <c r="K142" s="4"/>
    </row>
    <row r="143" spans="1:11" hidden="1">
      <c r="A143" s="3" t="s">
        <v>16</v>
      </c>
      <c r="B143" s="3"/>
      <c r="C143" s="3"/>
      <c r="D143" s="3"/>
      <c r="E143" s="4">
        <f>E141+F141</f>
        <v>10831.987999999998</v>
      </c>
      <c r="F143" s="4"/>
      <c r="G143" s="3"/>
      <c r="H143" s="3"/>
      <c r="I143" s="3"/>
      <c r="J143" s="3"/>
      <c r="K143" s="3"/>
    </row>
    <row r="144" spans="1:11" hidden="1">
      <c r="A144" s="3" t="s">
        <v>17</v>
      </c>
      <c r="B144" s="3"/>
      <c r="C144" s="3"/>
      <c r="D144" s="3"/>
      <c r="E144" s="4">
        <f>E142+F142</f>
        <v>0</v>
      </c>
      <c r="F144" s="4"/>
      <c r="G144" s="3"/>
      <c r="H144" s="3"/>
      <c r="I144" s="3"/>
      <c r="J144" s="3"/>
      <c r="K144" s="3"/>
    </row>
    <row r="145" spans="1:11" hidden="1">
      <c r="A145" s="3" t="s">
        <v>18</v>
      </c>
      <c r="B145" s="3"/>
      <c r="C145" s="3"/>
      <c r="D145" s="3"/>
      <c r="E145" s="4"/>
      <c r="F145" s="4"/>
      <c r="G145" s="3"/>
      <c r="H145" s="3"/>
      <c r="I145" s="3"/>
      <c r="J145" s="3"/>
      <c r="K145" s="3"/>
    </row>
    <row r="146" spans="1:11" hidden="1"/>
    <row r="147" spans="1:11" hidden="1">
      <c r="A147" s="10">
        <v>44378</v>
      </c>
    </row>
    <row r="148" spans="1:11" hidden="1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  <c r="G148" s="2" t="s">
        <v>7</v>
      </c>
      <c r="H148" s="2" t="s">
        <v>8</v>
      </c>
      <c r="I148" s="2" t="s">
        <v>9</v>
      </c>
      <c r="J148" s="2" t="s">
        <v>10</v>
      </c>
      <c r="K148" s="2" t="s">
        <v>11</v>
      </c>
    </row>
    <row r="149" spans="1:11" hidden="1">
      <c r="A149" s="3" t="s">
        <v>12</v>
      </c>
      <c r="B149" s="3"/>
      <c r="C149" s="3"/>
      <c r="D149" s="3">
        <f>C149-B149</f>
        <v>0</v>
      </c>
      <c r="E149" s="4">
        <f>8728.72*1.15</f>
        <v>10038.027999999998</v>
      </c>
      <c r="F149" s="4">
        <f>(472.3+218.1)*1.15</f>
        <v>793.95999999999992</v>
      </c>
      <c r="G149" s="3" t="s">
        <v>37</v>
      </c>
      <c r="H149" s="3">
        <v>31</v>
      </c>
      <c r="I149" s="3" t="s">
        <v>14</v>
      </c>
      <c r="J149" s="3"/>
      <c r="K149" s="4"/>
    </row>
    <row r="150" spans="1:11" hidden="1">
      <c r="A150" s="3" t="s">
        <v>15</v>
      </c>
      <c r="B150" s="3">
        <v>8414</v>
      </c>
      <c r="C150" s="3">
        <v>8675</v>
      </c>
      <c r="D150" s="3">
        <f>C150-B150</f>
        <v>261</v>
      </c>
      <c r="E150" s="4">
        <f>7736.22*1.15</f>
        <v>8896.6530000000002</v>
      </c>
      <c r="F150" s="4">
        <f>(499.7+230.75)*1.15</f>
        <v>840.01750000000004</v>
      </c>
      <c r="G150" s="3" t="s">
        <v>38</v>
      </c>
      <c r="H150" s="3">
        <v>29</v>
      </c>
      <c r="I150" s="3" t="s">
        <v>29</v>
      </c>
      <c r="J150" s="3"/>
      <c r="K150" s="4"/>
    </row>
    <row r="151" spans="1:11" hidden="1">
      <c r="A151" s="3" t="s">
        <v>16</v>
      </c>
      <c r="B151" s="3"/>
      <c r="C151" s="3"/>
      <c r="D151" s="3"/>
      <c r="E151" s="4">
        <f>E149+F149</f>
        <v>10831.987999999998</v>
      </c>
      <c r="F151" s="4"/>
      <c r="G151" s="3"/>
      <c r="H151" s="3"/>
      <c r="I151" s="3"/>
      <c r="J151" s="3"/>
      <c r="K151" s="3"/>
    </row>
    <row r="152" spans="1:11" hidden="1">
      <c r="A152" s="3" t="s">
        <v>17</v>
      </c>
      <c r="B152" s="3"/>
      <c r="C152" s="3"/>
      <c r="D152" s="3"/>
      <c r="E152" s="4">
        <f>E150+F150</f>
        <v>9736.6705000000002</v>
      </c>
      <c r="F152" s="4"/>
      <c r="G152" s="3"/>
      <c r="H152" s="3"/>
      <c r="I152" s="3"/>
      <c r="J152" s="3"/>
      <c r="K152" s="3"/>
    </row>
    <row r="153" spans="1:11" hidden="1">
      <c r="A153" s="3" t="s">
        <v>18</v>
      </c>
      <c r="B153" s="3"/>
      <c r="C153" s="3"/>
      <c r="D153" s="3"/>
      <c r="E153" s="4"/>
      <c r="F153" s="4"/>
      <c r="G153" s="3"/>
      <c r="H153" s="3"/>
      <c r="I153" s="3"/>
      <c r="J153" s="3"/>
      <c r="K153" s="3"/>
    </row>
    <row r="154" spans="1:11" hidden="1"/>
    <row r="155" spans="1:11" hidden="1">
      <c r="A155" s="10">
        <v>44409</v>
      </c>
    </row>
    <row r="156" spans="1:11" hidden="1">
      <c r="A156" s="2" t="s">
        <v>1</v>
      </c>
      <c r="B156" s="2" t="s">
        <v>2</v>
      </c>
      <c r="C156" s="2" t="s">
        <v>3</v>
      </c>
      <c r="D156" s="2" t="s">
        <v>4</v>
      </c>
      <c r="E156" s="2" t="s">
        <v>5</v>
      </c>
      <c r="F156" s="2" t="s">
        <v>6</v>
      </c>
      <c r="G156" s="2" t="s">
        <v>7</v>
      </c>
      <c r="H156" s="2" t="s">
        <v>8</v>
      </c>
      <c r="I156" s="2" t="s">
        <v>9</v>
      </c>
      <c r="J156" s="2" t="s">
        <v>10</v>
      </c>
      <c r="K156" s="2" t="s">
        <v>11</v>
      </c>
    </row>
    <row r="157" spans="1:11" hidden="1">
      <c r="A157" s="3" t="s">
        <v>12</v>
      </c>
      <c r="B157" s="3"/>
      <c r="C157" s="3"/>
      <c r="D157" s="3">
        <f>C157-B157</f>
        <v>0</v>
      </c>
      <c r="E157" s="4">
        <f>599.6*1.15</f>
        <v>689.54</v>
      </c>
      <c r="F157" s="4">
        <f>(499.7+230.75)*1.15</f>
        <v>840.01750000000004</v>
      </c>
      <c r="G157" s="3" t="s">
        <v>39</v>
      </c>
      <c r="H157" s="3">
        <v>31</v>
      </c>
      <c r="I157" s="3" t="s">
        <v>14</v>
      </c>
      <c r="J157" s="3"/>
      <c r="K157" s="4"/>
    </row>
    <row r="158" spans="1:11" hidden="1">
      <c r="A158" s="3" t="s">
        <v>15</v>
      </c>
      <c r="B158" s="3">
        <v>8414</v>
      </c>
      <c r="C158" s="3">
        <v>8675</v>
      </c>
      <c r="D158" s="3">
        <f>C158-B158</f>
        <v>261</v>
      </c>
      <c r="E158" s="4">
        <v>9586.1929999999993</v>
      </c>
      <c r="F158" s="4">
        <v>1680.0350000000001</v>
      </c>
      <c r="G158" s="3" t="s">
        <v>39</v>
      </c>
      <c r="H158" s="3">
        <v>31</v>
      </c>
      <c r="I158" s="3" t="s">
        <v>14</v>
      </c>
      <c r="J158" s="3"/>
      <c r="K158" s="4"/>
    </row>
    <row r="159" spans="1:11" hidden="1">
      <c r="A159" s="3" t="s">
        <v>16</v>
      </c>
      <c r="B159" s="3"/>
      <c r="C159" s="3"/>
      <c r="D159" s="3"/>
      <c r="E159" s="4">
        <f>E157+F157</f>
        <v>1529.5574999999999</v>
      </c>
      <c r="F159" s="4"/>
      <c r="G159" s="3"/>
      <c r="H159" s="3"/>
      <c r="I159" s="3"/>
      <c r="J159" s="3"/>
      <c r="K159" s="3"/>
    </row>
    <row r="160" spans="1:11" hidden="1">
      <c r="A160" s="3" t="s">
        <v>17</v>
      </c>
      <c r="B160" s="3"/>
      <c r="C160" s="3"/>
      <c r="D160" s="3"/>
      <c r="E160" s="4">
        <f>E158+F158</f>
        <v>11266.227999999999</v>
      </c>
      <c r="F160" s="4"/>
      <c r="G160" s="3"/>
      <c r="H160" s="3"/>
      <c r="I160" s="3"/>
      <c r="J160" s="3"/>
      <c r="K160" s="3"/>
    </row>
    <row r="161" spans="1:11" hidden="1">
      <c r="A161" s="3" t="s">
        <v>18</v>
      </c>
      <c r="B161" s="3"/>
      <c r="C161" s="3"/>
      <c r="D161" s="3"/>
      <c r="E161" s="4"/>
      <c r="F161" s="4"/>
      <c r="G161" s="3"/>
      <c r="H161" s="3"/>
      <c r="I161" s="3"/>
      <c r="J161" s="3"/>
      <c r="K161" s="3"/>
    </row>
    <row r="162" spans="1:11" hidden="1"/>
    <row r="163" spans="1:11" hidden="1">
      <c r="A163" s="10">
        <v>44440</v>
      </c>
    </row>
    <row r="164" spans="1:11" hidden="1">
      <c r="A164" s="2" t="s">
        <v>1</v>
      </c>
      <c r="B164" s="2" t="s">
        <v>2</v>
      </c>
      <c r="C164" s="2" t="s">
        <v>3</v>
      </c>
      <c r="D164" s="2" t="s">
        <v>4</v>
      </c>
      <c r="E164" s="2" t="s">
        <v>5</v>
      </c>
      <c r="F164" s="2" t="s">
        <v>6</v>
      </c>
      <c r="G164" s="2" t="s">
        <v>7</v>
      </c>
      <c r="H164" s="2" t="s">
        <v>8</v>
      </c>
      <c r="I164" s="2" t="s">
        <v>9</v>
      </c>
      <c r="J164" s="2" t="s">
        <v>10</v>
      </c>
      <c r="K164" s="2" t="s">
        <v>11</v>
      </c>
    </row>
    <row r="165" spans="1:11" hidden="1">
      <c r="A165" s="3" t="s">
        <v>12</v>
      </c>
      <c r="B165" s="3"/>
      <c r="C165" s="3"/>
      <c r="D165" s="3">
        <f>C165-B165</f>
        <v>0</v>
      </c>
      <c r="E165" s="4">
        <f>8335.82*1.15</f>
        <v>9586.1929999999993</v>
      </c>
      <c r="F165" s="4">
        <f>(999.4+461.5)*1.15</f>
        <v>1680.0350000000001</v>
      </c>
      <c r="G165" s="3" t="s">
        <v>40</v>
      </c>
      <c r="H165" s="3">
        <v>30</v>
      </c>
      <c r="I165" s="3" t="s">
        <v>14</v>
      </c>
      <c r="J165" s="3"/>
      <c r="K165" s="4"/>
    </row>
    <row r="166" spans="1:11" hidden="1">
      <c r="A166" s="3" t="s">
        <v>15</v>
      </c>
      <c r="B166" s="3">
        <v>8414</v>
      </c>
      <c r="C166" s="3">
        <v>8675</v>
      </c>
      <c r="D166" s="3">
        <f>C166-B166</f>
        <v>261</v>
      </c>
      <c r="E166" s="4">
        <f>599.6*1.15</f>
        <v>689.54</v>
      </c>
      <c r="F166" s="4">
        <f>(499.7+230.75)*1.15</f>
        <v>840.01750000000004</v>
      </c>
      <c r="G166" s="3" t="s">
        <v>39</v>
      </c>
      <c r="H166" s="3">
        <v>31</v>
      </c>
      <c r="I166" s="3" t="s">
        <v>14</v>
      </c>
      <c r="J166" s="3"/>
      <c r="K166" s="4"/>
    </row>
    <row r="167" spans="1:11" hidden="1">
      <c r="A167" s="3" t="s">
        <v>16</v>
      </c>
      <c r="B167" s="3"/>
      <c r="C167" s="3"/>
      <c r="D167" s="3"/>
      <c r="E167" s="4">
        <f>E165+F165</f>
        <v>11266.227999999999</v>
      </c>
      <c r="F167" s="4"/>
      <c r="G167" s="3"/>
      <c r="H167" s="3"/>
      <c r="I167" s="3"/>
      <c r="J167" s="3"/>
      <c r="K167" s="3"/>
    </row>
    <row r="168" spans="1:11" hidden="1">
      <c r="A168" s="3" t="s">
        <v>17</v>
      </c>
      <c r="B168" s="3"/>
      <c r="C168" s="3"/>
      <c r="D168" s="3"/>
      <c r="E168" s="4">
        <f>E166+F166</f>
        <v>1529.5574999999999</v>
      </c>
      <c r="F168" s="4"/>
      <c r="G168" s="3"/>
      <c r="H168" s="3"/>
      <c r="I168" s="3"/>
      <c r="J168" s="3"/>
      <c r="K168" s="3"/>
    </row>
    <row r="169" spans="1:11" hidden="1">
      <c r="A169" s="3" t="s">
        <v>18</v>
      </c>
      <c r="B169" s="3"/>
      <c r="C169" s="3"/>
      <c r="D169" s="3"/>
      <c r="E169" s="4"/>
      <c r="F169" s="4"/>
      <c r="G169" s="3"/>
      <c r="H169" s="3"/>
      <c r="I169" s="3"/>
      <c r="J169" s="3"/>
      <c r="K169" s="3"/>
    </row>
    <row r="170" spans="1:11" hidden="1"/>
    <row r="171" spans="1:11" hidden="1">
      <c r="A171" s="10">
        <v>44470</v>
      </c>
    </row>
    <row r="172" spans="1:11" hidden="1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8</v>
      </c>
      <c r="I172" s="2" t="s">
        <v>9</v>
      </c>
      <c r="J172" s="2" t="s">
        <v>10</v>
      </c>
      <c r="K172" s="2" t="s">
        <v>11</v>
      </c>
    </row>
    <row r="173" spans="1:11" hidden="1">
      <c r="A173" s="3" t="s">
        <v>12</v>
      </c>
      <c r="B173" s="3"/>
      <c r="C173" s="3"/>
      <c r="D173" s="3">
        <f>C173-B173</f>
        <v>0</v>
      </c>
      <c r="E173" s="4">
        <f>8335.82*1.15</f>
        <v>9586.1929999999993</v>
      </c>
      <c r="F173" s="4">
        <f>(999.4+461.5)*1.15</f>
        <v>1680.0350000000001</v>
      </c>
      <c r="G173" s="3" t="s">
        <v>41</v>
      </c>
      <c r="H173" s="3">
        <v>31</v>
      </c>
      <c r="I173" s="3" t="s">
        <v>14</v>
      </c>
      <c r="J173" s="3"/>
      <c r="K173" s="4"/>
    </row>
    <row r="174" spans="1:11" hidden="1">
      <c r="A174" s="3" t="s">
        <v>15</v>
      </c>
      <c r="B174" s="3">
        <v>8414</v>
      </c>
      <c r="C174" s="3">
        <v>8675</v>
      </c>
      <c r="D174" s="3">
        <f>C174-B174</f>
        <v>261</v>
      </c>
      <c r="E174" s="4">
        <f>599.6*1.15</f>
        <v>689.54</v>
      </c>
      <c r="F174" s="4">
        <f>(499.7+230.75)*1.15</f>
        <v>840.01750000000004</v>
      </c>
      <c r="G174" s="3" t="s">
        <v>39</v>
      </c>
      <c r="H174" s="3">
        <v>31</v>
      </c>
      <c r="I174" s="3" t="s">
        <v>14</v>
      </c>
      <c r="J174" s="3"/>
      <c r="K174" s="4"/>
    </row>
    <row r="175" spans="1:11" hidden="1">
      <c r="A175" s="3" t="s">
        <v>16</v>
      </c>
      <c r="B175" s="3"/>
      <c r="C175" s="3"/>
      <c r="D175" s="3"/>
      <c r="E175" s="4">
        <f>E173+F173</f>
        <v>11266.227999999999</v>
      </c>
      <c r="F175" s="4"/>
      <c r="G175" s="3"/>
      <c r="H175" s="3"/>
      <c r="I175" s="3"/>
      <c r="J175" s="3"/>
      <c r="K175" s="3"/>
    </row>
    <row r="176" spans="1:11" hidden="1">
      <c r="A176" s="3" t="s">
        <v>17</v>
      </c>
      <c r="B176" s="3"/>
      <c r="C176" s="3"/>
      <c r="D176" s="3"/>
      <c r="E176" s="4">
        <f>E174+F174</f>
        <v>1529.5574999999999</v>
      </c>
      <c r="F176" s="4"/>
      <c r="G176" s="3"/>
      <c r="H176" s="3"/>
      <c r="I176" s="3"/>
      <c r="J176" s="3"/>
      <c r="K176" s="3"/>
    </row>
    <row r="177" spans="1:11" hidden="1">
      <c r="A177" s="3" t="s">
        <v>18</v>
      </c>
      <c r="B177" s="3"/>
      <c r="C177" s="3"/>
      <c r="D177" s="3"/>
      <c r="E177" s="4"/>
      <c r="F177" s="4"/>
      <c r="G177" s="3"/>
      <c r="H177" s="3"/>
      <c r="I177" s="3"/>
      <c r="J177" s="3"/>
      <c r="K177" s="3"/>
    </row>
    <row r="178" spans="1:11" hidden="1"/>
    <row r="179" spans="1:11" hidden="1">
      <c r="A179" s="10">
        <v>44501</v>
      </c>
    </row>
    <row r="180" spans="1:11" hidden="1">
      <c r="A180" s="2" t="s">
        <v>1</v>
      </c>
      <c r="B180" s="2" t="s">
        <v>2</v>
      </c>
      <c r="C180" s="2" t="s">
        <v>3</v>
      </c>
      <c r="D180" s="2" t="s">
        <v>4</v>
      </c>
      <c r="E180" s="2" t="s">
        <v>5</v>
      </c>
      <c r="F180" s="2" t="s">
        <v>6</v>
      </c>
      <c r="G180" s="2" t="s">
        <v>7</v>
      </c>
      <c r="H180" s="2" t="s">
        <v>8</v>
      </c>
      <c r="I180" s="2" t="s">
        <v>9</v>
      </c>
      <c r="J180" s="2" t="s">
        <v>10</v>
      </c>
      <c r="K180" s="2" t="s">
        <v>11</v>
      </c>
    </row>
    <row r="181" spans="1:11" hidden="1">
      <c r="A181" s="3" t="s">
        <v>12</v>
      </c>
      <c r="B181" s="3"/>
      <c r="C181" s="3"/>
      <c r="D181" s="3">
        <f>C181-B181</f>
        <v>0</v>
      </c>
      <c r="E181" s="4">
        <f>8335.82*1.15</f>
        <v>9586.1929999999993</v>
      </c>
      <c r="F181" s="4">
        <f>(999.4+461.5)*1.15</f>
        <v>1680.0350000000001</v>
      </c>
      <c r="G181" s="3" t="s">
        <v>42</v>
      </c>
      <c r="H181" s="3">
        <v>30</v>
      </c>
      <c r="I181" s="3" t="s">
        <v>14</v>
      </c>
      <c r="J181" s="3"/>
      <c r="K181" s="4"/>
    </row>
    <row r="182" spans="1:11" hidden="1">
      <c r="A182" s="3" t="s">
        <v>15</v>
      </c>
      <c r="B182" s="3">
        <v>8414</v>
      </c>
      <c r="C182" s="3">
        <v>8675</v>
      </c>
      <c r="D182" s="3">
        <f>C182-B182</f>
        <v>261</v>
      </c>
      <c r="E182" s="4">
        <f>599.6*1.15</f>
        <v>689.54</v>
      </c>
      <c r="F182" s="4">
        <f>(499.7+230.75)*1.15</f>
        <v>840.01750000000004</v>
      </c>
      <c r="G182" s="3" t="s">
        <v>39</v>
      </c>
      <c r="H182" s="3">
        <v>31</v>
      </c>
      <c r="I182" s="3" t="s">
        <v>14</v>
      </c>
      <c r="J182" s="3"/>
      <c r="K182" s="4"/>
    </row>
    <row r="183" spans="1:11" hidden="1">
      <c r="A183" s="3" t="s">
        <v>16</v>
      </c>
      <c r="B183" s="3"/>
      <c r="C183" s="3"/>
      <c r="D183" s="3"/>
      <c r="E183" s="4">
        <f>E181+F181</f>
        <v>11266.227999999999</v>
      </c>
      <c r="F183" s="4"/>
      <c r="G183" s="3"/>
      <c r="H183" s="3"/>
      <c r="I183" s="3"/>
      <c r="J183" s="3"/>
      <c r="K183" s="3"/>
    </row>
    <row r="184" spans="1:11" hidden="1">
      <c r="A184" s="3" t="s">
        <v>17</v>
      </c>
      <c r="B184" s="3"/>
      <c r="C184" s="3"/>
      <c r="D184" s="3"/>
      <c r="E184" s="4">
        <f>E182+F182</f>
        <v>1529.5574999999999</v>
      </c>
      <c r="F184" s="4"/>
      <c r="G184" s="3"/>
      <c r="H184" s="3"/>
      <c r="I184" s="3"/>
      <c r="J184" s="3"/>
      <c r="K184" s="3"/>
    </row>
    <row r="185" spans="1:11" hidden="1">
      <c r="A185" s="3" t="s">
        <v>18</v>
      </c>
      <c r="B185" s="3"/>
      <c r="C185" s="3"/>
      <c r="D185" s="3"/>
      <c r="E185" s="4"/>
      <c r="F185" s="4"/>
      <c r="G185" s="3"/>
      <c r="H185" s="3"/>
      <c r="I185" s="3"/>
      <c r="J185" s="3"/>
      <c r="K185" s="3"/>
    </row>
    <row r="186" spans="1:11" hidden="1"/>
    <row r="187" spans="1:11" hidden="1">
      <c r="A187" s="10">
        <v>44531</v>
      </c>
    </row>
    <row r="188" spans="1:11" hidden="1">
      <c r="A188" s="2" t="s">
        <v>1</v>
      </c>
      <c r="B188" s="2" t="s">
        <v>2</v>
      </c>
      <c r="C188" s="2" t="s">
        <v>3</v>
      </c>
      <c r="D188" s="2" t="s">
        <v>4</v>
      </c>
      <c r="E188" s="2" t="s">
        <v>5</v>
      </c>
      <c r="F188" s="2" t="s">
        <v>6</v>
      </c>
      <c r="G188" s="2" t="s">
        <v>7</v>
      </c>
      <c r="H188" s="2" t="s">
        <v>8</v>
      </c>
      <c r="I188" s="2" t="s">
        <v>9</v>
      </c>
      <c r="J188" s="2" t="s">
        <v>10</v>
      </c>
      <c r="K188" s="2" t="s">
        <v>11</v>
      </c>
    </row>
    <row r="189" spans="1:11" hidden="1">
      <c r="A189" s="3" t="s">
        <v>12</v>
      </c>
      <c r="B189" s="3"/>
      <c r="C189" s="3"/>
      <c r="D189" s="3">
        <f>C189-B189</f>
        <v>0</v>
      </c>
      <c r="E189" s="4">
        <f>8335.82*1.15</f>
        <v>9586.1929999999993</v>
      </c>
      <c r="F189" s="4">
        <f>(999.4+461.5)*1.15</f>
        <v>1680.0350000000001</v>
      </c>
      <c r="G189" s="3" t="s">
        <v>42</v>
      </c>
      <c r="H189" s="3">
        <v>30</v>
      </c>
      <c r="I189" s="3" t="s">
        <v>14</v>
      </c>
      <c r="J189" s="3"/>
      <c r="K189" s="4"/>
    </row>
    <row r="190" spans="1:11" hidden="1">
      <c r="A190" s="3" t="s">
        <v>15</v>
      </c>
      <c r="B190" s="3">
        <v>8414</v>
      </c>
      <c r="C190" s="3">
        <v>8675</v>
      </c>
      <c r="D190" s="3">
        <f>C190-B190</f>
        <v>261</v>
      </c>
      <c r="E190" s="4">
        <f>599.6*1.15</f>
        <v>689.54</v>
      </c>
      <c r="F190" s="4">
        <f>(499.7+230.75)*1.15</f>
        <v>840.01750000000004</v>
      </c>
      <c r="G190" s="3" t="s">
        <v>39</v>
      </c>
      <c r="H190" s="3">
        <v>31</v>
      </c>
      <c r="I190" s="3" t="s">
        <v>14</v>
      </c>
      <c r="J190" s="3"/>
      <c r="K190" s="4"/>
    </row>
    <row r="191" spans="1:11" hidden="1">
      <c r="A191" s="3" t="s">
        <v>16</v>
      </c>
      <c r="B191" s="3"/>
      <c r="C191" s="3"/>
      <c r="D191" s="3"/>
      <c r="E191" s="4">
        <f>E189+F189</f>
        <v>11266.227999999999</v>
      </c>
      <c r="F191" s="4"/>
      <c r="G191" s="3"/>
      <c r="H191" s="3"/>
      <c r="I191" s="3"/>
      <c r="J191" s="3"/>
      <c r="K191" s="3"/>
    </row>
    <row r="192" spans="1:11" hidden="1">
      <c r="A192" s="3" t="s">
        <v>17</v>
      </c>
      <c r="B192" s="3"/>
      <c r="C192" s="3"/>
      <c r="D192" s="3"/>
      <c r="E192" s="4">
        <f>E190+F190</f>
        <v>1529.5574999999999</v>
      </c>
      <c r="F192" s="4"/>
      <c r="G192" s="3"/>
      <c r="H192" s="3"/>
      <c r="I192" s="3"/>
      <c r="J192" s="3"/>
      <c r="K192" s="3"/>
    </row>
    <row r="193" spans="1:11" hidden="1">
      <c r="A193" s="3" t="s">
        <v>18</v>
      </c>
      <c r="B193" s="3"/>
      <c r="C193" s="3"/>
      <c r="D193" s="3"/>
      <c r="E193" s="4"/>
      <c r="F193" s="4"/>
      <c r="G193" s="3"/>
      <c r="H193" s="3"/>
      <c r="I193" s="3"/>
      <c r="J193" s="3"/>
      <c r="K193" s="3"/>
    </row>
    <row r="195" spans="1:11">
      <c r="A195" s="10">
        <v>44562</v>
      </c>
    </row>
    <row r="196" spans="1:11">
      <c r="A196" s="2" t="s">
        <v>1</v>
      </c>
      <c r="B196" s="2" t="s">
        <v>2</v>
      </c>
      <c r="C196" s="2" t="s">
        <v>3</v>
      </c>
      <c r="D196" s="2" t="s">
        <v>4</v>
      </c>
      <c r="E196" s="2" t="s">
        <v>5</v>
      </c>
      <c r="F196" s="2" t="s">
        <v>6</v>
      </c>
      <c r="G196" s="2" t="s">
        <v>7</v>
      </c>
      <c r="H196" s="2" t="s">
        <v>8</v>
      </c>
      <c r="I196" s="2" t="s">
        <v>9</v>
      </c>
      <c r="J196" s="2" t="s">
        <v>10</v>
      </c>
      <c r="K196" s="2" t="s">
        <v>11</v>
      </c>
    </row>
    <row r="197" spans="1:11">
      <c r="A197" s="3" t="s">
        <v>12</v>
      </c>
      <c r="B197" s="3"/>
      <c r="C197" s="3"/>
      <c r="D197" s="3">
        <f>C197-B197</f>
        <v>0</v>
      </c>
      <c r="E197" s="4">
        <f>8335.82*1.15</f>
        <v>9586.1929999999993</v>
      </c>
      <c r="F197" s="4">
        <f>(999.4+461.5)*1.15</f>
        <v>1680.0350000000001</v>
      </c>
      <c r="G197" s="3" t="s">
        <v>43</v>
      </c>
      <c r="H197" s="3">
        <v>31</v>
      </c>
      <c r="I197" s="3" t="s">
        <v>14</v>
      </c>
      <c r="J197" s="3"/>
      <c r="K197" s="4"/>
    </row>
    <row r="198" spans="1:11">
      <c r="A198" s="3" t="s">
        <v>15</v>
      </c>
      <c r="B198" s="3">
        <v>8414</v>
      </c>
      <c r="C198" s="3">
        <v>8675</v>
      </c>
      <c r="D198" s="3">
        <f>C198-B198</f>
        <v>261</v>
      </c>
      <c r="E198" s="4">
        <f>599.6*1.15</f>
        <v>689.54</v>
      </c>
      <c r="F198" s="4">
        <f>(499.7+230.75)*1.15</f>
        <v>840.01750000000004</v>
      </c>
      <c r="G198" s="3" t="s">
        <v>39</v>
      </c>
      <c r="H198" s="3">
        <v>31</v>
      </c>
      <c r="I198" s="3" t="s">
        <v>14</v>
      </c>
      <c r="J198" s="3"/>
      <c r="K198" s="4"/>
    </row>
    <row r="199" spans="1:11">
      <c r="A199" s="3" t="s">
        <v>16</v>
      </c>
      <c r="B199" s="3"/>
      <c r="C199" s="3"/>
      <c r="D199" s="3"/>
      <c r="E199" s="4">
        <f>E197+F197</f>
        <v>11266.227999999999</v>
      </c>
      <c r="F199" s="4"/>
      <c r="G199" s="3"/>
      <c r="H199" s="3"/>
      <c r="I199" s="3"/>
      <c r="J199" s="3"/>
      <c r="K199" s="3"/>
    </row>
    <row r="200" spans="1:11">
      <c r="A200" s="3" t="s">
        <v>17</v>
      </c>
      <c r="B200" s="3"/>
      <c r="C200" s="3"/>
      <c r="D200" s="3"/>
      <c r="E200" s="4">
        <f>E198+F198</f>
        <v>1529.5574999999999</v>
      </c>
      <c r="F200" s="4"/>
      <c r="G200" s="3"/>
      <c r="H200" s="3"/>
      <c r="I200" s="3"/>
      <c r="J200" s="3"/>
      <c r="K200" s="3"/>
    </row>
    <row r="201" spans="1:11">
      <c r="A201" s="3" t="s">
        <v>18</v>
      </c>
      <c r="B201" s="3"/>
      <c r="C201" s="3"/>
      <c r="D201" s="3"/>
      <c r="E201" s="4"/>
      <c r="F201" s="4"/>
      <c r="G201" s="3"/>
      <c r="H201" s="3"/>
      <c r="I201" s="3"/>
      <c r="J201" s="3"/>
      <c r="K201" s="3"/>
    </row>
    <row r="203" spans="1:11">
      <c r="A203" s="10">
        <v>44593</v>
      </c>
    </row>
    <row r="204" spans="1:11">
      <c r="A204" s="2" t="s">
        <v>1</v>
      </c>
      <c r="B204" s="2" t="s">
        <v>2</v>
      </c>
      <c r="C204" s="2" t="s">
        <v>3</v>
      </c>
      <c r="D204" s="2" t="s">
        <v>4</v>
      </c>
      <c r="E204" s="2" t="s">
        <v>5</v>
      </c>
      <c r="F204" s="2" t="s">
        <v>6</v>
      </c>
      <c r="G204" s="2" t="s">
        <v>7</v>
      </c>
      <c r="H204" s="2" t="s">
        <v>8</v>
      </c>
      <c r="I204" s="2" t="s">
        <v>9</v>
      </c>
      <c r="J204" s="2" t="s">
        <v>10</v>
      </c>
      <c r="K204" s="2" t="s">
        <v>11</v>
      </c>
    </row>
    <row r="205" spans="1:11">
      <c r="A205" s="3" t="s">
        <v>12</v>
      </c>
      <c r="B205" s="3"/>
      <c r="C205" s="3"/>
      <c r="D205" s="3">
        <f>C205-B205</f>
        <v>0</v>
      </c>
      <c r="E205" s="4">
        <f>8335.82*1.15</f>
        <v>9586.1929999999993</v>
      </c>
      <c r="F205" s="4">
        <f>(999.4+461.5)*1.15</f>
        <v>1680.0350000000001</v>
      </c>
      <c r="G205" s="3" t="s">
        <v>44</v>
      </c>
      <c r="H205" s="3">
        <v>28</v>
      </c>
      <c r="I205" s="3" t="s">
        <v>14</v>
      </c>
      <c r="J205" s="3"/>
      <c r="K205" s="4"/>
    </row>
    <row r="206" spans="1:11">
      <c r="A206" s="3" t="s">
        <v>15</v>
      </c>
      <c r="B206" s="3">
        <v>8414</v>
      </c>
      <c r="C206" s="3">
        <v>8675</v>
      </c>
      <c r="D206" s="3">
        <f>C206-B206</f>
        <v>261</v>
      </c>
      <c r="E206" s="4">
        <f>599.6*1.15</f>
        <v>689.54</v>
      </c>
      <c r="F206" s="4">
        <f>(499.7+230.75)*1.15</f>
        <v>840.01750000000004</v>
      </c>
      <c r="G206" s="3" t="s">
        <v>39</v>
      </c>
      <c r="H206" s="3">
        <v>31</v>
      </c>
      <c r="I206" s="3" t="s">
        <v>14</v>
      </c>
      <c r="J206" s="3"/>
      <c r="K206" s="4"/>
    </row>
    <row r="207" spans="1:11">
      <c r="A207" s="3" t="s">
        <v>16</v>
      </c>
      <c r="B207" s="3"/>
      <c r="C207" s="3"/>
      <c r="D207" s="3"/>
      <c r="E207" s="4">
        <f>E205+F205</f>
        <v>11266.227999999999</v>
      </c>
      <c r="F207" s="4"/>
      <c r="G207" s="3"/>
      <c r="H207" s="3"/>
      <c r="I207" s="3"/>
      <c r="J207" s="3"/>
      <c r="K207" s="3"/>
    </row>
    <row r="208" spans="1:11">
      <c r="A208" s="3" t="s">
        <v>17</v>
      </c>
      <c r="B208" s="3"/>
      <c r="C208" s="3"/>
      <c r="D208" s="3"/>
      <c r="E208" s="4">
        <f>E206+F206</f>
        <v>1529.5574999999999</v>
      </c>
      <c r="F208" s="4"/>
      <c r="G208" s="3"/>
      <c r="H208" s="3"/>
      <c r="I208" s="3"/>
      <c r="J208" s="3"/>
      <c r="K208" s="3"/>
    </row>
    <row r="209" spans="1:11">
      <c r="A209" s="3" t="s">
        <v>18</v>
      </c>
      <c r="B209" s="3"/>
      <c r="C209" s="3"/>
      <c r="D209" s="3"/>
      <c r="E209" s="4"/>
      <c r="F209" s="4"/>
      <c r="G209" s="3"/>
      <c r="H209" s="3"/>
      <c r="I209" s="3"/>
      <c r="J209" s="3"/>
      <c r="K209" s="3"/>
    </row>
    <row r="211" spans="1:11">
      <c r="A211" s="10">
        <v>44621</v>
      </c>
    </row>
    <row r="212" spans="1:11">
      <c r="A212" s="2" t="s">
        <v>1</v>
      </c>
      <c r="B212" s="2" t="s">
        <v>2</v>
      </c>
      <c r="C212" s="2" t="s">
        <v>3</v>
      </c>
      <c r="D212" s="2" t="s">
        <v>4</v>
      </c>
      <c r="E212" s="2" t="s">
        <v>5</v>
      </c>
      <c r="F212" s="2" t="s">
        <v>6</v>
      </c>
      <c r="G212" s="2" t="s">
        <v>7</v>
      </c>
      <c r="H212" s="2" t="s">
        <v>8</v>
      </c>
      <c r="I212" s="2" t="s">
        <v>9</v>
      </c>
      <c r="J212" s="2" t="s">
        <v>10</v>
      </c>
      <c r="K212" s="2" t="s">
        <v>11</v>
      </c>
    </row>
    <row r="213" spans="1:11">
      <c r="A213" s="3" t="s">
        <v>12</v>
      </c>
      <c r="B213" s="3"/>
      <c r="C213" s="3"/>
      <c r="D213" s="3">
        <f>C213-B213</f>
        <v>0</v>
      </c>
      <c r="E213" s="4">
        <f>8335.82*1.15</f>
        <v>9586.1929999999993</v>
      </c>
      <c r="F213" s="4">
        <f>(999.4+461.5)*1.15</f>
        <v>1680.0350000000001</v>
      </c>
      <c r="G213" s="3" t="s">
        <v>45</v>
      </c>
      <c r="H213" s="3">
        <v>31</v>
      </c>
      <c r="I213" s="3" t="s">
        <v>14</v>
      </c>
      <c r="J213" s="3"/>
      <c r="K213" s="4"/>
    </row>
    <row r="214" spans="1:11">
      <c r="A214" s="3" t="s">
        <v>15</v>
      </c>
      <c r="B214" s="3">
        <v>8414</v>
      </c>
      <c r="C214" s="3">
        <v>8675</v>
      </c>
      <c r="D214" s="3">
        <f>C214-B214</f>
        <v>261</v>
      </c>
      <c r="E214" s="4">
        <f>599.6*1.15</f>
        <v>689.54</v>
      </c>
      <c r="F214" s="4">
        <f>(499.7+230.75)*1.15</f>
        <v>840.01750000000004</v>
      </c>
      <c r="G214" s="3" t="s">
        <v>39</v>
      </c>
      <c r="H214" s="3">
        <v>31</v>
      </c>
      <c r="I214" s="3" t="s">
        <v>14</v>
      </c>
      <c r="J214" s="3"/>
      <c r="K214" s="4"/>
    </row>
    <row r="215" spans="1:11">
      <c r="A215" s="3" t="s">
        <v>16</v>
      </c>
      <c r="B215" s="3"/>
      <c r="C215" s="3"/>
      <c r="D215" s="3"/>
      <c r="E215" s="4">
        <f>E213+F213</f>
        <v>11266.227999999999</v>
      </c>
      <c r="F215" s="4"/>
      <c r="G215" s="3"/>
      <c r="H215" s="3"/>
      <c r="I215" s="3"/>
      <c r="J215" s="3"/>
      <c r="K215" s="3"/>
    </row>
    <row r="216" spans="1:11">
      <c r="A216" s="3" t="s">
        <v>17</v>
      </c>
      <c r="B216" s="3"/>
      <c r="C216" s="3"/>
      <c r="D216" s="3"/>
      <c r="E216" s="4">
        <f>E214+F214</f>
        <v>1529.5574999999999</v>
      </c>
      <c r="F216" s="4"/>
      <c r="G216" s="3"/>
      <c r="H216" s="3"/>
      <c r="I216" s="3"/>
      <c r="J216" s="3"/>
      <c r="K216" s="3"/>
    </row>
    <row r="217" spans="1:11">
      <c r="A217" s="3" t="s">
        <v>18</v>
      </c>
      <c r="B217" s="3"/>
      <c r="C217" s="3"/>
      <c r="D217" s="3"/>
      <c r="E217" s="4"/>
      <c r="F217" s="4"/>
      <c r="G217" s="3"/>
      <c r="H217" s="3"/>
      <c r="I217" s="3"/>
      <c r="J217" s="3"/>
      <c r="K217" s="3"/>
    </row>
    <row r="219" spans="1:11">
      <c r="A219" s="10">
        <v>44652</v>
      </c>
    </row>
    <row r="220" spans="1:11">
      <c r="A220" s="2" t="s">
        <v>1</v>
      </c>
      <c r="B220" s="2" t="s">
        <v>2</v>
      </c>
      <c r="C220" s="2" t="s">
        <v>3</v>
      </c>
      <c r="D220" s="2" t="s">
        <v>4</v>
      </c>
      <c r="E220" s="2" t="s">
        <v>5</v>
      </c>
      <c r="F220" s="2" t="s">
        <v>6</v>
      </c>
      <c r="G220" s="2" t="s">
        <v>7</v>
      </c>
      <c r="H220" s="2" t="s">
        <v>8</v>
      </c>
      <c r="I220" s="2" t="s">
        <v>9</v>
      </c>
      <c r="J220" s="2" t="s">
        <v>10</v>
      </c>
      <c r="K220" s="2" t="s">
        <v>11</v>
      </c>
    </row>
    <row r="221" spans="1:11">
      <c r="A221" s="3" t="s">
        <v>12</v>
      </c>
      <c r="B221" s="3"/>
      <c r="C221" s="3"/>
      <c r="D221" s="3">
        <f>C221-B221</f>
        <v>0</v>
      </c>
      <c r="E221" s="4">
        <f>8335.82*1.15</f>
        <v>9586.1929999999993</v>
      </c>
      <c r="F221" s="4">
        <f>(999.4+461.5)*1.15</f>
        <v>1680.0350000000001</v>
      </c>
      <c r="G221" s="3" t="s">
        <v>46</v>
      </c>
      <c r="H221" s="3">
        <v>30</v>
      </c>
      <c r="I221" s="3" t="s">
        <v>14</v>
      </c>
      <c r="J221" s="3"/>
      <c r="K221" s="4"/>
    </row>
    <row r="222" spans="1:11">
      <c r="A222" s="3" t="s">
        <v>15</v>
      </c>
      <c r="B222" s="3"/>
      <c r="C222" s="3"/>
      <c r="D222" s="3">
        <v>60</v>
      </c>
      <c r="E222" s="4">
        <f>(899.4*2)*1.15</f>
        <v>2068.62</v>
      </c>
      <c r="F222" s="4">
        <f>(499.7+499.7+230.75+230.75)*1.15</f>
        <v>1680.0350000000001</v>
      </c>
      <c r="G222" s="3" t="s">
        <v>46</v>
      </c>
      <c r="H222" s="3">
        <v>30</v>
      </c>
      <c r="I222" s="3" t="s">
        <v>14</v>
      </c>
      <c r="J222" s="3"/>
      <c r="K222" s="4"/>
    </row>
    <row r="223" spans="1:11">
      <c r="A223" s="3" t="s">
        <v>16</v>
      </c>
      <c r="B223" s="3"/>
      <c r="C223" s="3"/>
      <c r="D223" s="3"/>
      <c r="E223" s="4">
        <f>E221+F221</f>
        <v>11266.227999999999</v>
      </c>
      <c r="F223" s="4"/>
      <c r="G223" s="3"/>
      <c r="H223" s="3"/>
      <c r="I223" s="3"/>
      <c r="J223" s="3"/>
      <c r="K223" s="3"/>
    </row>
    <row r="224" spans="1:11">
      <c r="A224" s="3" t="s">
        <v>17</v>
      </c>
      <c r="B224" s="3"/>
      <c r="C224" s="3"/>
      <c r="D224" s="3"/>
      <c r="E224" s="4">
        <f>E222+F222</f>
        <v>3748.6549999999997</v>
      </c>
      <c r="F224" s="4"/>
      <c r="G224" s="3"/>
      <c r="H224" s="3"/>
      <c r="I224" s="3"/>
      <c r="J224" s="3"/>
      <c r="K224" s="3"/>
    </row>
    <row r="225" spans="1:11">
      <c r="A225" s="3" t="s">
        <v>18</v>
      </c>
      <c r="B225" s="3"/>
      <c r="C225" s="3"/>
      <c r="D225" s="3"/>
      <c r="E225" s="4"/>
      <c r="F225" s="4"/>
      <c r="G225" s="3"/>
      <c r="H225" s="3"/>
      <c r="I225" s="3"/>
      <c r="J225" s="3"/>
      <c r="K225" s="3"/>
    </row>
    <row r="227" spans="1:11">
      <c r="A227" s="10">
        <v>44682</v>
      </c>
    </row>
    <row r="228" spans="1:11">
      <c r="A228" s="2" t="s">
        <v>1</v>
      </c>
      <c r="B228" s="2" t="s">
        <v>2</v>
      </c>
      <c r="C228" s="2" t="s">
        <v>3</v>
      </c>
      <c r="D228" s="2" t="s">
        <v>4</v>
      </c>
      <c r="E228" s="2" t="s">
        <v>5</v>
      </c>
      <c r="F228" s="2" t="s">
        <v>6</v>
      </c>
      <c r="G228" s="2" t="s">
        <v>7</v>
      </c>
      <c r="H228" s="2" t="s">
        <v>8</v>
      </c>
      <c r="I228" s="2" t="s">
        <v>9</v>
      </c>
      <c r="J228" s="2" t="s">
        <v>10</v>
      </c>
      <c r="K228" s="2" t="s">
        <v>11</v>
      </c>
    </row>
    <row r="229" spans="1:11">
      <c r="A229" s="3" t="s">
        <v>12</v>
      </c>
      <c r="B229" s="3"/>
      <c r="C229" s="3"/>
      <c r="D229" s="3">
        <f>C229-B229</f>
        <v>0</v>
      </c>
      <c r="E229" s="4">
        <f>3259.7*1.15</f>
        <v>3748.6549999999993</v>
      </c>
      <c r="F229" s="4">
        <v>0</v>
      </c>
      <c r="G229" s="3" t="s">
        <v>47</v>
      </c>
      <c r="H229" s="3">
        <v>31</v>
      </c>
      <c r="I229" s="3" t="s">
        <v>14</v>
      </c>
      <c r="J229" s="3"/>
      <c r="K229" s="4"/>
    </row>
    <row r="230" spans="1:11">
      <c r="A230" s="3" t="s">
        <v>15</v>
      </c>
      <c r="B230" s="3"/>
      <c r="C230" s="3"/>
      <c r="D230" s="3">
        <v>60</v>
      </c>
      <c r="E230" s="4">
        <f>(899.4*2)*1.15</f>
        <v>2068.62</v>
      </c>
      <c r="F230" s="4">
        <f>(499.7+499.7+230.75+230.75)*1.15</f>
        <v>1680.0350000000001</v>
      </c>
      <c r="G230" s="3" t="s">
        <v>46</v>
      </c>
      <c r="H230" s="3">
        <v>30</v>
      </c>
      <c r="I230" s="3" t="s">
        <v>14</v>
      </c>
      <c r="J230" s="3"/>
      <c r="K230" s="4"/>
    </row>
    <row r="231" spans="1:11">
      <c r="A231" s="3" t="s">
        <v>16</v>
      </c>
      <c r="B231" s="3"/>
      <c r="C231" s="3"/>
      <c r="D231" s="3"/>
      <c r="E231" s="4">
        <f>E229+F229</f>
        <v>3748.6549999999993</v>
      </c>
      <c r="F231" s="4"/>
      <c r="G231" s="3"/>
      <c r="H231" s="3"/>
      <c r="I231" s="3"/>
      <c r="J231" s="3"/>
      <c r="K231" s="3"/>
    </row>
    <row r="232" spans="1:11">
      <c r="A232" s="3" t="s">
        <v>17</v>
      </c>
      <c r="B232" s="3"/>
      <c r="C232" s="3"/>
      <c r="D232" s="3"/>
      <c r="E232" s="4">
        <f>E230+F230</f>
        <v>3748.6549999999997</v>
      </c>
      <c r="F232" s="4"/>
      <c r="G232" s="3"/>
      <c r="H232" s="3"/>
      <c r="I232" s="3"/>
      <c r="J232" s="3"/>
      <c r="K232" s="3"/>
    </row>
    <row r="233" spans="1:11">
      <c r="A233" s="3" t="s">
        <v>18</v>
      </c>
      <c r="B233" s="3"/>
      <c r="C233" s="3"/>
      <c r="D233" s="3"/>
      <c r="E233" s="4"/>
      <c r="F233" s="4"/>
      <c r="G233" s="3"/>
      <c r="H233" s="3"/>
      <c r="I233" s="3"/>
      <c r="J233" s="3"/>
      <c r="K233" s="3"/>
    </row>
    <row r="235" spans="1:11">
      <c r="A235" s="10">
        <v>44713</v>
      </c>
    </row>
    <row r="236" spans="1:11">
      <c r="A236" s="2" t="s">
        <v>1</v>
      </c>
      <c r="B236" s="2" t="s">
        <v>2</v>
      </c>
      <c r="C236" s="2" t="s">
        <v>3</v>
      </c>
      <c r="D236" s="2" t="s">
        <v>4</v>
      </c>
      <c r="E236" s="2" t="s">
        <v>5</v>
      </c>
      <c r="F236" s="2" t="s">
        <v>6</v>
      </c>
      <c r="G236" s="2" t="s">
        <v>7</v>
      </c>
      <c r="H236" s="2" t="s">
        <v>8</v>
      </c>
      <c r="I236" s="2" t="s">
        <v>9</v>
      </c>
      <c r="J236" s="2" t="s">
        <v>10</v>
      </c>
      <c r="K236" s="2" t="s">
        <v>11</v>
      </c>
    </row>
    <row r="237" spans="1:11">
      <c r="A237" s="3" t="s">
        <v>12</v>
      </c>
      <c r="B237" s="3"/>
      <c r="C237" s="3"/>
      <c r="D237" s="3">
        <f>C237-B237</f>
        <v>0</v>
      </c>
      <c r="E237" s="4">
        <f>3259.7*1.15</f>
        <v>3748.6549999999993</v>
      </c>
      <c r="F237" s="4">
        <v>0</v>
      </c>
      <c r="G237" s="3" t="s">
        <v>48</v>
      </c>
      <c r="H237" s="3">
        <v>30</v>
      </c>
      <c r="I237" s="3" t="s">
        <v>14</v>
      </c>
      <c r="J237" s="3"/>
      <c r="K237" s="4"/>
    </row>
    <row r="238" spans="1:11">
      <c r="A238" s="3" t="s">
        <v>15</v>
      </c>
      <c r="B238" s="3"/>
      <c r="C238" s="3"/>
      <c r="D238" s="3">
        <v>60</v>
      </c>
      <c r="E238" s="4">
        <f>(899.4*2)*1.15</f>
        <v>2068.62</v>
      </c>
      <c r="F238" s="4">
        <f>(499.7+499.7+230.75+230.75)*1.15</f>
        <v>1680.0350000000001</v>
      </c>
      <c r="G238" s="3" t="s">
        <v>46</v>
      </c>
      <c r="H238" s="3">
        <v>30</v>
      </c>
      <c r="I238" s="3" t="s">
        <v>14</v>
      </c>
      <c r="J238" s="3"/>
      <c r="K238" s="4"/>
    </row>
    <row r="239" spans="1:11">
      <c r="A239" s="3" t="s">
        <v>16</v>
      </c>
      <c r="B239" s="3"/>
      <c r="C239" s="3"/>
      <c r="D239" s="3"/>
      <c r="E239" s="4">
        <f>E237+F237</f>
        <v>3748.6549999999993</v>
      </c>
      <c r="F239" s="4"/>
      <c r="G239" s="3"/>
      <c r="H239" s="3"/>
      <c r="I239" s="3"/>
      <c r="J239" s="3"/>
      <c r="K239" s="3"/>
    </row>
    <row r="240" spans="1:11">
      <c r="A240" s="3" t="s">
        <v>17</v>
      </c>
      <c r="B240" s="3"/>
      <c r="C240" s="3"/>
      <c r="D240" s="3"/>
      <c r="E240" s="4">
        <f>E238+F238</f>
        <v>3748.6549999999997</v>
      </c>
      <c r="F240" s="4"/>
      <c r="G240" s="3"/>
      <c r="H240" s="3"/>
      <c r="I240" s="3"/>
      <c r="J240" s="3"/>
      <c r="K240" s="3"/>
    </row>
    <row r="241" spans="1:11">
      <c r="A241" s="3" t="s">
        <v>18</v>
      </c>
      <c r="B241" s="3"/>
      <c r="C241" s="3"/>
      <c r="D241" s="3"/>
      <c r="E241" s="4"/>
      <c r="F241" s="4"/>
      <c r="G241" s="3"/>
      <c r="H241" s="3"/>
      <c r="I241" s="3"/>
      <c r="J241" s="3"/>
      <c r="K241" s="3"/>
    </row>
    <row r="243" spans="1:11">
      <c r="A243" s="10">
        <v>44743</v>
      </c>
    </row>
    <row r="244" spans="1:11">
      <c r="A244" s="2" t="s">
        <v>1</v>
      </c>
      <c r="B244" s="2" t="s">
        <v>2</v>
      </c>
      <c r="C244" s="2" t="s">
        <v>3</v>
      </c>
      <c r="D244" s="2" t="s">
        <v>4</v>
      </c>
      <c r="E244" s="2" t="s">
        <v>5</v>
      </c>
      <c r="F244" s="2" t="s">
        <v>6</v>
      </c>
      <c r="G244" s="2" t="s">
        <v>7</v>
      </c>
      <c r="H244" s="2" t="s">
        <v>8</v>
      </c>
      <c r="I244" s="2" t="s">
        <v>9</v>
      </c>
      <c r="J244" s="2" t="s">
        <v>10</v>
      </c>
      <c r="K244" s="2" t="s">
        <v>11</v>
      </c>
    </row>
    <row r="245" spans="1:11">
      <c r="A245" s="3" t="s">
        <v>12</v>
      </c>
      <c r="B245" s="3"/>
      <c r="C245" s="3"/>
      <c r="D245" s="3">
        <f>C245-B245</f>
        <v>0</v>
      </c>
      <c r="E245" s="4">
        <f>3259.7*1.15</f>
        <v>3748.6549999999993</v>
      </c>
      <c r="F245" s="4">
        <v>0</v>
      </c>
      <c r="G245" s="3" t="s">
        <v>49</v>
      </c>
      <c r="H245" s="3">
        <v>31</v>
      </c>
      <c r="I245" s="3" t="s">
        <v>14</v>
      </c>
      <c r="J245" s="3"/>
      <c r="K245" s="4"/>
    </row>
    <row r="246" spans="1:11">
      <c r="A246" s="3" t="s">
        <v>15</v>
      </c>
      <c r="B246" s="3"/>
      <c r="C246" s="3"/>
      <c r="D246" s="3">
        <v>60</v>
      </c>
      <c r="E246" s="4">
        <f>(899.4*2)*1.15</f>
        <v>2068.62</v>
      </c>
      <c r="F246" s="4">
        <f>(499.7+499.7+230.75+230.75)*1.15</f>
        <v>1680.0350000000001</v>
      </c>
      <c r="G246" s="3" t="s">
        <v>46</v>
      </c>
      <c r="H246" s="3">
        <v>30</v>
      </c>
      <c r="I246" s="3" t="s">
        <v>14</v>
      </c>
      <c r="J246" s="3"/>
      <c r="K246" s="4"/>
    </row>
    <row r="247" spans="1:11">
      <c r="A247" s="3" t="s">
        <v>16</v>
      </c>
      <c r="B247" s="3"/>
      <c r="C247" s="3"/>
      <c r="D247" s="3"/>
      <c r="E247" s="4">
        <f>E245+F245</f>
        <v>3748.6549999999993</v>
      </c>
      <c r="F247" s="4"/>
      <c r="G247" s="3"/>
      <c r="H247" s="3"/>
      <c r="I247" s="3"/>
      <c r="J247" s="3"/>
      <c r="K247" s="3"/>
    </row>
    <row r="248" spans="1:11">
      <c r="A248" s="3" t="s">
        <v>17</v>
      </c>
      <c r="B248" s="3"/>
      <c r="C248" s="3"/>
      <c r="D248" s="3"/>
      <c r="E248" s="4">
        <f>E246+F246</f>
        <v>3748.6549999999997</v>
      </c>
      <c r="F248" s="4"/>
      <c r="G248" s="3"/>
      <c r="H248" s="3"/>
      <c r="I248" s="3"/>
      <c r="J248" s="3"/>
      <c r="K248" s="3"/>
    </row>
    <row r="249" spans="1:11">
      <c r="A249" s="3" t="s">
        <v>18</v>
      </c>
      <c r="B249" s="3"/>
      <c r="C249" s="3"/>
      <c r="D249" s="3"/>
      <c r="E249" s="4"/>
      <c r="F249" s="4"/>
      <c r="G249" s="3"/>
      <c r="H249" s="3"/>
      <c r="I249" s="3"/>
      <c r="J249" s="3"/>
      <c r="K249" s="3"/>
    </row>
    <row r="251" spans="1:11">
      <c r="A251" s="10">
        <v>44774</v>
      </c>
    </row>
    <row r="252" spans="1:11">
      <c r="A252" s="2" t="s">
        <v>1</v>
      </c>
      <c r="B252" s="2" t="s">
        <v>2</v>
      </c>
      <c r="C252" s="2" t="s">
        <v>3</v>
      </c>
      <c r="D252" s="2" t="s">
        <v>4</v>
      </c>
      <c r="E252" s="2" t="s">
        <v>5</v>
      </c>
      <c r="F252" s="2" t="s">
        <v>6</v>
      </c>
      <c r="G252" s="2" t="s">
        <v>7</v>
      </c>
      <c r="H252" s="2" t="s">
        <v>8</v>
      </c>
      <c r="I252" s="2" t="s">
        <v>9</v>
      </c>
      <c r="J252" s="2" t="s">
        <v>10</v>
      </c>
      <c r="K252" s="2" t="s">
        <v>11</v>
      </c>
    </row>
    <row r="253" spans="1:11">
      <c r="A253" s="3" t="s">
        <v>12</v>
      </c>
      <c r="B253" s="3"/>
      <c r="C253" s="3"/>
      <c r="D253" s="3">
        <f>C253-B253</f>
        <v>0</v>
      </c>
      <c r="E253" s="4">
        <f>3259.7*1.15</f>
        <v>3748.6549999999993</v>
      </c>
      <c r="F253" s="4">
        <v>0</v>
      </c>
      <c r="G253" s="3" t="s">
        <v>50</v>
      </c>
      <c r="H253" s="3">
        <v>31</v>
      </c>
      <c r="I253" s="3" t="s">
        <v>14</v>
      </c>
      <c r="J253" s="3"/>
      <c r="K253" s="4"/>
    </row>
    <row r="254" spans="1:11">
      <c r="A254" s="3" t="s">
        <v>15</v>
      </c>
      <c r="B254" s="3"/>
      <c r="C254" s="3"/>
      <c r="D254" s="3">
        <v>60</v>
      </c>
      <c r="E254" s="4">
        <f>(899.4*2)*1.15</f>
        <v>2068.62</v>
      </c>
      <c r="F254" s="4">
        <f>(499.7+499.7+230.75+230.75)*1.15</f>
        <v>1680.0350000000001</v>
      </c>
      <c r="G254" s="3" t="s">
        <v>46</v>
      </c>
      <c r="H254" s="3">
        <v>30</v>
      </c>
      <c r="I254" s="3" t="s">
        <v>14</v>
      </c>
      <c r="J254" s="3"/>
      <c r="K254" s="4"/>
    </row>
    <row r="255" spans="1:11">
      <c r="A255" s="3" t="s">
        <v>16</v>
      </c>
      <c r="B255" s="3"/>
      <c r="C255" s="3"/>
      <c r="D255" s="3"/>
      <c r="E255" s="4">
        <f>E253+F253</f>
        <v>3748.6549999999993</v>
      </c>
      <c r="F255" s="4"/>
      <c r="G255" s="3"/>
      <c r="H255" s="3"/>
      <c r="I255" s="3"/>
      <c r="J255" s="3"/>
      <c r="K255" s="3"/>
    </row>
    <row r="256" spans="1:11">
      <c r="A256" s="3" t="s">
        <v>17</v>
      </c>
      <c r="B256" s="3"/>
      <c r="C256" s="3"/>
      <c r="D256" s="3"/>
      <c r="E256" s="4">
        <f>E254+F254</f>
        <v>3748.6549999999997</v>
      </c>
      <c r="F256" s="4"/>
      <c r="G256" s="3"/>
      <c r="H256" s="3"/>
      <c r="I256" s="3"/>
      <c r="J256" s="3"/>
      <c r="K256" s="3"/>
    </row>
    <row r="257" spans="1:11">
      <c r="A257" s="3" t="s">
        <v>18</v>
      </c>
      <c r="B257" s="3"/>
      <c r="C257" s="3"/>
      <c r="D257" s="3"/>
      <c r="E257" s="4"/>
      <c r="F257" s="4"/>
      <c r="G257" s="3"/>
      <c r="H257" s="3"/>
      <c r="I257" s="3"/>
      <c r="J257" s="3"/>
      <c r="K257" s="3"/>
    </row>
    <row r="259" spans="1:11">
      <c r="A259" s="10">
        <v>44805</v>
      </c>
    </row>
    <row r="260" spans="1:11">
      <c r="A260" s="2" t="s">
        <v>1</v>
      </c>
      <c r="B260" s="2" t="s">
        <v>2</v>
      </c>
      <c r="C260" s="2" t="s">
        <v>3</v>
      </c>
      <c r="D260" s="2" t="s">
        <v>4</v>
      </c>
      <c r="E260" s="2" t="s">
        <v>5</v>
      </c>
      <c r="F260" s="2" t="s">
        <v>6</v>
      </c>
      <c r="G260" s="2" t="s">
        <v>7</v>
      </c>
      <c r="H260" s="2" t="s">
        <v>8</v>
      </c>
      <c r="I260" s="2" t="s">
        <v>9</v>
      </c>
      <c r="J260" s="2" t="s">
        <v>10</v>
      </c>
      <c r="K260" s="2" t="s">
        <v>11</v>
      </c>
    </row>
    <row r="261" spans="1:11">
      <c r="A261" s="3" t="s">
        <v>12</v>
      </c>
      <c r="B261" s="3"/>
      <c r="C261" s="3"/>
      <c r="D261" s="3">
        <f>C261-B261</f>
        <v>0</v>
      </c>
      <c r="E261" s="4">
        <f>3259.7*1.15</f>
        <v>3748.6549999999993</v>
      </c>
      <c r="F261" s="4">
        <v>0</v>
      </c>
      <c r="G261" s="3" t="s">
        <v>51</v>
      </c>
      <c r="H261" s="3">
        <v>30</v>
      </c>
      <c r="I261" s="3" t="s">
        <v>14</v>
      </c>
      <c r="J261" s="3"/>
      <c r="K261" s="4"/>
    </row>
    <row r="262" spans="1:11">
      <c r="A262" s="3" t="s">
        <v>15</v>
      </c>
      <c r="B262" s="3"/>
      <c r="C262" s="3"/>
      <c r="D262" s="3">
        <v>60</v>
      </c>
      <c r="E262" s="4">
        <f>(899.4*2)*1.15</f>
        <v>2068.62</v>
      </c>
      <c r="F262" s="4">
        <f>(499.7+499.7+230.75+230.75)*1.15</f>
        <v>1680.0350000000001</v>
      </c>
      <c r="G262" s="3" t="s">
        <v>46</v>
      </c>
      <c r="H262" s="3">
        <v>30</v>
      </c>
      <c r="I262" s="3" t="s">
        <v>14</v>
      </c>
      <c r="J262" s="3"/>
      <c r="K262" s="4"/>
    </row>
    <row r="263" spans="1:11">
      <c r="A263" s="3" t="s">
        <v>16</v>
      </c>
      <c r="B263" s="3"/>
      <c r="C263" s="3"/>
      <c r="D263" s="3"/>
      <c r="E263" s="4">
        <f>E261+F261</f>
        <v>3748.6549999999993</v>
      </c>
      <c r="F263" s="4"/>
      <c r="G263" s="3"/>
      <c r="H263" s="3"/>
      <c r="I263" s="3"/>
      <c r="J263" s="3"/>
      <c r="K263" s="3"/>
    </row>
    <row r="264" spans="1:11">
      <c r="A264" s="3" t="s">
        <v>17</v>
      </c>
      <c r="B264" s="3"/>
      <c r="C264" s="3"/>
      <c r="D264" s="3"/>
      <c r="E264" s="4">
        <f>E262+F262</f>
        <v>3748.6549999999997</v>
      </c>
      <c r="F264" s="4"/>
      <c r="G264" s="3"/>
      <c r="H264" s="3"/>
      <c r="I264" s="3"/>
      <c r="J264" s="3"/>
      <c r="K264" s="3"/>
    </row>
    <row r="265" spans="1:11">
      <c r="A265" s="3" t="s">
        <v>18</v>
      </c>
      <c r="B265" s="3"/>
      <c r="C265" s="3"/>
      <c r="D265" s="3"/>
      <c r="E265" s="4"/>
      <c r="F265" s="4"/>
      <c r="G265" s="3"/>
      <c r="H265" s="3"/>
      <c r="I265" s="3"/>
      <c r="J265" s="3"/>
      <c r="K265" s="3"/>
    </row>
    <row r="267" spans="1:11">
      <c r="A267" s="10">
        <v>44835</v>
      </c>
    </row>
    <row r="268" spans="1:11">
      <c r="A268" s="2" t="s">
        <v>1</v>
      </c>
      <c r="B268" s="2" t="s">
        <v>2</v>
      </c>
      <c r="C268" s="2" t="s">
        <v>3</v>
      </c>
      <c r="D268" s="2" t="s">
        <v>4</v>
      </c>
      <c r="E268" s="2" t="s">
        <v>5</v>
      </c>
      <c r="F268" s="2" t="s">
        <v>6</v>
      </c>
      <c r="G268" s="2" t="s">
        <v>7</v>
      </c>
      <c r="H268" s="2" t="s">
        <v>8</v>
      </c>
      <c r="I268" s="2" t="s">
        <v>9</v>
      </c>
      <c r="J268" s="2" t="s">
        <v>10</v>
      </c>
      <c r="K268" s="2" t="s">
        <v>11</v>
      </c>
    </row>
    <row r="269" spans="1:11">
      <c r="A269" s="3" t="s">
        <v>12</v>
      </c>
      <c r="B269" s="3"/>
      <c r="C269" s="3"/>
      <c r="D269" s="3">
        <f>C269-B269</f>
        <v>0</v>
      </c>
      <c r="E269" s="4">
        <f>3259.7*1.15</f>
        <v>3748.6549999999993</v>
      </c>
      <c r="F269" s="4">
        <v>0</v>
      </c>
      <c r="G269" s="3" t="s">
        <v>52</v>
      </c>
      <c r="H269" s="3">
        <v>31</v>
      </c>
      <c r="I269" s="3" t="s">
        <v>14</v>
      </c>
      <c r="J269" s="3"/>
      <c r="K269" s="4"/>
    </row>
    <row r="270" spans="1:11">
      <c r="A270" s="3" t="s">
        <v>15</v>
      </c>
      <c r="B270" s="3"/>
      <c r="C270" s="3"/>
      <c r="D270" s="3">
        <v>60</v>
      </c>
      <c r="E270" s="4">
        <f>(899.4*2)*1.15</f>
        <v>2068.62</v>
      </c>
      <c r="F270" s="4">
        <f>(499.7+499.7+230.75+230.75)*1.15</f>
        <v>1680.0350000000001</v>
      </c>
      <c r="G270" s="3" t="s">
        <v>46</v>
      </c>
      <c r="H270" s="3">
        <v>30</v>
      </c>
      <c r="I270" s="3" t="s">
        <v>14</v>
      </c>
      <c r="J270" s="3"/>
      <c r="K270" s="4"/>
    </row>
    <row r="271" spans="1:11">
      <c r="A271" s="3" t="s">
        <v>16</v>
      </c>
      <c r="B271" s="3"/>
      <c r="C271" s="3"/>
      <c r="D271" s="3"/>
      <c r="E271" s="4">
        <f>E269+F269</f>
        <v>3748.6549999999993</v>
      </c>
      <c r="F271" s="4"/>
      <c r="G271" s="3"/>
      <c r="H271" s="3"/>
      <c r="I271" s="3"/>
      <c r="J271" s="3"/>
      <c r="K271" s="3"/>
    </row>
    <row r="272" spans="1:11">
      <c r="A272" s="3" t="s">
        <v>17</v>
      </c>
      <c r="B272" s="3"/>
      <c r="C272" s="3"/>
      <c r="D272" s="3"/>
      <c r="E272" s="4">
        <f>E270+F270</f>
        <v>3748.6549999999997</v>
      </c>
      <c r="F272" s="4"/>
      <c r="G272" s="3"/>
      <c r="H272" s="3"/>
      <c r="I272" s="3"/>
      <c r="J272" s="3"/>
      <c r="K272" s="3"/>
    </row>
    <row r="273" spans="1:11">
      <c r="A273" s="3" t="s">
        <v>18</v>
      </c>
      <c r="B273" s="3"/>
      <c r="C273" s="3"/>
      <c r="D273" s="3"/>
      <c r="E273" s="4"/>
      <c r="F273" s="4"/>
      <c r="G273" s="3"/>
      <c r="H273" s="3"/>
      <c r="I273" s="3"/>
      <c r="J273" s="3"/>
      <c r="K273" s="3"/>
    </row>
    <row r="275" spans="1:11">
      <c r="A275" s="10">
        <v>44866</v>
      </c>
    </row>
    <row r="276" spans="1:11">
      <c r="A276" s="2" t="s">
        <v>1</v>
      </c>
      <c r="B276" s="2" t="s">
        <v>2</v>
      </c>
      <c r="C276" s="2" t="s">
        <v>3</v>
      </c>
      <c r="D276" s="2" t="s">
        <v>4</v>
      </c>
      <c r="E276" s="2" t="s">
        <v>5</v>
      </c>
      <c r="F276" s="2" t="s">
        <v>6</v>
      </c>
      <c r="G276" s="2" t="s">
        <v>7</v>
      </c>
      <c r="H276" s="2" t="s">
        <v>8</v>
      </c>
      <c r="I276" s="2" t="s">
        <v>9</v>
      </c>
      <c r="J276" s="2" t="s">
        <v>10</v>
      </c>
      <c r="K276" s="2" t="s">
        <v>11</v>
      </c>
    </row>
    <row r="277" spans="1:11">
      <c r="A277" s="3" t="s">
        <v>12</v>
      </c>
      <c r="B277" s="3"/>
      <c r="C277" s="3"/>
      <c r="D277" s="3">
        <f>C277-B277</f>
        <v>0</v>
      </c>
      <c r="E277" s="4">
        <f>3259.7*1.15</f>
        <v>3748.6549999999993</v>
      </c>
      <c r="F277" s="4">
        <v>0</v>
      </c>
      <c r="G277" s="3" t="s">
        <v>53</v>
      </c>
      <c r="H277" s="3">
        <v>30</v>
      </c>
      <c r="I277" s="3" t="s">
        <v>14</v>
      </c>
      <c r="J277" s="3"/>
      <c r="K277" s="4"/>
    </row>
    <row r="278" spans="1:11">
      <c r="A278" s="3" t="s">
        <v>15</v>
      </c>
      <c r="B278" s="3"/>
      <c r="C278" s="3"/>
      <c r="D278" s="3">
        <v>60</v>
      </c>
      <c r="E278" s="4">
        <f>(899.4*2)*1.15</f>
        <v>2068.62</v>
      </c>
      <c r="F278" s="4">
        <f>(499.7+499.7+230.75+230.75)*1.15</f>
        <v>1680.0350000000001</v>
      </c>
      <c r="G278" s="3" t="s">
        <v>46</v>
      </c>
      <c r="H278" s="3">
        <v>30</v>
      </c>
      <c r="I278" s="3" t="s">
        <v>14</v>
      </c>
      <c r="J278" s="3"/>
      <c r="K278" s="4"/>
    </row>
    <row r="279" spans="1:11">
      <c r="A279" s="3" t="s">
        <v>16</v>
      </c>
      <c r="B279" s="3"/>
      <c r="C279" s="3"/>
      <c r="D279" s="3"/>
      <c r="E279" s="4">
        <f>E277+F277</f>
        <v>3748.6549999999993</v>
      </c>
      <c r="F279" s="4"/>
      <c r="G279" s="3"/>
      <c r="H279" s="3"/>
      <c r="I279" s="3"/>
      <c r="J279" s="3"/>
      <c r="K279" s="3"/>
    </row>
    <row r="280" spans="1:11">
      <c r="A280" s="3" t="s">
        <v>17</v>
      </c>
      <c r="B280" s="3"/>
      <c r="C280" s="3"/>
      <c r="D280" s="3"/>
      <c r="E280" s="4">
        <f>E278+F278</f>
        <v>3748.6549999999997</v>
      </c>
      <c r="F280" s="4"/>
      <c r="G280" s="3"/>
      <c r="H280" s="3"/>
      <c r="I280" s="3"/>
      <c r="J280" s="3"/>
      <c r="K280" s="3"/>
    </row>
    <row r="281" spans="1:11">
      <c r="A281" s="3" t="s">
        <v>18</v>
      </c>
      <c r="B281" s="3"/>
      <c r="C281" s="3"/>
      <c r="D281" s="3"/>
      <c r="E281" s="4"/>
      <c r="F281" s="4"/>
      <c r="G281" s="3"/>
      <c r="H281" s="3"/>
      <c r="I281" s="3"/>
      <c r="J281" s="3"/>
      <c r="K281" s="3"/>
    </row>
    <row r="283" spans="1:11">
      <c r="A283" s="10">
        <v>44896</v>
      </c>
    </row>
    <row r="284" spans="1:11">
      <c r="A284" s="2" t="s">
        <v>1</v>
      </c>
      <c r="B284" s="2" t="s">
        <v>2</v>
      </c>
      <c r="C284" s="2" t="s">
        <v>3</v>
      </c>
      <c r="D284" s="2" t="s">
        <v>4</v>
      </c>
      <c r="E284" s="2" t="s">
        <v>5</v>
      </c>
      <c r="F284" s="2" t="s">
        <v>6</v>
      </c>
      <c r="G284" s="2" t="s">
        <v>7</v>
      </c>
      <c r="H284" s="2" t="s">
        <v>8</v>
      </c>
      <c r="I284" s="2" t="s">
        <v>9</v>
      </c>
      <c r="J284" s="2" t="s">
        <v>10</v>
      </c>
      <c r="K284" s="2" t="s">
        <v>11</v>
      </c>
    </row>
    <row r="285" spans="1:11">
      <c r="A285" s="3" t="s">
        <v>12</v>
      </c>
      <c r="B285" s="3"/>
      <c r="C285" s="3"/>
      <c r="D285" s="3">
        <f>C285-B285</f>
        <v>0</v>
      </c>
      <c r="E285" s="4">
        <f>3259.7*1.15</f>
        <v>3748.6549999999993</v>
      </c>
      <c r="F285" s="4">
        <v>0</v>
      </c>
      <c r="G285" s="3" t="s">
        <v>54</v>
      </c>
      <c r="H285" s="3">
        <v>31</v>
      </c>
      <c r="I285" s="3" t="s">
        <v>14</v>
      </c>
      <c r="J285" s="3"/>
      <c r="K285" s="4"/>
    </row>
    <row r="286" spans="1:11">
      <c r="A286" s="3" t="s">
        <v>15</v>
      </c>
      <c r="B286" s="3"/>
      <c r="C286" s="3"/>
      <c r="D286" s="3">
        <v>60</v>
      </c>
      <c r="E286" s="4">
        <f>(899.4*2)*1.15</f>
        <v>2068.62</v>
      </c>
      <c r="F286" s="4">
        <f>(499.7+499.7+230.75+230.75)*1.15</f>
        <v>1680.0350000000001</v>
      </c>
      <c r="G286" s="3" t="s">
        <v>46</v>
      </c>
      <c r="H286" s="3">
        <v>30</v>
      </c>
      <c r="I286" s="3" t="s">
        <v>14</v>
      </c>
      <c r="J286" s="3"/>
      <c r="K286" s="4"/>
    </row>
    <row r="287" spans="1:11">
      <c r="A287" s="3" t="s">
        <v>16</v>
      </c>
      <c r="B287" s="3"/>
      <c r="C287" s="3"/>
      <c r="D287" s="3"/>
      <c r="E287" s="4">
        <f>E285+F285</f>
        <v>3748.6549999999993</v>
      </c>
      <c r="F287" s="4"/>
      <c r="G287" s="3"/>
      <c r="H287" s="3"/>
      <c r="I287" s="3"/>
      <c r="J287" s="3"/>
      <c r="K287" s="3"/>
    </row>
    <row r="288" spans="1:11">
      <c r="A288" s="3" t="s">
        <v>17</v>
      </c>
      <c r="B288" s="3"/>
      <c r="C288" s="3"/>
      <c r="D288" s="3"/>
      <c r="E288" s="4">
        <f>E286+F286</f>
        <v>3748.6549999999997</v>
      </c>
      <c r="F288" s="4"/>
      <c r="G288" s="3"/>
      <c r="H288" s="3"/>
      <c r="I288" s="3"/>
      <c r="J288" s="3"/>
      <c r="K288" s="3"/>
    </row>
    <row r="289" spans="1:11">
      <c r="A289" s="3" t="s">
        <v>18</v>
      </c>
      <c r="B289" s="3"/>
      <c r="C289" s="3"/>
      <c r="D289" s="3"/>
      <c r="E289" s="4"/>
      <c r="F289" s="4"/>
      <c r="G289" s="3"/>
      <c r="H289" s="3"/>
      <c r="I289" s="3"/>
      <c r="J289" s="3"/>
      <c r="K28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52C5-6E06-448F-A26E-20FA1B7EAE0D}">
  <dimension ref="A1:AB15"/>
  <sheetViews>
    <sheetView topLeftCell="C2" workbookViewId="0">
      <selection activeCell="Z11" sqref="Z11:AB12"/>
    </sheetView>
  </sheetViews>
  <sheetFormatPr defaultRowHeight="15"/>
  <cols>
    <col min="14" max="14" width="12" hidden="1" customWidth="1"/>
    <col min="15" max="15" width="11.7109375" hidden="1" customWidth="1"/>
    <col min="16" max="16" width="17.42578125" hidden="1" customWidth="1"/>
    <col min="18" max="18" width="12.7109375" hidden="1" customWidth="1"/>
    <col min="19" max="19" width="11.7109375" hidden="1" customWidth="1"/>
    <col min="20" max="20" width="17.42578125" hidden="1" customWidth="1"/>
    <col min="22" max="22" width="12.7109375" hidden="1" customWidth="1"/>
    <col min="23" max="23" width="11.7109375" hidden="1" customWidth="1"/>
    <col min="24" max="24" width="17.42578125" hidden="1" customWidth="1"/>
    <col min="26" max="26" width="12" bestFit="1" customWidth="1"/>
    <col min="27" max="27" width="11" bestFit="1" customWidth="1"/>
    <col min="28" max="28" width="17.42578125" bestFit="1" customWidth="1"/>
  </cols>
  <sheetData>
    <row r="1" spans="1:28" ht="18.75">
      <c r="A1" s="5" t="s">
        <v>55</v>
      </c>
    </row>
    <row r="2" spans="1:28">
      <c r="N2" t="s">
        <v>56</v>
      </c>
      <c r="O2" t="s">
        <v>57</v>
      </c>
      <c r="P2" t="s">
        <v>58</v>
      </c>
      <c r="R2" t="s">
        <v>56</v>
      </c>
      <c r="S2" t="s">
        <v>57</v>
      </c>
      <c r="T2" t="s">
        <v>58</v>
      </c>
      <c r="V2" t="s">
        <v>56</v>
      </c>
      <c r="W2" t="s">
        <v>57</v>
      </c>
      <c r="X2" t="s">
        <v>58</v>
      </c>
      <c r="Z2" t="s">
        <v>56</v>
      </c>
      <c r="AA2" t="s">
        <v>57</v>
      </c>
      <c r="AB2" t="s">
        <v>58</v>
      </c>
    </row>
    <row r="3" spans="1:28">
      <c r="M3" s="1">
        <v>43831</v>
      </c>
      <c r="N3" s="9">
        <v>7989.4000000000033</v>
      </c>
      <c r="O3" s="9">
        <v>1662.22</v>
      </c>
      <c r="P3" s="8" t="s">
        <v>59</v>
      </c>
      <c r="Q3" s="1">
        <v>43891</v>
      </c>
      <c r="R3" s="9">
        <v>7989.4000000000033</v>
      </c>
      <c r="S3" s="9">
        <v>1662.22</v>
      </c>
      <c r="T3" s="8" t="s">
        <v>59</v>
      </c>
      <c r="U3" s="1">
        <v>44256</v>
      </c>
      <c r="V3" s="9">
        <v>10831.987999999998</v>
      </c>
      <c r="W3" s="9"/>
      <c r="X3" s="8"/>
      <c r="Y3" s="1">
        <v>44621</v>
      </c>
      <c r="Z3" s="9">
        <v>11266.227999999999</v>
      </c>
      <c r="AA3" s="9"/>
      <c r="AB3" s="8" t="s">
        <v>59</v>
      </c>
    </row>
    <row r="4" spans="1:28">
      <c r="M4" s="1">
        <v>43862</v>
      </c>
      <c r="N4" s="9">
        <v>7989.4000000000033</v>
      </c>
      <c r="O4" s="9">
        <v>1662.22</v>
      </c>
      <c r="P4" s="8" t="s">
        <v>59</v>
      </c>
      <c r="Q4" s="1">
        <v>43922</v>
      </c>
      <c r="R4" s="9">
        <v>7989.4000000000033</v>
      </c>
      <c r="S4" s="9">
        <v>1662.22</v>
      </c>
      <c r="T4" s="8" t="s">
        <v>59</v>
      </c>
      <c r="U4" s="1">
        <v>44287</v>
      </c>
      <c r="V4" s="9">
        <v>10831.987999999998</v>
      </c>
      <c r="W4" s="9"/>
      <c r="X4" s="8"/>
      <c r="Y4" s="1">
        <v>44652</v>
      </c>
      <c r="Z4" s="9">
        <v>11266.227999999999</v>
      </c>
      <c r="AA4" s="9">
        <v>3748.6549999999997</v>
      </c>
      <c r="AB4" s="8" t="s">
        <v>59</v>
      </c>
    </row>
    <row r="5" spans="1:28">
      <c r="M5" s="1"/>
      <c r="N5" s="9"/>
      <c r="O5" s="9"/>
      <c r="P5" s="8"/>
      <c r="Q5" s="1">
        <v>43952</v>
      </c>
      <c r="R5" s="9">
        <v>7989.4000000000033</v>
      </c>
      <c r="S5" s="9">
        <v>1662.22</v>
      </c>
      <c r="T5" s="8" t="s">
        <v>59</v>
      </c>
      <c r="U5" s="1">
        <v>44317</v>
      </c>
      <c r="V5" s="9">
        <v>10831.987999999998</v>
      </c>
      <c r="W5" s="9"/>
      <c r="X5" s="8"/>
      <c r="Y5" s="1">
        <v>44682</v>
      </c>
      <c r="Z5" s="9">
        <v>3748.6549999999993</v>
      </c>
      <c r="AA5" s="9"/>
      <c r="AB5" s="8" t="s">
        <v>59</v>
      </c>
    </row>
    <row r="6" spans="1:28">
      <c r="M6" s="1"/>
      <c r="N6" s="9"/>
      <c r="O6" s="9"/>
      <c r="P6" s="8"/>
      <c r="Q6" s="1">
        <v>43983</v>
      </c>
      <c r="R6" s="9">
        <v>7989.4000000000033</v>
      </c>
      <c r="S6" s="9"/>
      <c r="T6" s="8"/>
      <c r="U6" s="1">
        <v>44348</v>
      </c>
      <c r="V6" s="9">
        <v>10831.987999999998</v>
      </c>
      <c r="W6" s="9"/>
      <c r="X6" s="8"/>
      <c r="Y6" s="1">
        <v>44713</v>
      </c>
      <c r="Z6" s="9">
        <v>3748.6549999999993</v>
      </c>
      <c r="AA6" s="9"/>
      <c r="AB6" s="8" t="s">
        <v>59</v>
      </c>
    </row>
    <row r="7" spans="1:28">
      <c r="M7" s="1"/>
      <c r="N7" s="9"/>
      <c r="O7" s="9"/>
      <c r="P7" s="8"/>
      <c r="Q7" s="1">
        <v>44013</v>
      </c>
      <c r="R7" s="9">
        <v>7989.4000000000033</v>
      </c>
      <c r="S7" s="9"/>
      <c r="T7" s="8"/>
      <c r="U7" s="1">
        <v>44378</v>
      </c>
      <c r="V7" s="9">
        <v>10831.987999999998</v>
      </c>
      <c r="W7" s="9">
        <v>9736.6705000000002</v>
      </c>
      <c r="X7" s="8" t="s">
        <v>60</v>
      </c>
      <c r="Y7" s="1">
        <v>44743</v>
      </c>
      <c r="Z7" s="9">
        <v>3748.6549999999993</v>
      </c>
      <c r="AA7" s="9"/>
      <c r="AB7" s="8" t="s">
        <v>59</v>
      </c>
    </row>
    <row r="8" spans="1:28">
      <c r="M8" s="1"/>
      <c r="N8" s="9"/>
      <c r="O8" s="9"/>
      <c r="P8" s="8"/>
      <c r="Q8" s="1">
        <v>44044</v>
      </c>
      <c r="R8" s="9">
        <v>7989.4000000000033</v>
      </c>
      <c r="S8" s="9"/>
      <c r="T8" s="8"/>
      <c r="U8" s="1">
        <v>44409</v>
      </c>
      <c r="V8" s="9">
        <v>1529.5574999999999</v>
      </c>
      <c r="W8" s="9">
        <v>11266.227999999999</v>
      </c>
      <c r="X8" s="8" t="s">
        <v>59</v>
      </c>
      <c r="Y8" s="1">
        <v>44774</v>
      </c>
      <c r="Z8" s="9">
        <v>3748.6549999999993</v>
      </c>
      <c r="AA8" s="9"/>
      <c r="AB8" s="8" t="s">
        <v>59</v>
      </c>
    </row>
    <row r="9" spans="1:28">
      <c r="M9" s="1"/>
      <c r="N9" s="9"/>
      <c r="O9" s="9"/>
      <c r="P9" s="8"/>
      <c r="Q9" s="1">
        <v>44075</v>
      </c>
      <c r="R9" s="9">
        <v>7989.4000000000033</v>
      </c>
      <c r="S9" s="9"/>
      <c r="T9" s="8"/>
      <c r="U9" s="1">
        <v>44440</v>
      </c>
      <c r="V9" s="9">
        <v>11266.227999999999</v>
      </c>
      <c r="W9" s="9"/>
      <c r="X9" s="8" t="s">
        <v>59</v>
      </c>
      <c r="Y9" s="1">
        <v>44805</v>
      </c>
      <c r="Z9" s="9">
        <v>3748.6549999999993</v>
      </c>
      <c r="AA9" s="9"/>
      <c r="AB9" s="8" t="s">
        <v>59</v>
      </c>
    </row>
    <row r="10" spans="1:28">
      <c r="M10" s="1"/>
      <c r="N10" s="9"/>
      <c r="O10" s="9"/>
      <c r="P10" s="8"/>
      <c r="Q10" s="1">
        <v>44105</v>
      </c>
      <c r="R10" s="9">
        <v>7989.4000000000033</v>
      </c>
      <c r="S10" s="9">
        <v>10831.99</v>
      </c>
      <c r="T10" s="8" t="s">
        <v>60</v>
      </c>
      <c r="U10" s="1">
        <v>44470</v>
      </c>
      <c r="V10" s="9">
        <v>11266.227999999999</v>
      </c>
      <c r="W10" s="9"/>
      <c r="X10" s="8" t="s">
        <v>59</v>
      </c>
      <c r="Y10" s="1">
        <v>44835</v>
      </c>
      <c r="Z10" s="9">
        <v>3748.6549999999993</v>
      </c>
      <c r="AA10" s="9"/>
      <c r="AB10" s="8" t="s">
        <v>59</v>
      </c>
    </row>
    <row r="11" spans="1:28">
      <c r="M11" s="1"/>
      <c r="N11" s="9"/>
      <c r="O11" s="9"/>
      <c r="P11" s="8"/>
      <c r="Q11" s="1">
        <v>44136</v>
      </c>
      <c r="R11" s="9">
        <v>7989.4000000000033</v>
      </c>
      <c r="S11" s="9"/>
      <c r="T11" s="8"/>
      <c r="U11" s="1">
        <v>44501</v>
      </c>
      <c r="V11" s="9">
        <v>11266.227999999999</v>
      </c>
      <c r="W11" s="9"/>
      <c r="X11" s="8" t="s">
        <v>59</v>
      </c>
      <c r="Y11" s="1">
        <v>44866</v>
      </c>
      <c r="Z11" s="9">
        <v>3748.6549999999993</v>
      </c>
      <c r="AA11" s="9"/>
      <c r="AB11" s="8" t="s">
        <v>59</v>
      </c>
    </row>
    <row r="12" spans="1:28">
      <c r="M12" s="1"/>
      <c r="N12" s="9"/>
      <c r="O12" s="9"/>
      <c r="P12" s="8"/>
      <c r="Q12" s="1">
        <v>44166</v>
      </c>
      <c r="R12" s="9">
        <v>1662.21</v>
      </c>
      <c r="S12" s="9"/>
      <c r="T12" s="8"/>
      <c r="U12" s="1">
        <v>44531</v>
      </c>
      <c r="V12" s="9">
        <v>11266.227999999999</v>
      </c>
      <c r="W12" s="9"/>
      <c r="X12" s="8" t="s">
        <v>59</v>
      </c>
      <c r="Y12" s="1">
        <v>44896</v>
      </c>
      <c r="Z12" s="9">
        <v>3748.6549999999993</v>
      </c>
      <c r="AA12" s="9"/>
      <c r="AB12" s="8" t="s">
        <v>59</v>
      </c>
    </row>
    <row r="13" spans="1:28">
      <c r="M13" s="1"/>
      <c r="N13" s="9"/>
      <c r="O13" s="9"/>
      <c r="P13" s="8"/>
      <c r="Q13" s="1">
        <v>44197</v>
      </c>
      <c r="R13" s="9">
        <v>10831.987999999998</v>
      </c>
      <c r="S13" s="9"/>
      <c r="T13" s="8"/>
      <c r="U13" s="1">
        <v>44562</v>
      </c>
      <c r="V13" s="9">
        <v>11266.227999999999</v>
      </c>
      <c r="W13" s="9"/>
      <c r="X13" s="8" t="s">
        <v>59</v>
      </c>
      <c r="Y13" s="1">
        <v>44927</v>
      </c>
      <c r="Z13" s="9"/>
      <c r="AA13" s="9"/>
      <c r="AB13" s="8"/>
    </row>
    <row r="14" spans="1:28">
      <c r="M14" s="1"/>
      <c r="N14" s="9"/>
      <c r="O14" s="9"/>
      <c r="P14" s="8"/>
      <c r="Q14" s="1">
        <v>44228</v>
      </c>
      <c r="R14" s="9">
        <v>10831.987999999998</v>
      </c>
      <c r="S14" s="9"/>
      <c r="T14" s="8"/>
      <c r="U14" s="1">
        <v>44593</v>
      </c>
      <c r="V14" s="9">
        <v>11266.227999999999</v>
      </c>
      <c r="W14" s="9"/>
      <c r="X14" s="8" t="s">
        <v>59</v>
      </c>
      <c r="Y14" s="1">
        <v>44958</v>
      </c>
      <c r="Z14" s="9"/>
      <c r="AA14" s="9"/>
      <c r="AB14" s="8"/>
    </row>
    <row r="15" spans="1:28">
      <c r="N15" s="6">
        <f>SUM(N3:N14)</f>
        <v>15978.800000000007</v>
      </c>
      <c r="O15" s="6">
        <f>SUM(O3:O14)</f>
        <v>3324.44</v>
      </c>
      <c r="P15" s="7">
        <f>N15-O15</f>
        <v>12654.360000000006</v>
      </c>
      <c r="R15" s="6">
        <f>SUM(R3:R14)</f>
        <v>95230.786000000022</v>
      </c>
      <c r="S15" s="6">
        <f>SUM(S3:S14)</f>
        <v>15818.65</v>
      </c>
      <c r="T15" s="7">
        <f>R15-S15</f>
        <v>79412.136000000028</v>
      </c>
      <c r="V15" s="6">
        <f>SUM(V3:V14)</f>
        <v>123286.8655</v>
      </c>
      <c r="W15" s="6">
        <f>SUM(W3:W14)</f>
        <v>21002.898499999999</v>
      </c>
      <c r="X15" s="7">
        <f>V15-W15</f>
        <v>102283.967</v>
      </c>
      <c r="Z15" s="6">
        <f>SUM(Z3:Z14)</f>
        <v>52521.695999999989</v>
      </c>
      <c r="AA15" s="6">
        <f>SUM(AA3:AA14)</f>
        <v>3748.6549999999997</v>
      </c>
      <c r="AB15" s="7">
        <f>Z15-AA15</f>
        <v>48773.04099999999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Props1.xml><?xml version="1.0" encoding="utf-8"?>
<ds:datastoreItem xmlns:ds="http://schemas.openxmlformats.org/officeDocument/2006/customXml" ds:itemID="{8BABA798-361D-4542-B17A-35D41F1A93D2}"/>
</file>

<file path=customXml/itemProps2.xml><?xml version="1.0" encoding="utf-8"?>
<ds:datastoreItem xmlns:ds="http://schemas.openxmlformats.org/officeDocument/2006/customXml" ds:itemID="{E6FB4061-20AE-4440-B399-9E4849E9C06F}"/>
</file>

<file path=customXml/itemProps3.xml><?xml version="1.0" encoding="utf-8"?>
<ds:datastoreItem xmlns:ds="http://schemas.openxmlformats.org/officeDocument/2006/customXml" ds:itemID="{F6A4826F-5869-45A2-9A4B-2D6E2822D6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2019-10-10T06:14:47Z</dcterms:created>
  <dcterms:modified xsi:type="dcterms:W3CDTF">2023-01-23T12:14:57Z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