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S\Desktop\UUS\Back Dated Reports\Current Buildings\TV\Utilities Back Date\"/>
    </mc:Choice>
  </mc:AlternateContent>
  <xr:revisionPtr revIDLastSave="44" documentId="13_ncr:1_{6ADB0E2E-F391-42AF-8071-F4D9EF44F329}" xr6:coauthVersionLast="47" xr6:coauthVersionMax="47" xr10:uidLastSave="{0D170C91-C88E-4057-8C1E-7FD6E9B3428D}"/>
  <bookViews>
    <workbookView xWindow="-28920" yWindow="-3765" windowWidth="29040" windowHeight="15840" activeTab="1" xr2:uid="{C9B1A45C-15BB-4FCA-AB35-E0E55928D287}"/>
  </bookViews>
  <sheets>
    <sheet name="TV Sanitation Data" sheetId="1" r:id="rId1"/>
    <sheet name="TV Sanitation Collection Graph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6" i="1" l="1"/>
  <c r="AH6" i="1"/>
  <c r="AG6" i="1"/>
  <c r="AF6" i="1"/>
  <c r="AE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C5" i="1"/>
  <c r="P16" i="2"/>
  <c r="O16" i="2"/>
  <c r="Q16" i="2" s="1"/>
  <c r="X16" i="2"/>
  <c r="W16" i="2"/>
  <c r="Y16" i="2" s="1"/>
  <c r="U5" i="1"/>
  <c r="T16" i="2"/>
  <c r="S16" i="2"/>
  <c r="N6" i="1"/>
  <c r="K5" i="1"/>
  <c r="U16" i="2" l="1"/>
  <c r="M6" i="1"/>
  <c r="L6" i="1"/>
  <c r="K6" i="1"/>
  <c r="J6" i="1"/>
  <c r="I6" i="1" l="1"/>
  <c r="H6" i="1" l="1"/>
  <c r="L16" i="2" l="1"/>
  <c r="K16" i="2"/>
  <c r="C6" i="1"/>
  <c r="D6" i="1"/>
  <c r="E6" i="1"/>
  <c r="F6" i="1"/>
  <c r="G6" i="1"/>
  <c r="B6" i="1"/>
  <c r="M16" i="2" l="1"/>
</calcChain>
</file>

<file path=xl/sharedStrings.xml><?xml version="1.0" encoding="utf-8"?>
<sst xmlns="http://schemas.openxmlformats.org/spreadsheetml/2006/main" count="13" uniqueCount="7">
  <si>
    <t>Transvalia Sanitation Council vs BC</t>
  </si>
  <si>
    <t>BC Total</t>
  </si>
  <si>
    <t>Council Total</t>
  </si>
  <si>
    <t>Difference</t>
  </si>
  <si>
    <t>Transvalia Sanitation Graph</t>
  </si>
  <si>
    <t>BC</t>
  </si>
  <si>
    <t>Council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</si>
</sst>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&quot;* #,##0.00_-;\-&quot;R&quot;* #,##0.00_-;_-&quot;R&quot;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0" applyFont="1" applyBorder="1"/>
    <xf numFmtId="0" fontId="3" fillId="0" borderId="0" xfId="0" applyFont="1"/>
    <xf numFmtId="164" fontId="0" fillId="0" borderId="1" xfId="1" applyFont="1" applyBorder="1"/>
    <xf numFmtId="17" fontId="2" fillId="0" borderId="0" xfId="0" applyNumberFormat="1" applyFont="1"/>
    <xf numFmtId="17" fontId="2" fillId="2" borderId="0" xfId="0" applyNumberFormat="1" applyFont="1" applyFill="1"/>
    <xf numFmtId="164" fontId="0" fillId="0" borderId="0" xfId="0" applyNumberFormat="1"/>
    <xf numFmtId="164" fontId="2" fillId="0" borderId="2" xfId="0" applyNumberFormat="1" applyFont="1" applyBorder="1"/>
    <xf numFmtId="17" fontId="2" fillId="3" borderId="0" xfId="0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'TV Sanitation Collection Graph'!$W$3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'TV Sanitation Collection Graph'!$V$4:$V$15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'TV Sanitation Collection Graph'!$W$4:$W$15</c:f>
              <c:numCache>
                <c:formatCode>_-"R"* #,##0.00_-;\-"R"* #,##0.00_-;_-"R"* "-"??_-;_-@_-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285F-4904-8E96-16E77CC5371F}"/>
            </c:ext>
          </c:extLst>
        </c:ser>
        <c:ser>
          <c:idx val="1"/>
          <c:order val="1"/>
          <c:tx>
            <c:strRef>
              <c:f>'TV Sanitation Collection Graph'!$X$3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'TV Sanitation Collection Graph'!$V$4:$V$15</c:f>
              <c:numCache>
                <c:formatCode>mmm\-yy</c:formatCode>
                <c:ptCount val="12"/>
                <c:pt idx="0">
                  <c:v>44621</c:v>
                </c:pt>
                <c:pt idx="1">
                  <c:v>44652</c:v>
                </c:pt>
                <c:pt idx="2">
                  <c:v>44682</c:v>
                </c:pt>
                <c:pt idx="3">
                  <c:v>44713</c:v>
                </c:pt>
                <c:pt idx="4">
                  <c:v>44743</c:v>
                </c:pt>
                <c:pt idx="5">
                  <c:v>44774</c:v>
                </c:pt>
                <c:pt idx="6">
                  <c:v>44805</c:v>
                </c:pt>
                <c:pt idx="7">
                  <c:v>44835</c:v>
                </c:pt>
                <c:pt idx="8">
                  <c:v>44866</c:v>
                </c:pt>
                <c:pt idx="9">
                  <c:v>44896</c:v>
                </c:pt>
                <c:pt idx="10">
                  <c:v>44927</c:v>
                </c:pt>
                <c:pt idx="11">
                  <c:v>44958</c:v>
                </c:pt>
              </c:numCache>
            </c:numRef>
          </c:cat>
          <c:val>
            <c:numRef>
              <c:f>'TV Sanitation Collection Graph'!$X$4:$X$15</c:f>
              <c:numCache>
                <c:formatCode>_-"R"* #,##0.00_-;\-"R"* #,##0.00_-;_-"R"* "-"??_-;_-@_-</c:formatCode>
                <c:ptCount val="12"/>
                <c:pt idx="1">
                  <c:v>2139.9544999999998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5F-4904-8E96-16E77CC53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4357128"/>
        <c:axId val="1473370375"/>
      </c:barChart>
      <c:dateAx>
        <c:axId val="11043571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3370375"/>
        <c:crosses val="autoZero"/>
        <c:auto val="1"/>
        <c:lblOffset val="100"/>
        <c:baseTimeUnit val="months"/>
      </c:dateAx>
      <c:valAx>
        <c:axId val="1473370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&quot;* #,##0.00_-;\-&quot;R&quot;* #,##0.00_-;_-&quot;R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357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1</xdr:row>
      <xdr:rowOff>104775</xdr:rowOff>
    </xdr:from>
    <xdr:to>
      <xdr:col>9</xdr:col>
      <xdr:colOff>57150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84C999-E433-D0F1-D617-8CA478907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9F386-8AFD-44C1-8514-C47152C10BA0}">
  <dimension ref="A1:AL6"/>
  <sheetViews>
    <sheetView workbookViewId="0">
      <selection activeCell="AJ12" sqref="AJ12"/>
    </sheetView>
  </sheetViews>
  <sheetFormatPr defaultRowHeight="15"/>
  <cols>
    <col min="1" max="1" width="12.7109375" customWidth="1"/>
    <col min="3" max="10" width="0" hidden="1" customWidth="1"/>
    <col min="11" max="11" width="10.7109375" hidden="1" customWidth="1"/>
    <col min="12" max="13" width="0" hidden="1" customWidth="1"/>
    <col min="15" max="19" width="0" hidden="1" customWidth="1"/>
    <col min="20" max="21" width="10.7109375" hidden="1" customWidth="1"/>
    <col min="22" max="25" width="0" hidden="1" customWidth="1"/>
    <col min="29" max="29" width="10.85546875" bestFit="1" customWidth="1"/>
  </cols>
  <sheetData>
    <row r="1" spans="1:38" ht="18.75">
      <c r="A1" s="2" t="s">
        <v>0</v>
      </c>
    </row>
    <row r="3" spans="1:38">
      <c r="B3" s="5">
        <v>43831</v>
      </c>
      <c r="C3" s="4">
        <v>43862</v>
      </c>
      <c r="D3" s="4">
        <v>43891</v>
      </c>
      <c r="E3" s="4">
        <v>43922</v>
      </c>
      <c r="F3" s="4">
        <v>43952</v>
      </c>
      <c r="G3" s="4">
        <v>43983</v>
      </c>
      <c r="H3" s="4">
        <v>44013</v>
      </c>
      <c r="I3" s="4">
        <v>44044</v>
      </c>
      <c r="J3" s="4">
        <v>44075</v>
      </c>
      <c r="K3" s="4">
        <v>44105</v>
      </c>
      <c r="L3" s="4">
        <v>44136</v>
      </c>
      <c r="M3" s="4">
        <v>44166</v>
      </c>
      <c r="N3" s="5">
        <v>44197</v>
      </c>
      <c r="O3" s="4">
        <v>44228</v>
      </c>
      <c r="P3" s="4">
        <v>44256</v>
      </c>
      <c r="Q3" s="4">
        <v>44287</v>
      </c>
      <c r="R3" s="4">
        <v>44317</v>
      </c>
      <c r="S3" s="4">
        <v>44348</v>
      </c>
      <c r="T3" s="4">
        <v>44378</v>
      </c>
      <c r="U3" s="4">
        <v>44409</v>
      </c>
      <c r="V3" s="4">
        <v>44440</v>
      </c>
      <c r="W3" s="4">
        <v>44470</v>
      </c>
      <c r="X3" s="4">
        <v>44501</v>
      </c>
      <c r="Y3" s="4">
        <v>44531</v>
      </c>
      <c r="Z3" s="5">
        <v>44562</v>
      </c>
      <c r="AA3" s="4">
        <v>44593</v>
      </c>
      <c r="AB3" s="4">
        <v>44621</v>
      </c>
      <c r="AC3" s="4">
        <v>44652</v>
      </c>
      <c r="AD3" s="4">
        <v>44682</v>
      </c>
      <c r="AE3" s="4">
        <v>44713</v>
      </c>
      <c r="AF3" s="4">
        <v>44743</v>
      </c>
      <c r="AG3" s="4">
        <v>44774</v>
      </c>
      <c r="AH3" s="4">
        <v>44805</v>
      </c>
      <c r="AI3" s="4">
        <v>44835</v>
      </c>
      <c r="AJ3" s="4">
        <v>44866</v>
      </c>
      <c r="AK3" s="4">
        <v>44896</v>
      </c>
      <c r="AL3" s="8">
        <v>44927</v>
      </c>
    </row>
    <row r="4" spans="1:38">
      <c r="A4" s="1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spans="1:38">
      <c r="A5" s="1" t="s">
        <v>2</v>
      </c>
      <c r="B5" s="3">
        <v>862.73</v>
      </c>
      <c r="C5" s="3">
        <v>862.73</v>
      </c>
      <c r="D5" s="3">
        <v>862.73</v>
      </c>
      <c r="E5" s="3">
        <v>862.73</v>
      </c>
      <c r="F5" s="3">
        <v>862.73</v>
      </c>
      <c r="G5" s="3"/>
      <c r="H5" s="3"/>
      <c r="I5" s="3"/>
      <c r="J5" s="3"/>
      <c r="K5" s="3">
        <f>8688.36-806.52+919.66</f>
        <v>8801.5</v>
      </c>
      <c r="L5" s="3"/>
      <c r="M5" s="3"/>
      <c r="N5" s="3"/>
      <c r="O5" s="3">
        <v>919.66</v>
      </c>
      <c r="P5" s="3"/>
      <c r="Q5" s="3"/>
      <c r="R5" s="3"/>
      <c r="S5" s="3"/>
      <c r="T5" s="3">
        <v>919.66</v>
      </c>
      <c r="U5" s="3">
        <f>(864.1+846.1)*1.15</f>
        <v>1966.7299999999998</v>
      </c>
      <c r="V5" s="3"/>
      <c r="W5" s="3"/>
      <c r="X5" s="3"/>
      <c r="Y5" s="3"/>
      <c r="Z5" s="3"/>
      <c r="AA5" s="3"/>
      <c r="AB5" s="3"/>
      <c r="AC5" s="3">
        <f>(846.1+240.9+846.1-72.27)*1.15</f>
        <v>2139.9544999999998</v>
      </c>
      <c r="AD5" s="3"/>
      <c r="AE5" s="3"/>
      <c r="AF5" s="3"/>
      <c r="AG5" s="3"/>
      <c r="AH5" s="3"/>
      <c r="AI5" s="3"/>
    </row>
    <row r="6" spans="1:38">
      <c r="A6" s="1" t="s">
        <v>3</v>
      </c>
      <c r="B6" s="3">
        <f>B4-B5</f>
        <v>-862.73</v>
      </c>
      <c r="C6" s="3">
        <f t="shared" ref="C6:G6" si="0">C4-C5</f>
        <v>-862.73</v>
      </c>
      <c r="D6" s="3">
        <f t="shared" si="0"/>
        <v>-862.73</v>
      </c>
      <c r="E6" s="3">
        <f t="shared" si="0"/>
        <v>-862.73</v>
      </c>
      <c r="F6" s="3">
        <f t="shared" si="0"/>
        <v>-862.73</v>
      </c>
      <c r="G6" s="3">
        <f t="shared" si="0"/>
        <v>0</v>
      </c>
      <c r="H6" s="3">
        <f t="shared" ref="H6:I6" si="1">H4-H5</f>
        <v>0</v>
      </c>
      <c r="I6" s="3">
        <f t="shared" si="1"/>
        <v>0</v>
      </c>
      <c r="J6" s="3">
        <f t="shared" ref="J6:M6" si="2">J4-J5</f>
        <v>0</v>
      </c>
      <c r="K6" s="3">
        <f t="shared" si="2"/>
        <v>-8801.5</v>
      </c>
      <c r="L6" s="3">
        <f t="shared" si="2"/>
        <v>0</v>
      </c>
      <c r="M6" s="3">
        <f t="shared" si="2"/>
        <v>0</v>
      </c>
      <c r="N6" s="3">
        <f t="shared" ref="N6:AD6" si="3">N4-N5</f>
        <v>0</v>
      </c>
      <c r="O6" s="3">
        <f t="shared" si="3"/>
        <v>-919.66</v>
      </c>
      <c r="P6" s="3">
        <f t="shared" si="3"/>
        <v>0</v>
      </c>
      <c r="Q6" s="3">
        <f t="shared" si="3"/>
        <v>0</v>
      </c>
      <c r="R6" s="3">
        <f t="shared" si="3"/>
        <v>0</v>
      </c>
      <c r="S6" s="3">
        <f t="shared" si="3"/>
        <v>0</v>
      </c>
      <c r="T6" s="3">
        <f t="shared" si="3"/>
        <v>-919.66</v>
      </c>
      <c r="U6" s="3">
        <f t="shared" si="3"/>
        <v>-1966.7299999999998</v>
      </c>
      <c r="V6" s="3">
        <f t="shared" si="3"/>
        <v>0</v>
      </c>
      <c r="W6" s="3">
        <f t="shared" si="3"/>
        <v>0</v>
      </c>
      <c r="X6" s="3">
        <f t="shared" si="3"/>
        <v>0</v>
      </c>
      <c r="Y6" s="3">
        <f t="shared" si="3"/>
        <v>0</v>
      </c>
      <c r="Z6" s="3">
        <f t="shared" si="3"/>
        <v>0</v>
      </c>
      <c r="AA6" s="3">
        <f t="shared" si="3"/>
        <v>0</v>
      </c>
      <c r="AB6" s="3">
        <f t="shared" si="3"/>
        <v>0</v>
      </c>
      <c r="AC6" s="3">
        <f t="shared" si="3"/>
        <v>-2139.9544999999998</v>
      </c>
      <c r="AD6" s="3">
        <f t="shared" si="3"/>
        <v>0</v>
      </c>
      <c r="AE6" s="3">
        <f t="shared" ref="AE6:AF6" si="4">AE4-AE5</f>
        <v>0</v>
      </c>
      <c r="AF6" s="3">
        <f t="shared" si="4"/>
        <v>0</v>
      </c>
      <c r="AG6" s="3">
        <f t="shared" ref="AG6:AI6" si="5">AG4-AG5</f>
        <v>0</v>
      </c>
      <c r="AH6" s="3">
        <f t="shared" si="5"/>
        <v>0</v>
      </c>
      <c r="AI6" s="3">
        <f t="shared" si="5"/>
        <v>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2D9EE-92C1-44C0-9D03-CCC9A01AC320}">
  <dimension ref="A1:Y16"/>
  <sheetViews>
    <sheetView tabSelected="1" workbookViewId="0">
      <selection activeCell="X5" sqref="X5"/>
    </sheetView>
  </sheetViews>
  <sheetFormatPr defaultRowHeight="15"/>
  <cols>
    <col min="11" max="11" width="9.140625" hidden="1" customWidth="1"/>
    <col min="12" max="13" width="11.5703125" hidden="1" customWidth="1"/>
    <col min="15" max="15" width="9.140625" hidden="1" customWidth="1"/>
    <col min="16" max="16" width="12" hidden="1" customWidth="1"/>
    <col min="17" max="17" width="12.28515625" hidden="1" customWidth="1"/>
    <col min="19" max="19" width="0" hidden="1" customWidth="1"/>
    <col min="20" max="20" width="11" hidden="1" customWidth="1"/>
    <col min="21" max="21" width="11.140625" hidden="1" customWidth="1"/>
    <col min="24" max="24" width="11" bestFit="1" customWidth="1"/>
    <col min="25" max="25" width="11.140625" bestFit="1" customWidth="1"/>
  </cols>
  <sheetData>
    <row r="1" spans="1:25" ht="18.75">
      <c r="A1" s="2" t="s">
        <v>4</v>
      </c>
    </row>
    <row r="3" spans="1:25">
      <c r="K3" t="s">
        <v>5</v>
      </c>
      <c r="L3" t="s">
        <v>6</v>
      </c>
      <c r="O3" t="s">
        <v>5</v>
      </c>
      <c r="P3" t="s">
        <v>6</v>
      </c>
      <c r="S3" t="s">
        <v>5</v>
      </c>
      <c r="T3" t="s">
        <v>6</v>
      </c>
      <c r="W3" t="s">
        <v>5</v>
      </c>
      <c r="X3" t="s">
        <v>6</v>
      </c>
    </row>
    <row r="4" spans="1:25">
      <c r="J4" s="4">
        <v>43831</v>
      </c>
      <c r="K4" s="6"/>
      <c r="L4" s="6">
        <v>862.73</v>
      </c>
      <c r="N4" s="4">
        <v>43891</v>
      </c>
      <c r="O4" s="6"/>
      <c r="P4" s="6">
        <v>862.73</v>
      </c>
      <c r="R4" s="4">
        <v>44256</v>
      </c>
      <c r="S4" s="6"/>
      <c r="T4" s="6"/>
      <c r="V4" s="4">
        <v>44621</v>
      </c>
      <c r="W4" s="6"/>
      <c r="X4" s="6"/>
    </row>
    <row r="5" spans="1:25">
      <c r="J5" s="4">
        <v>43862</v>
      </c>
      <c r="K5" s="6"/>
      <c r="L5" s="6">
        <v>862.73</v>
      </c>
      <c r="N5" s="4">
        <v>43922</v>
      </c>
      <c r="O5" s="6"/>
      <c r="P5" s="6">
        <v>862.73</v>
      </c>
      <c r="R5" s="4">
        <v>44287</v>
      </c>
      <c r="S5" s="6"/>
      <c r="T5" s="6"/>
      <c r="V5" s="4">
        <v>44652</v>
      </c>
      <c r="W5" s="6"/>
      <c r="X5" s="6">
        <v>2139.9544999999998</v>
      </c>
    </row>
    <row r="6" spans="1:25">
      <c r="J6" s="4"/>
      <c r="K6" s="6"/>
      <c r="L6" s="6"/>
      <c r="N6" s="4">
        <v>43952</v>
      </c>
      <c r="O6" s="6"/>
      <c r="P6" s="6">
        <v>862.73</v>
      </c>
      <c r="R6" s="4">
        <v>44317</v>
      </c>
      <c r="S6" s="6"/>
      <c r="T6" s="6"/>
      <c r="V6" s="4">
        <v>44682</v>
      </c>
      <c r="W6" s="6"/>
      <c r="X6" s="6"/>
    </row>
    <row r="7" spans="1:25">
      <c r="J7" s="4"/>
      <c r="K7" s="6"/>
      <c r="L7" s="6"/>
      <c r="N7" s="4">
        <v>43983</v>
      </c>
      <c r="O7" s="6"/>
      <c r="P7" s="6"/>
      <c r="R7" s="4">
        <v>44348</v>
      </c>
      <c r="S7" s="6"/>
      <c r="T7" s="6"/>
      <c r="V7" s="4">
        <v>44713</v>
      </c>
      <c r="W7" s="6"/>
      <c r="X7" s="6"/>
    </row>
    <row r="8" spans="1:25">
      <c r="J8" s="4"/>
      <c r="K8" s="6"/>
      <c r="L8" s="6"/>
      <c r="N8" s="4">
        <v>44013</v>
      </c>
      <c r="O8" s="6"/>
      <c r="P8" s="6"/>
      <c r="R8" s="4">
        <v>44378</v>
      </c>
      <c r="S8" s="6"/>
      <c r="T8" s="6">
        <v>919.66</v>
      </c>
      <c r="V8" s="4">
        <v>44743</v>
      </c>
      <c r="W8" s="6"/>
      <c r="X8" s="6"/>
    </row>
    <row r="9" spans="1:25">
      <c r="J9" s="4"/>
      <c r="K9" s="6"/>
      <c r="L9" s="6"/>
      <c r="N9" s="4">
        <v>44044</v>
      </c>
      <c r="O9" s="6"/>
      <c r="P9" s="6"/>
      <c r="R9" s="4">
        <v>44409</v>
      </c>
      <c r="S9" s="6"/>
      <c r="T9" s="6">
        <v>1966.7299999999998</v>
      </c>
      <c r="V9" s="4">
        <v>44774</v>
      </c>
      <c r="W9" s="6"/>
      <c r="X9" s="6"/>
    </row>
    <row r="10" spans="1:25">
      <c r="J10" s="4"/>
      <c r="K10" s="6"/>
      <c r="L10" s="6"/>
      <c r="N10" s="4">
        <v>44075</v>
      </c>
      <c r="O10" s="6"/>
      <c r="P10" s="6"/>
      <c r="R10" s="4">
        <v>44440</v>
      </c>
      <c r="S10" s="6"/>
      <c r="T10" s="6"/>
      <c r="V10" s="4">
        <v>44805</v>
      </c>
      <c r="W10" s="6"/>
      <c r="X10" s="6"/>
    </row>
    <row r="11" spans="1:25">
      <c r="J11" s="4"/>
      <c r="K11" s="6"/>
      <c r="L11" s="6"/>
      <c r="N11" s="4">
        <v>44105</v>
      </c>
      <c r="O11" s="6"/>
      <c r="P11" s="6">
        <v>8801.5</v>
      </c>
      <c r="R11" s="4">
        <v>44470</v>
      </c>
      <c r="S11" s="6"/>
      <c r="T11" s="6"/>
      <c r="V11" s="4">
        <v>44835</v>
      </c>
      <c r="W11" s="6"/>
      <c r="X11" s="6"/>
    </row>
    <row r="12" spans="1:25">
      <c r="J12" s="4"/>
      <c r="K12" s="6"/>
      <c r="L12" s="6"/>
      <c r="N12" s="4">
        <v>44136</v>
      </c>
      <c r="O12" s="6"/>
      <c r="P12" s="6"/>
      <c r="R12" s="4">
        <v>44501</v>
      </c>
      <c r="S12" s="6"/>
      <c r="T12" s="6"/>
      <c r="V12" s="4">
        <v>44866</v>
      </c>
      <c r="W12" s="6"/>
      <c r="X12" s="6"/>
    </row>
    <row r="13" spans="1:25">
      <c r="J13" s="4"/>
      <c r="K13" s="6"/>
      <c r="L13" s="6"/>
      <c r="N13" s="4">
        <v>44166</v>
      </c>
      <c r="O13" s="6"/>
      <c r="P13" s="6"/>
      <c r="R13" s="4">
        <v>44531</v>
      </c>
      <c r="S13" s="6"/>
      <c r="T13" s="6"/>
      <c r="V13" s="4">
        <v>44896</v>
      </c>
      <c r="W13" s="6"/>
      <c r="X13" s="6"/>
    </row>
    <row r="14" spans="1:25">
      <c r="J14" s="4"/>
      <c r="K14" s="6"/>
      <c r="L14" s="6"/>
      <c r="N14" s="4">
        <v>44197</v>
      </c>
      <c r="O14" s="6"/>
      <c r="P14" s="6"/>
      <c r="R14" s="4">
        <v>44562</v>
      </c>
      <c r="S14" s="6"/>
      <c r="T14" s="6"/>
      <c r="V14" s="4">
        <v>44927</v>
      </c>
    </row>
    <row r="15" spans="1:25">
      <c r="J15" s="4"/>
      <c r="K15" s="6"/>
      <c r="L15" s="6"/>
      <c r="N15" s="4">
        <v>44228</v>
      </c>
      <c r="O15" s="6"/>
      <c r="P15" s="6">
        <v>919.66</v>
      </c>
      <c r="R15" s="4">
        <v>44593</v>
      </c>
      <c r="S15" s="6"/>
      <c r="T15" s="6"/>
      <c r="V15" s="4">
        <v>44958</v>
      </c>
    </row>
    <row r="16" spans="1:25">
      <c r="K16" s="7">
        <f>SUM(K4:K15)</f>
        <v>0</v>
      </c>
      <c r="L16" s="7">
        <f>SUM(L4:L15)</f>
        <v>1725.46</v>
      </c>
      <c r="M16" s="7">
        <f>K16-L16</f>
        <v>-1725.46</v>
      </c>
      <c r="O16" s="7">
        <f>SUM(O4:O15)</f>
        <v>0</v>
      </c>
      <c r="P16" s="7">
        <f>SUM(P4:P15)</f>
        <v>12309.35</v>
      </c>
      <c r="Q16" s="7">
        <f>O16-P16</f>
        <v>-12309.35</v>
      </c>
      <c r="S16" s="7">
        <f>SUM(S4:S15)</f>
        <v>0</v>
      </c>
      <c r="T16" s="7">
        <f>SUM(T4:T15)</f>
        <v>2886.39</v>
      </c>
      <c r="U16" s="7">
        <f>S16-T16</f>
        <v>-2886.39</v>
      </c>
      <c r="W16" s="7">
        <f>SUM(W4:W13)</f>
        <v>0</v>
      </c>
      <c r="X16" s="7">
        <f>SUM(X4:X13)</f>
        <v>2139.9544999999998</v>
      </c>
      <c r="Y16" s="7">
        <f>W16-X16</f>
        <v>-2139.9544999999998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C2A19C09597A4FB0ECB8D3006DEC5B" ma:contentTypeVersion="13" ma:contentTypeDescription="Create a new document." ma:contentTypeScope="" ma:versionID="d598c60eba24d11febc9cfa4b16b7178">
  <xsd:schema xmlns:xsd="http://www.w3.org/2001/XMLSchema" xmlns:xs="http://www.w3.org/2001/XMLSchema" xmlns:p="http://schemas.microsoft.com/office/2006/metadata/properties" xmlns:ns2="4d81cd01-18d3-4d99-9da7-104aa7df8d71" xmlns:ns3="22a0b230-faea-41c6-942e-118daf6c53c7" targetNamespace="http://schemas.microsoft.com/office/2006/metadata/properties" ma:root="true" ma:fieldsID="f5811d9df039ed1de00da0905aeac536" ns2:_="" ns3:_="">
    <xsd:import namespace="4d81cd01-18d3-4d99-9da7-104aa7df8d71"/>
    <xsd:import namespace="22a0b230-faea-41c6-942e-118daf6c53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1cd01-18d3-4d99-9da7-104aa7df8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0fb1f15-508e-4435-a559-3077e579f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0b230-faea-41c6-942e-118daf6c53c7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16fc043-e475-4f71-8898-77370e45b749}" ma:internalName="TaxCatchAll" ma:showField="CatchAllData" ma:web="22a0b230-faea-41c6-942e-118daf6c53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81cd01-18d3-4d99-9da7-104aa7df8d71">
      <Terms xmlns="http://schemas.microsoft.com/office/infopath/2007/PartnerControls"/>
    </lcf76f155ced4ddcb4097134ff3c332f>
    <TaxCatchAll xmlns="22a0b230-faea-41c6-942e-118daf6c53c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5EB1D4-68D7-4104-8463-B3DFF2B1740E}"/>
</file>

<file path=customXml/itemProps2.xml><?xml version="1.0" encoding="utf-8"?>
<ds:datastoreItem xmlns:ds="http://schemas.openxmlformats.org/officeDocument/2006/customXml" ds:itemID="{1C033900-BE9C-4C67-86B8-6E215BA831D3}"/>
</file>

<file path=customXml/itemProps3.xml><?xml version="1.0" encoding="utf-8"?>
<ds:datastoreItem xmlns:ds="http://schemas.openxmlformats.org/officeDocument/2006/customXml" ds:itemID="{B4DFA212-E9B6-4FA5-99B2-B1ED7C5C97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Zerilda .</dc:creator>
  <cp:keywords/>
  <dc:description/>
  <cp:lastModifiedBy>Zerilda</cp:lastModifiedBy>
  <cp:revision/>
  <dcterms:created xsi:type="dcterms:W3CDTF">2020-06-19T08:59:38Z</dcterms:created>
  <dcterms:modified xsi:type="dcterms:W3CDTF">2022-11-24T14:10:42Z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0x010100C2C2A19C09597A4FB0ECB8D3006DEC5B</vt:lpwstr>
  </property>
</Properties>
</file>