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GEN\Utilities Back Dated\"/>
    </mc:Choice>
  </mc:AlternateContent>
  <xr:revisionPtr revIDLastSave="118" documentId="13_ncr:1_{B7AC1C34-DFBC-4CF3-8B6C-7ABF58D2EA71}" xr6:coauthVersionLast="47" xr6:coauthVersionMax="47" xr10:uidLastSave="{3747E920-B9F2-4B4D-BDC4-CA8410EF038F}"/>
  <bookViews>
    <workbookView xWindow="-28920" yWindow="-3765" windowWidth="29040" windowHeight="15840" firstSheet="1" activeTab="1" xr2:uid="{21DF53DB-B6C3-448C-8906-A5302A1BDE5C}"/>
  </bookViews>
  <sheets>
    <sheet name="Sheet1" sheetId="1" state="hidden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8" i="2" l="1"/>
  <c r="AH13" i="2"/>
  <c r="AH12" i="2"/>
  <c r="AH14" i="2"/>
  <c r="AG8" i="2"/>
  <c r="AG14" i="2"/>
  <c r="AG12" i="2"/>
  <c r="AG13" i="2"/>
  <c r="AF14" i="2"/>
  <c r="AF13" i="2"/>
  <c r="AF12" i="2"/>
  <c r="AE14" i="2"/>
  <c r="AE13" i="2"/>
  <c r="AE12" i="2"/>
  <c r="AD8" i="2"/>
  <c r="AE8" i="2"/>
  <c r="AF8" i="2"/>
  <c r="AD6" i="2"/>
  <c r="AD14" i="2"/>
  <c r="AD13" i="2"/>
  <c r="AD12" i="2"/>
  <c r="AB8" i="2"/>
  <c r="AC8" i="2"/>
  <c r="AC14" i="2"/>
  <c r="AC13" i="2"/>
  <c r="AC12" i="2"/>
  <c r="AB14" i="2"/>
  <c r="AB13" i="2"/>
  <c r="AB12" i="2"/>
  <c r="Z12" i="2"/>
  <c r="Z13" i="2"/>
  <c r="Z14" i="2"/>
  <c r="AA14" i="2"/>
  <c r="AA12" i="2"/>
  <c r="AA13" i="2"/>
  <c r="Z7" i="2"/>
  <c r="Z6" i="2"/>
  <c r="Z5" i="2"/>
  <c r="AA8" i="2"/>
  <c r="AA7" i="2"/>
  <c r="AA5" i="2"/>
  <c r="AA6" i="2"/>
  <c r="Y14" i="2"/>
  <c r="Y13" i="2"/>
  <c r="Y12" i="2"/>
  <c r="Y7" i="2"/>
  <c r="Y6" i="2"/>
  <c r="Y5" i="2"/>
  <c r="X8" i="2"/>
  <c r="Y8" i="2"/>
  <c r="Z8" i="2"/>
  <c r="X7" i="2"/>
  <c r="X6" i="2"/>
  <c r="X5" i="2"/>
  <c r="W8" i="2"/>
  <c r="W7" i="2"/>
  <c r="W6" i="2"/>
  <c r="W5" i="2"/>
  <c r="X12" i="2"/>
  <c r="X13" i="2"/>
  <c r="X14" i="2"/>
  <c r="V8" i="2"/>
  <c r="V7" i="2"/>
  <c r="V6" i="2"/>
  <c r="V5" i="2"/>
  <c r="W14" i="2"/>
  <c r="W13" i="2"/>
  <c r="W12" i="2"/>
  <c r="V13" i="2"/>
  <c r="V12" i="2"/>
  <c r="U8" i="2"/>
  <c r="U7" i="2"/>
  <c r="U6" i="2"/>
  <c r="U5" i="2"/>
  <c r="U14" i="2"/>
  <c r="U13" i="2"/>
  <c r="U12" i="2"/>
  <c r="T14" i="2"/>
  <c r="T13" i="2"/>
  <c r="T12" i="2"/>
  <c r="S8" i="2"/>
  <c r="T8" i="2"/>
  <c r="V14" i="2" l="1"/>
  <c r="R8" i="2"/>
  <c r="S14" i="2"/>
  <c r="S13" i="2"/>
  <c r="S12" i="2"/>
  <c r="R13" i="2"/>
  <c r="R12" i="2"/>
  <c r="Q13" i="2"/>
  <c r="Q12" i="2"/>
  <c r="O7" i="2"/>
  <c r="O8" i="2" s="1"/>
  <c r="O6" i="2"/>
  <c r="O5" i="2"/>
  <c r="P8" i="2"/>
  <c r="P7" i="2"/>
  <c r="P6" i="2"/>
  <c r="P5" i="2"/>
  <c r="Q8" i="2"/>
  <c r="Q7" i="2"/>
  <c r="Q6" i="2"/>
  <c r="Q5" i="2"/>
  <c r="P14" i="2"/>
  <c r="Q14" i="2"/>
  <c r="P13" i="2"/>
  <c r="P12" i="2"/>
  <c r="N12" i="2"/>
  <c r="N13" i="2"/>
  <c r="O12" i="2"/>
  <c r="O13" i="2"/>
  <c r="L8" i="2"/>
  <c r="M8" i="2"/>
  <c r="N8" i="2"/>
  <c r="L14" i="2"/>
  <c r="M14" i="2"/>
  <c r="N14" i="2"/>
  <c r="O14" i="2"/>
  <c r="M13" i="2"/>
  <c r="M12" i="2"/>
  <c r="L13" i="2"/>
  <c r="L12" i="2"/>
  <c r="H8" i="2"/>
  <c r="I8" i="2"/>
  <c r="J8" i="2"/>
  <c r="K8" i="2"/>
  <c r="K14" i="2"/>
  <c r="H14" i="2"/>
  <c r="I14" i="2"/>
  <c r="J14" i="2"/>
  <c r="K13" i="2"/>
  <c r="K12" i="2"/>
  <c r="J13" i="2"/>
  <c r="J12" i="2"/>
  <c r="I12" i="2"/>
  <c r="I13" i="2"/>
  <c r="H13" i="2"/>
  <c r="H12" i="2"/>
  <c r="C14" i="2"/>
  <c r="D14" i="2"/>
  <c r="E14" i="2"/>
  <c r="F14" i="2"/>
  <c r="G14" i="2"/>
  <c r="B14" i="2"/>
  <c r="C8" i="2"/>
  <c r="D8" i="2"/>
  <c r="E8" i="2"/>
  <c r="F8" i="2"/>
  <c r="G8" i="2"/>
  <c r="B8" i="2"/>
  <c r="R14" i="2" l="1"/>
  <c r="G13" i="2"/>
  <c r="G12" i="2"/>
  <c r="F13" i="2"/>
  <c r="F12" i="2"/>
  <c r="E13" i="2"/>
  <c r="E12" i="2"/>
  <c r="D13" i="2"/>
  <c r="D12" i="2"/>
  <c r="C13" i="2"/>
  <c r="C12" i="2"/>
  <c r="B13" i="2"/>
  <c r="B12" i="2"/>
  <c r="G7" i="2"/>
  <c r="G6" i="2"/>
  <c r="G5" i="2"/>
  <c r="F7" i="2"/>
  <c r="F6" i="2"/>
  <c r="F5" i="2"/>
  <c r="E7" i="2"/>
  <c r="E6" i="2"/>
  <c r="E5" i="2"/>
  <c r="D7" i="2"/>
  <c r="D6" i="2"/>
  <c r="D5" i="2"/>
  <c r="C7" i="2"/>
  <c r="C6" i="2"/>
  <c r="C5" i="2"/>
  <c r="D23" i="1" l="1"/>
  <c r="D16" i="1"/>
  <c r="D9" i="1"/>
  <c r="I14" i="1"/>
  <c r="K7" i="1"/>
  <c r="K8" i="1"/>
  <c r="H8" i="1"/>
  <c r="F8" i="1"/>
  <c r="G8" i="1"/>
  <c r="E8" i="1"/>
  <c r="D8" i="1"/>
  <c r="E22" i="1"/>
  <c r="I15" i="1"/>
  <c r="F15" i="1"/>
  <c r="E21" i="1"/>
  <c r="E14" i="1"/>
  <c r="E7" i="1"/>
</calcChain>
</file>

<file path=xl/sharedStrings.xml><?xml version="1.0" encoding="utf-8"?>
<sst xmlns="http://schemas.openxmlformats.org/spreadsheetml/2006/main" count="79" uniqueCount="38">
  <si>
    <t>Genesis Utilities Recon - April 2020</t>
  </si>
  <si>
    <t>ELECTRICITY RECON</t>
  </si>
  <si>
    <t>Opening Reading</t>
  </si>
  <si>
    <t>Closing Reading</t>
  </si>
  <si>
    <t>Consumption</t>
  </si>
  <si>
    <t>Elec Amount</t>
  </si>
  <si>
    <t>Service Fee</t>
  </si>
  <si>
    <t>Network Surc.</t>
  </si>
  <si>
    <t>Demand Energy</t>
  </si>
  <si>
    <t>Reading Dates</t>
  </si>
  <si>
    <t>Estimate / Actual</t>
  </si>
  <si>
    <t>Rates</t>
  </si>
  <si>
    <t>Days</t>
  </si>
  <si>
    <t>GEN B/C</t>
  </si>
  <si>
    <t>1Apr - 30Apr 2020</t>
  </si>
  <si>
    <t>Actual</t>
  </si>
  <si>
    <t>Council Bulk 1</t>
  </si>
  <si>
    <t>Difference</t>
  </si>
  <si>
    <t>WATER RECON</t>
  </si>
  <si>
    <t>Water Amount</t>
  </si>
  <si>
    <t>Levy Demand</t>
  </si>
  <si>
    <t>Council</t>
  </si>
  <si>
    <t>9Mar - 7May 2020</t>
  </si>
  <si>
    <t>SANTITATION RECON</t>
  </si>
  <si>
    <t>Sanitation</t>
  </si>
  <si>
    <t>Genesis Utilities Recon - April 2020 to Current</t>
  </si>
  <si>
    <t>Reonet</t>
  </si>
  <si>
    <t>April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</si>
  <si>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</si>
  <si>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</si>
  <si>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</si>
  <si>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</si>
  <si>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</si>
  <si>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</si>
  <si>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</si>
  <si>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</si>
  <si>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t>Electricity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</si>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</sst>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R-1C09]#,##0.00"/>
    <numFmt numFmtId="165" formatCode="_-[$R-436]* #,##0.00_-;\-[$R-436]* #,##0.00_-;_-[$R-436]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17" fontId="2" fillId="2" borderId="0" xfId="0" applyNumberFormat="1" applyFont="1" applyFill="1"/>
    <xf numFmtId="0" fontId="2" fillId="0" borderId="1" xfId="0" applyFont="1" applyBorder="1"/>
    <xf numFmtId="0" fontId="2" fillId="0" borderId="0" xfId="0" applyFont="1"/>
    <xf numFmtId="0" fontId="2" fillId="2" borderId="0" xfId="0" applyFont="1" applyFill="1"/>
    <xf numFmtId="164" fontId="1" fillId="0" borderId="0" xfId="1" applyNumberFormat="1" applyFont="1"/>
    <xf numFmtId="164" fontId="0" fillId="0" borderId="0" xfId="1" applyNumberFormat="1" applyFont="1"/>
    <xf numFmtId="164" fontId="0" fillId="0" borderId="0" xfId="0" applyNumberFormat="1"/>
    <xf numFmtId="164" fontId="2" fillId="0" borderId="0" xfId="0" applyNumberFormat="1" applyFont="1" applyAlignment="1">
      <alignment horizontal="center"/>
    </xf>
    <xf numFmtId="165" fontId="0" fillId="0" borderId="0" xfId="1" applyNumberFormat="1" applyFont="1"/>
    <xf numFmtId="165" fontId="0" fillId="0" borderId="0" xfId="0" applyNumberFormat="1"/>
    <xf numFmtId="165" fontId="1" fillId="0" borderId="0" xfId="1" applyNumberFormat="1" applyFon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9E80-34C6-4471-969F-65D35FF4DB33}">
  <dimension ref="A1:L23"/>
  <sheetViews>
    <sheetView workbookViewId="0">
      <selection activeCell="E8" sqref="E8"/>
    </sheetView>
  </sheetViews>
  <sheetFormatPr defaultRowHeight="15"/>
  <cols>
    <col min="1" max="1" width="13.42578125" bestFit="1" customWidth="1"/>
    <col min="2" max="2" width="16.28515625" bestFit="1" customWidth="1"/>
    <col min="3" max="3" width="15.140625" bestFit="1" customWidth="1"/>
    <col min="4" max="4" width="13.5703125" customWidth="1"/>
    <col min="5" max="5" width="14.140625" bestFit="1" customWidth="1"/>
    <col min="6" max="7" width="16.28515625" bestFit="1" customWidth="1"/>
    <col min="8" max="8" width="16.140625" bestFit="1" customWidth="1"/>
    <col min="9" max="9" width="16.42578125" bestFit="1" customWidth="1"/>
    <col min="10" max="10" width="16.140625" bestFit="1" customWidth="1"/>
    <col min="11" max="11" width="8" customWidth="1"/>
    <col min="12" max="12" width="8.42578125" customWidth="1"/>
  </cols>
  <sheetData>
    <row r="1" spans="1:12" ht="18.75">
      <c r="D1" s="1" t="s">
        <v>0</v>
      </c>
    </row>
    <row r="2" spans="1:12" ht="18.75">
      <c r="D2" s="1"/>
    </row>
    <row r="4" spans="1:12">
      <c r="E4" s="18" t="s">
        <v>1</v>
      </c>
      <c r="F4" s="18"/>
    </row>
    <row r="5" spans="1:12">
      <c r="A5" s="5">
        <v>43922</v>
      </c>
    </row>
    <row r="6" spans="1:12">
      <c r="A6" s="2"/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  <c r="L6" s="6" t="s">
        <v>12</v>
      </c>
    </row>
    <row r="7" spans="1:12">
      <c r="A7" s="6" t="s">
        <v>13</v>
      </c>
      <c r="B7" s="2"/>
      <c r="C7" s="2"/>
      <c r="D7" s="2">
        <v>15111.899999999992</v>
      </c>
      <c r="E7" s="3">
        <f>26668.32*1.15</f>
        <v>30668.567999999996</v>
      </c>
      <c r="F7" s="3"/>
      <c r="G7" s="3"/>
      <c r="H7" s="3"/>
      <c r="I7" s="2" t="s">
        <v>14</v>
      </c>
      <c r="J7" s="2" t="s">
        <v>15</v>
      </c>
      <c r="K7" s="4">
        <f>E7/D7</f>
        <v>2.0294316399658556</v>
      </c>
      <c r="L7" s="2">
        <v>30</v>
      </c>
    </row>
    <row r="8" spans="1:12">
      <c r="A8" s="6" t="s">
        <v>16</v>
      </c>
      <c r="B8" s="2">
        <v>29844743</v>
      </c>
      <c r="C8" s="2">
        <v>30006919</v>
      </c>
      <c r="D8" s="2">
        <f>C8-B8</f>
        <v>162176</v>
      </c>
      <c r="E8" s="3">
        <f>214477.76*1.15</f>
        <v>246649.424</v>
      </c>
      <c r="F8" s="3">
        <f>5366.17*1.15</f>
        <v>6171.0954999999994</v>
      </c>
      <c r="G8" s="3">
        <f>9730.56*1.15</f>
        <v>11190.143999999998</v>
      </c>
      <c r="H8" s="3">
        <f>126498.9*1.15</f>
        <v>145473.73499999999</v>
      </c>
      <c r="I8" s="2" t="s">
        <v>14</v>
      </c>
      <c r="J8" s="2" t="s">
        <v>15</v>
      </c>
      <c r="K8" s="4">
        <f>E8/D8</f>
        <v>1.520875</v>
      </c>
      <c r="L8" s="2">
        <v>30</v>
      </c>
    </row>
    <row r="9" spans="1:12">
      <c r="A9" s="6" t="s">
        <v>17</v>
      </c>
      <c r="B9" s="2"/>
      <c r="C9" s="2"/>
      <c r="D9" s="2">
        <f>D7-D8</f>
        <v>-147064.1</v>
      </c>
      <c r="E9" s="3">
        <v>-378815.83049999998</v>
      </c>
      <c r="F9" s="3"/>
      <c r="G9" s="3"/>
      <c r="H9" s="3"/>
      <c r="I9" s="2"/>
      <c r="J9" s="2"/>
      <c r="K9" s="2"/>
      <c r="L9" s="2"/>
    </row>
    <row r="11" spans="1:12">
      <c r="E11" s="18" t="s">
        <v>18</v>
      </c>
      <c r="F11" s="18"/>
    </row>
    <row r="12" spans="1:12">
      <c r="A12" s="5">
        <v>43922</v>
      </c>
    </row>
    <row r="13" spans="1:12">
      <c r="A13" s="2"/>
      <c r="B13" s="6" t="s">
        <v>2</v>
      </c>
      <c r="C13" s="6" t="s">
        <v>3</v>
      </c>
      <c r="D13" s="6" t="s">
        <v>4</v>
      </c>
      <c r="E13" s="6" t="s">
        <v>19</v>
      </c>
      <c r="F13" s="6" t="s">
        <v>20</v>
      </c>
      <c r="G13" s="6" t="s">
        <v>9</v>
      </c>
      <c r="H13" s="6" t="s">
        <v>10</v>
      </c>
      <c r="I13" s="6" t="s">
        <v>11</v>
      </c>
      <c r="J13" s="6" t="s">
        <v>12</v>
      </c>
    </row>
    <row r="14" spans="1:12">
      <c r="A14" s="6" t="s">
        <v>13</v>
      </c>
      <c r="B14" s="2"/>
      <c r="C14" s="2"/>
      <c r="D14" s="2">
        <v>143.91</v>
      </c>
      <c r="E14" s="3">
        <f>2303.46*1.15</f>
        <v>2648.9789999999998</v>
      </c>
      <c r="F14" s="3"/>
      <c r="G14" s="2" t="s">
        <v>14</v>
      </c>
      <c r="H14" s="2" t="s">
        <v>15</v>
      </c>
      <c r="I14" s="4">
        <f>E14/D14</f>
        <v>18.407191994996872</v>
      </c>
      <c r="J14" s="2">
        <v>30</v>
      </c>
    </row>
    <row r="15" spans="1:12">
      <c r="A15" s="6" t="s">
        <v>21</v>
      </c>
      <c r="B15" s="2">
        <v>31193</v>
      </c>
      <c r="C15" s="2">
        <v>32821</v>
      </c>
      <c r="D15" s="2">
        <v>1628</v>
      </c>
      <c r="E15" s="3">
        <v>109375.51099999998</v>
      </c>
      <c r="F15" s="3">
        <f>(244.46+219.58)*1.15</f>
        <v>533.64599999999996</v>
      </c>
      <c r="G15" s="2" t="s">
        <v>22</v>
      </c>
      <c r="H15" s="2" t="s">
        <v>15</v>
      </c>
      <c r="I15" s="4">
        <f>E15/D15</f>
        <v>67.18397481572481</v>
      </c>
      <c r="J15" s="2">
        <v>60</v>
      </c>
    </row>
    <row r="16" spans="1:12">
      <c r="A16" s="6" t="s">
        <v>17</v>
      </c>
      <c r="B16" s="2"/>
      <c r="C16" s="2"/>
      <c r="D16" s="2">
        <f>D14-D15</f>
        <v>-1484.09</v>
      </c>
      <c r="E16" s="3">
        <v>-107260.178</v>
      </c>
      <c r="F16" s="3"/>
      <c r="G16" s="2"/>
      <c r="H16" s="2"/>
      <c r="I16" s="2"/>
      <c r="J16" s="2"/>
    </row>
    <row r="18" spans="1:8">
      <c r="E18" s="18" t="s">
        <v>23</v>
      </c>
      <c r="F18" s="18"/>
    </row>
    <row r="19" spans="1:8">
      <c r="A19" s="5">
        <v>43922</v>
      </c>
    </row>
    <row r="20" spans="1:8">
      <c r="A20" s="2"/>
      <c r="B20" s="6" t="s">
        <v>2</v>
      </c>
      <c r="C20" s="6" t="s">
        <v>3</v>
      </c>
      <c r="D20" s="6" t="s">
        <v>4</v>
      </c>
      <c r="E20" s="6" t="s">
        <v>24</v>
      </c>
      <c r="F20" s="6" t="s">
        <v>9</v>
      </c>
      <c r="G20" s="6" t="s">
        <v>10</v>
      </c>
      <c r="H20" s="6" t="s">
        <v>12</v>
      </c>
    </row>
    <row r="21" spans="1:8">
      <c r="A21" s="6" t="s">
        <v>13</v>
      </c>
      <c r="B21" s="2"/>
      <c r="C21" s="2"/>
      <c r="D21" s="2">
        <v>143.91</v>
      </c>
      <c r="E21" s="3">
        <f>26237.61*1.15</f>
        <v>30173.251499999998</v>
      </c>
      <c r="F21" s="2" t="s">
        <v>14</v>
      </c>
      <c r="G21" s="2" t="s">
        <v>15</v>
      </c>
      <c r="H21" s="2">
        <v>30</v>
      </c>
    </row>
    <row r="22" spans="1:8">
      <c r="A22" s="6" t="s">
        <v>21</v>
      </c>
      <c r="B22" s="2">
        <v>31193</v>
      </c>
      <c r="C22" s="2">
        <v>32821</v>
      </c>
      <c r="D22" s="2">
        <v>1628</v>
      </c>
      <c r="E22" s="3">
        <f>51365.14*1.15</f>
        <v>59069.910999999993</v>
      </c>
      <c r="F22" s="2" t="s">
        <v>22</v>
      </c>
      <c r="G22" s="2" t="s">
        <v>15</v>
      </c>
      <c r="H22" s="2">
        <v>60</v>
      </c>
    </row>
    <row r="23" spans="1:8">
      <c r="A23" s="6" t="s">
        <v>17</v>
      </c>
      <c r="B23" s="2"/>
      <c r="C23" s="2"/>
      <c r="D23" s="2">
        <f>D21-D22</f>
        <v>-1484.09</v>
      </c>
      <c r="E23" s="3">
        <v>-28896.659500000002</v>
      </c>
      <c r="F23" s="2"/>
      <c r="G23" s="2"/>
      <c r="H23" s="2"/>
    </row>
  </sheetData>
  <mergeCells count="3">
    <mergeCell ref="E4:F4"/>
    <mergeCell ref="E11:F11"/>
    <mergeCell ref="E18:F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1210-2362-4B0D-9DA0-4EAC38DBD876}">
  <dimension ref="A1:AI14"/>
  <sheetViews>
    <sheetView tabSelected="1" workbookViewId="0">
      <pane xSplit="1" topLeftCell="Y1" activePane="topRight" state="frozen"/>
      <selection pane="topRight" activeCell="AM7" sqref="AM7"/>
    </sheetView>
  </sheetViews>
  <sheetFormatPr defaultRowHeight="15"/>
  <cols>
    <col min="1" max="1" width="10.7109375" customWidth="1"/>
    <col min="2" max="3" width="12.5703125" customWidth="1"/>
    <col min="4" max="4" width="13.5703125" customWidth="1"/>
    <col min="5" max="7" width="12.5703125" customWidth="1"/>
    <col min="8" max="8" width="13.42578125" customWidth="1"/>
    <col min="9" max="9" width="15.28515625" customWidth="1"/>
    <col min="10" max="10" width="13.7109375" customWidth="1"/>
    <col min="11" max="11" width="13" customWidth="1"/>
    <col min="12" max="13" width="12.7109375" customWidth="1"/>
    <col min="14" max="18" width="12.7109375" bestFit="1" customWidth="1"/>
    <col min="19" max="19" width="12.85546875" bestFit="1" customWidth="1"/>
    <col min="20" max="23" width="12.7109375" bestFit="1" customWidth="1"/>
    <col min="24" max="34" width="13" bestFit="1" customWidth="1"/>
  </cols>
  <sheetData>
    <row r="1" spans="1:35" ht="18.75">
      <c r="D1" s="1" t="s">
        <v>25</v>
      </c>
    </row>
    <row r="3" spans="1:35">
      <c r="A3" s="8" t="s">
        <v>26</v>
      </c>
    </row>
    <row r="4" spans="1:35">
      <c r="A4" s="7"/>
      <c r="B4" s="17" t="s">
        <v>27</v>
      </c>
      <c r="C4" s="17" t="s">
        <v>28</v>
      </c>
      <c r="D4" s="17" t="s">
        <v>29</v>
      </c>
      <c r="E4" s="17" t="s">
        <v>30</v>
      </c>
      <c r="F4" s="17" t="s">
        <v>31</v>
      </c>
      <c r="G4" s="17" t="s">
        <v>32</v>
      </c>
      <c r="H4" s="17" t="s">
        <v>33</v>
      </c>
      <c r="I4" s="17" t="s">
        <v>34</v>
      </c>
      <c r="J4" s="17" t="s">
        <v>35</v>
      </c>
      <c r="K4" s="16">
        <v>44197</v>
      </c>
      <c r="L4" s="16">
        <v>44228</v>
      </c>
      <c r="M4" s="16">
        <v>44256</v>
      </c>
      <c r="N4" s="16">
        <v>44287</v>
      </c>
      <c r="O4" s="16">
        <v>44317</v>
      </c>
      <c r="P4" s="16">
        <v>44348</v>
      </c>
      <c r="Q4" s="16">
        <v>44378</v>
      </c>
      <c r="R4" s="16">
        <v>44409</v>
      </c>
      <c r="S4" s="16">
        <v>44440</v>
      </c>
      <c r="T4" s="16">
        <v>44470</v>
      </c>
      <c r="U4" s="16">
        <v>44501</v>
      </c>
      <c r="V4" s="16">
        <v>44531</v>
      </c>
      <c r="W4" s="16">
        <v>44562</v>
      </c>
      <c r="X4" s="16">
        <v>44593</v>
      </c>
      <c r="Y4" s="16">
        <v>44621</v>
      </c>
      <c r="Z4" s="16">
        <v>44652</v>
      </c>
      <c r="AA4" s="16">
        <v>44682</v>
      </c>
      <c r="AB4" s="16">
        <v>44713</v>
      </c>
      <c r="AC4" s="16">
        <v>44743</v>
      </c>
      <c r="AD4" s="16">
        <v>44774</v>
      </c>
      <c r="AE4" s="16">
        <v>44805</v>
      </c>
      <c r="AF4" s="16">
        <v>44835</v>
      </c>
      <c r="AG4" s="16">
        <v>44866</v>
      </c>
      <c r="AH4" s="16">
        <v>44896</v>
      </c>
      <c r="AI4" s="16">
        <v>44927</v>
      </c>
    </row>
    <row r="5" spans="1:35">
      <c r="A5" s="7" t="s">
        <v>36</v>
      </c>
      <c r="B5" s="9">
        <v>30668.567999999996</v>
      </c>
      <c r="C5" s="9">
        <f>27179.44*1.15</f>
        <v>31256.355999999996</v>
      </c>
      <c r="D5" s="9">
        <f>35751.24*1.15</f>
        <v>41113.925999999992</v>
      </c>
      <c r="E5" s="9">
        <f>37949.75*1.15</f>
        <v>43642.212499999994</v>
      </c>
      <c r="F5" s="9">
        <f>40628.32*1.15</f>
        <v>46722.567999999999</v>
      </c>
      <c r="G5" s="9">
        <f>42932.73*1.15</f>
        <v>49372.639499999997</v>
      </c>
      <c r="H5" s="15">
        <v>44598.42</v>
      </c>
      <c r="I5" s="15">
        <v>46139.62</v>
      </c>
      <c r="J5" s="15">
        <v>54365.68</v>
      </c>
      <c r="K5" s="15">
        <v>49444.66</v>
      </c>
      <c r="L5" s="14">
        <v>46855.760999999999</v>
      </c>
      <c r="M5" s="14">
        <v>51140.212500000001</v>
      </c>
      <c r="N5" s="14">
        <v>54661.731</v>
      </c>
      <c r="O5" s="14">
        <f>37130.72*1.15</f>
        <v>42700.328000000001</v>
      </c>
      <c r="P5" s="14">
        <f>77558.88*1.15</f>
        <v>89192.712</v>
      </c>
      <c r="Q5" s="14">
        <f>80159.16*1.15</f>
        <v>92183.034</v>
      </c>
      <c r="R5" s="14">
        <v>78991.16</v>
      </c>
      <c r="S5" s="14">
        <v>54915.48</v>
      </c>
      <c r="T5" s="14">
        <v>47999.32</v>
      </c>
      <c r="U5" s="14">
        <f>41709.19*1.15</f>
        <v>47965.568500000001</v>
      </c>
      <c r="V5" s="14">
        <f>34085.59*1.15</f>
        <v>39198.428499999995</v>
      </c>
      <c r="W5" s="14">
        <f>37794.18*1.15</f>
        <v>43463.306999999993</v>
      </c>
      <c r="X5">
        <f>41906.13*1.15</f>
        <v>48192.049499999994</v>
      </c>
      <c r="Y5" s="14">
        <f>39793.18*1.15</f>
        <v>45762.156999999999</v>
      </c>
      <c r="Z5" s="14">
        <f>44727.54*1.15</f>
        <v>51436.670999999995</v>
      </c>
      <c r="AA5" s="14">
        <f>48082.14*1.15</f>
        <v>55294.460999999996</v>
      </c>
      <c r="AB5" s="14">
        <v>64466.53</v>
      </c>
      <c r="AC5" s="14">
        <v>59037.86</v>
      </c>
      <c r="AD5" s="14">
        <v>57164.58</v>
      </c>
      <c r="AE5" s="14">
        <v>52033.88</v>
      </c>
      <c r="AF5" s="14">
        <v>52898.19</v>
      </c>
      <c r="AG5" s="14">
        <v>55028.15</v>
      </c>
      <c r="AH5">
        <v>57163.77</v>
      </c>
    </row>
    <row r="6" spans="1:35">
      <c r="A6" s="7" t="s">
        <v>37</v>
      </c>
      <c r="B6" s="9">
        <v>2648.9789999999998</v>
      </c>
      <c r="C6" s="9">
        <f>2400.99*1.15</f>
        <v>2761.1384999999996</v>
      </c>
      <c r="D6" s="10">
        <f>2476.2*1.15</f>
        <v>2847.6299999999997</v>
      </c>
      <c r="E6" s="10">
        <f>1670.76*1.15</f>
        <v>1921.3739999999998</v>
      </c>
      <c r="F6" s="10">
        <f>1670.76*1.15</f>
        <v>1921.3739999999998</v>
      </c>
      <c r="G6" s="10">
        <f>1670.76*1.15</f>
        <v>1921.3739999999998</v>
      </c>
      <c r="H6" s="14">
        <v>1952</v>
      </c>
      <c r="I6" s="15">
        <v>1921.5</v>
      </c>
      <c r="J6" s="15">
        <v>1921.5</v>
      </c>
      <c r="K6" s="15">
        <v>1936.5</v>
      </c>
      <c r="L6" s="14">
        <v>1921.374</v>
      </c>
      <c r="M6" s="14">
        <v>1921.374</v>
      </c>
      <c r="N6" s="14">
        <v>2712.7004999999999</v>
      </c>
      <c r="O6" s="14">
        <f>9005.37*1.15</f>
        <v>10356.175499999999</v>
      </c>
      <c r="P6" s="14">
        <f>5387.28*1.15</f>
        <v>6195.3719999999994</v>
      </c>
      <c r="Q6" s="14">
        <f>5196.75*1.15</f>
        <v>5976.2624999999998</v>
      </c>
      <c r="R6" s="14">
        <v>3472.76</v>
      </c>
      <c r="S6" s="14">
        <v>2623.06</v>
      </c>
      <c r="T6" s="14">
        <v>2530.1799999999998</v>
      </c>
      <c r="U6" s="14">
        <f>2200.09*1.15</f>
        <v>2530.1035000000002</v>
      </c>
      <c r="V6" s="14">
        <f>2988.56*1.15</f>
        <v>3436.8439999999996</v>
      </c>
      <c r="W6" s="14">
        <f>3023.97*1.15</f>
        <v>3477.5654999999997</v>
      </c>
      <c r="X6">
        <f>2286.64*1.15</f>
        <v>2629.6359999999995</v>
      </c>
      <c r="Y6" s="14">
        <f>1904.27*1.15</f>
        <v>2189.9105</v>
      </c>
      <c r="Z6" s="14">
        <f>1804.44*1.15</f>
        <v>2075.1059999999998</v>
      </c>
      <c r="AA6" s="14">
        <f>1974.75*1.15</f>
        <v>2270.9624999999996</v>
      </c>
      <c r="AB6" s="14">
        <v>2098.16</v>
      </c>
      <c r="AC6" s="14">
        <v>2079.79</v>
      </c>
      <c r="AD6" s="14">
        <f>2075.11</f>
        <v>2075.11</v>
      </c>
      <c r="AE6" s="14">
        <v>2298.94</v>
      </c>
      <c r="AF6" s="14">
        <v>2346.2199999999998</v>
      </c>
      <c r="AG6" s="14">
        <v>2435.61</v>
      </c>
      <c r="AH6">
        <v>4308.51</v>
      </c>
    </row>
    <row r="7" spans="1:35">
      <c r="A7" s="7" t="s">
        <v>24</v>
      </c>
      <c r="B7" s="9">
        <v>30173.251499999998</v>
      </c>
      <c r="C7" s="9">
        <f>26237.61*1.15</f>
        <v>30173.251499999998</v>
      </c>
      <c r="D7" s="9">
        <f>26237.61*1.15</f>
        <v>30173.251499999998</v>
      </c>
      <c r="E7" s="9">
        <f>27969.48*1.15</f>
        <v>32164.901999999998</v>
      </c>
      <c r="F7" s="9">
        <f>27969.48*1.15</f>
        <v>32164.901999999998</v>
      </c>
      <c r="G7" s="9">
        <f>27969.48*1.15</f>
        <v>32164.901999999998</v>
      </c>
      <c r="H7" s="15">
        <v>32675.200000000001</v>
      </c>
      <c r="I7" s="15">
        <v>32164.65</v>
      </c>
      <c r="J7" s="15">
        <v>32164.65</v>
      </c>
      <c r="K7" s="15">
        <v>32164.65</v>
      </c>
      <c r="L7" s="14">
        <v>32164.901999999998</v>
      </c>
      <c r="M7" s="14">
        <v>32164.901999999998</v>
      </c>
      <c r="N7" s="14">
        <v>32164.901999999998</v>
      </c>
      <c r="O7" s="14">
        <f>27969.48*1.15</f>
        <v>32164.901999999998</v>
      </c>
      <c r="P7" s="14">
        <f>27969.48*1.15</f>
        <v>32164.901999999998</v>
      </c>
      <c r="Q7" s="14">
        <f>29871.45*1.15</f>
        <v>34352.167499999996</v>
      </c>
      <c r="R7" s="14">
        <v>34352.01</v>
      </c>
      <c r="S7" s="14">
        <v>34352.01</v>
      </c>
      <c r="T7" s="14">
        <v>34352.01</v>
      </c>
      <c r="U7" s="14">
        <f>29871.45*1.15</f>
        <v>34352.167499999996</v>
      </c>
      <c r="V7" s="14">
        <f>29871.45*1.15</f>
        <v>34352.167499999996</v>
      </c>
      <c r="W7" s="14">
        <f>29871.45*1.15</f>
        <v>34352.167499999996</v>
      </c>
      <c r="X7">
        <f>29871.45*1.15</f>
        <v>34352.167499999996</v>
      </c>
      <c r="Y7" s="14">
        <f>29871.45*1.15</f>
        <v>34352.167499999996</v>
      </c>
      <c r="Z7" s="14">
        <f>29871.45*1.15</f>
        <v>34352.167499999996</v>
      </c>
      <c r="AA7" s="14">
        <f>29871.45*1.15</f>
        <v>34352.167499999996</v>
      </c>
      <c r="AB7" s="14">
        <v>34352.17</v>
      </c>
      <c r="AC7" s="14">
        <v>34352.01</v>
      </c>
      <c r="AD7" s="14">
        <v>34352.17</v>
      </c>
      <c r="AE7" s="14">
        <v>37701.53</v>
      </c>
      <c r="AF7" s="14">
        <v>37701.53</v>
      </c>
      <c r="AG7" s="14">
        <v>37701.72</v>
      </c>
      <c r="AH7">
        <v>37701.53</v>
      </c>
    </row>
    <row r="8" spans="1:35">
      <c r="B8" s="11">
        <f>SUM(B5:B7)</f>
        <v>63490.798499999997</v>
      </c>
      <c r="C8" s="11">
        <f t="shared" ref="C8:O8" si="0">SUM(C5:C7)</f>
        <v>64190.745999999992</v>
      </c>
      <c r="D8" s="11">
        <f t="shared" si="0"/>
        <v>74134.807499999995</v>
      </c>
      <c r="E8" s="11">
        <f t="shared" si="0"/>
        <v>77728.488499999992</v>
      </c>
      <c r="F8" s="11">
        <f t="shared" si="0"/>
        <v>80808.843999999997</v>
      </c>
      <c r="G8" s="11">
        <f t="shared" si="0"/>
        <v>83458.915500000003</v>
      </c>
      <c r="H8" s="14">
        <f t="shared" si="0"/>
        <v>79225.62</v>
      </c>
      <c r="I8" s="14">
        <f t="shared" si="0"/>
        <v>80225.77</v>
      </c>
      <c r="J8" s="14">
        <f t="shared" si="0"/>
        <v>88451.83</v>
      </c>
      <c r="K8" s="14">
        <f t="shared" si="0"/>
        <v>83545.81</v>
      </c>
      <c r="L8" s="14">
        <f t="shared" si="0"/>
        <v>80942.036999999997</v>
      </c>
      <c r="M8" s="14">
        <f t="shared" si="0"/>
        <v>85226.488500000007</v>
      </c>
      <c r="N8" s="14">
        <f t="shared" si="0"/>
        <v>89539.333499999993</v>
      </c>
      <c r="O8" s="14">
        <f t="shared" si="0"/>
        <v>85221.405499999993</v>
      </c>
      <c r="P8" s="14">
        <f>SUM(P5:P7)</f>
        <v>127552.986</v>
      </c>
      <c r="Q8" s="14">
        <f>SUM(Q5:Q7)</f>
        <v>132511.46399999998</v>
      </c>
      <c r="R8" s="14">
        <f>SUM(R5:R7)</f>
        <v>116815.93</v>
      </c>
      <c r="S8" s="14">
        <f t="shared" ref="S8:T8" si="1">SUM(S5:S7)</f>
        <v>91890.55</v>
      </c>
      <c r="T8" s="14">
        <f t="shared" si="1"/>
        <v>84881.510000000009</v>
      </c>
      <c r="U8" s="14">
        <f>SUM(U5:U7)</f>
        <v>84847.839500000002</v>
      </c>
      <c r="V8" s="14">
        <f>SUM(V5:V7)</f>
        <v>76987.439999999988</v>
      </c>
      <c r="W8" s="14">
        <f>SUM(W5:W7)</f>
        <v>81293.039999999979</v>
      </c>
      <c r="X8" s="14">
        <f t="shared" ref="X8:Z8" si="2">SUM(X5:X7)</f>
        <v>85173.852999999988</v>
      </c>
      <c r="Y8" s="14">
        <f t="shared" si="2"/>
        <v>82304.234999999986</v>
      </c>
      <c r="Z8" s="14">
        <f t="shared" si="2"/>
        <v>87863.944499999983</v>
      </c>
      <c r="AA8" s="14">
        <f>SUM(AA5:AA7)</f>
        <v>91917.590999999986</v>
      </c>
      <c r="AB8" s="14">
        <f t="shared" ref="AB8:AH8" si="3">SUM(AB5:AB7)</f>
        <v>100916.86</v>
      </c>
      <c r="AC8" s="14">
        <f t="shared" si="3"/>
        <v>95469.66</v>
      </c>
      <c r="AD8" s="14">
        <f t="shared" si="3"/>
        <v>93591.86</v>
      </c>
      <c r="AE8" s="14">
        <f t="shared" si="3"/>
        <v>92034.35</v>
      </c>
      <c r="AF8" s="14">
        <f t="shared" si="3"/>
        <v>92945.94</v>
      </c>
      <c r="AG8" s="14">
        <f t="shared" si="3"/>
        <v>95165.48000000001</v>
      </c>
      <c r="AH8" s="14">
        <f t="shared" si="3"/>
        <v>99173.81</v>
      </c>
    </row>
    <row r="9" spans="1:35">
      <c r="A9" s="7" t="s">
        <v>21</v>
      </c>
      <c r="B9" s="11"/>
      <c r="C9" s="11"/>
      <c r="D9" s="11"/>
      <c r="E9" s="11"/>
      <c r="F9" s="11"/>
      <c r="G9" s="11"/>
    </row>
    <row r="10" spans="1:35">
      <c r="B10" s="12" t="s">
        <v>27</v>
      </c>
      <c r="C10" s="12" t="s">
        <v>28</v>
      </c>
      <c r="D10" s="12" t="s">
        <v>29</v>
      </c>
      <c r="E10" s="12" t="s">
        <v>30</v>
      </c>
      <c r="F10" s="12" t="s">
        <v>31</v>
      </c>
      <c r="G10" s="12" t="s">
        <v>32</v>
      </c>
      <c r="H10" s="17" t="s">
        <v>33</v>
      </c>
      <c r="I10" s="17" t="s">
        <v>34</v>
      </c>
      <c r="J10" s="17" t="s">
        <v>35</v>
      </c>
      <c r="K10" s="16">
        <v>44197</v>
      </c>
      <c r="L10" s="16">
        <v>44228</v>
      </c>
      <c r="M10" s="16">
        <v>44256</v>
      </c>
      <c r="N10" s="16">
        <v>44287</v>
      </c>
      <c r="O10" s="16">
        <v>44317</v>
      </c>
      <c r="P10" s="16">
        <v>44348</v>
      </c>
      <c r="Q10" s="16">
        <v>44378</v>
      </c>
      <c r="R10" s="16">
        <v>44409</v>
      </c>
      <c r="S10" s="16">
        <v>44440</v>
      </c>
      <c r="T10" s="16">
        <v>44470</v>
      </c>
      <c r="U10" s="16">
        <v>44501</v>
      </c>
      <c r="V10" s="16">
        <v>44531</v>
      </c>
      <c r="W10" s="16">
        <v>44562</v>
      </c>
      <c r="X10" s="16">
        <v>44593</v>
      </c>
      <c r="Y10" s="16">
        <v>44621</v>
      </c>
      <c r="Z10" s="16">
        <v>44652</v>
      </c>
      <c r="AA10" s="16">
        <v>44682</v>
      </c>
      <c r="AB10" s="16">
        <v>44713</v>
      </c>
      <c r="AC10" s="16">
        <v>44743</v>
      </c>
      <c r="AD10" s="16">
        <v>44774</v>
      </c>
      <c r="AE10" s="16">
        <v>44805</v>
      </c>
      <c r="AF10" s="16">
        <v>44835</v>
      </c>
      <c r="AG10" s="16">
        <v>44866</v>
      </c>
      <c r="AH10" s="16">
        <v>44896</v>
      </c>
      <c r="AI10" s="16">
        <v>44927</v>
      </c>
    </row>
    <row r="11" spans="1:35">
      <c r="A11" s="7" t="s">
        <v>36</v>
      </c>
      <c r="B11" s="10">
        <v>417450.29</v>
      </c>
      <c r="C11" s="10">
        <v>407991.02</v>
      </c>
      <c r="D11" s="10">
        <v>496710.28</v>
      </c>
      <c r="E11" s="10">
        <v>516463.96</v>
      </c>
      <c r="F11" s="10">
        <v>538666.68000000005</v>
      </c>
      <c r="G11" s="10">
        <v>483076.13</v>
      </c>
      <c r="H11" s="13">
        <v>476153.88</v>
      </c>
      <c r="I11" s="13">
        <v>528714.63</v>
      </c>
      <c r="J11" s="13">
        <v>540023.41</v>
      </c>
      <c r="K11" s="13">
        <v>525541</v>
      </c>
      <c r="L11" s="14">
        <v>526543.62</v>
      </c>
      <c r="M11" s="14">
        <v>484370.22</v>
      </c>
      <c r="N11" s="14">
        <v>483340.11</v>
      </c>
      <c r="O11" s="14">
        <v>485628.65</v>
      </c>
      <c r="P11" s="14">
        <v>595737.77</v>
      </c>
      <c r="Q11" s="14">
        <v>670781.96</v>
      </c>
      <c r="R11" s="14">
        <v>690413.49</v>
      </c>
      <c r="S11" s="14">
        <v>530391.47</v>
      </c>
      <c r="T11" s="14">
        <v>522975.31</v>
      </c>
      <c r="U11" s="14">
        <v>561526.01</v>
      </c>
      <c r="V11" s="14">
        <v>534804.62</v>
      </c>
      <c r="W11" s="14">
        <v>544694.48</v>
      </c>
      <c r="X11" s="14">
        <v>576064.34</v>
      </c>
      <c r="Y11" s="14">
        <v>515718.52</v>
      </c>
      <c r="Z11" s="14">
        <v>500702.47</v>
      </c>
      <c r="AA11" s="14">
        <v>494742.86</v>
      </c>
      <c r="AB11" s="14">
        <v>592552.95999999996</v>
      </c>
      <c r="AC11" s="14">
        <v>537812.78</v>
      </c>
      <c r="AD11" s="14">
        <v>632801.15</v>
      </c>
      <c r="AE11" s="14">
        <v>493473.29</v>
      </c>
      <c r="AF11" s="14">
        <v>506621.93</v>
      </c>
      <c r="AG11" s="14">
        <v>526393.11</v>
      </c>
      <c r="AH11" s="14">
        <v>488792.55</v>
      </c>
    </row>
    <row r="12" spans="1:35">
      <c r="A12" s="7" t="s">
        <v>37</v>
      </c>
      <c r="B12" s="10">
        <f>(79499.79+244.46+15609.35+219.58)*1.15</f>
        <v>109909.15700000001</v>
      </c>
      <c r="C12" s="10">
        <f>(49820.6-107.63-76.17-162.53-236.45-78917.01-8438+244.46-7171.35)*1.15</f>
        <v>-51800.691999999981</v>
      </c>
      <c r="D12" s="10">
        <f>(17281.75+260.59+234.07)*1.15</f>
        <v>20442.871499999997</v>
      </c>
      <c r="E12" s="10">
        <f>(9047.58+6686.15+260.59+2143.87+4839.12+234.07)*1.15</f>
        <v>26693.086999999996</v>
      </c>
      <c r="F12" s="10">
        <f>(20572.84+260.59-2143.87-4839.12+234.07)*1.15</f>
        <v>16197.186500000002</v>
      </c>
      <c r="G12" s="10">
        <f>(24772.52+260.59+6661.1+234.07)*1.15</f>
        <v>36717.521999999997</v>
      </c>
      <c r="H12" s="13">
        <f>(23131.19+260.59+847.78+234.07)*1.15</f>
        <v>28144.674499999994</v>
      </c>
      <c r="I12" s="13">
        <f>(25683.94+260.59+6297.77+234.07)*1.15</f>
        <v>37347.825499999999</v>
      </c>
      <c r="J12" s="13">
        <f>(29802.61+260.59+1332.22+234.07)*1.15</f>
        <v>36373.913500000002</v>
      </c>
      <c r="K12" s="13">
        <f>(32872.07+260.59+6176.66+234.07)*1.15</f>
        <v>45474.898499999988</v>
      </c>
      <c r="L12" s="14">
        <f>27436.07+260.59+968.89+234.07*1.15</f>
        <v>28934.730499999998</v>
      </c>
      <c r="M12" s="14">
        <f>21505.7+260.59+1702.96+234.07*1.15</f>
        <v>23738.430499999999</v>
      </c>
      <c r="N12" s="14">
        <f>(22874.23+260.59+34598.6+234.07)*1.15</f>
        <v>66662.613499999992</v>
      </c>
      <c r="O12" s="14">
        <f>(67338.01+260.59-32981.38-25604.6+1573.95+234.07)*1.15</f>
        <v>12443.735999999994</v>
      </c>
      <c r="P12" s="14">
        <f>(72703.28+278.31+2203.53+249.99)*1.15</f>
        <v>86750.376499999998</v>
      </c>
      <c r="Q12" s="14">
        <f>(34133.46+29162.82+278.31+5996+5123.2+249.99)*1.15</f>
        <v>86185.346999999994</v>
      </c>
      <c r="R12" s="14">
        <f>(26303.2+278.31+19790.67+249.99)*1.15</f>
        <v>53615.495499999997</v>
      </c>
      <c r="S12" s="14">
        <f>(43019.73+278.31+12798.21+249.99)*1.15</f>
        <v>64798.175999999992</v>
      </c>
      <c r="T12" s="14">
        <f>(37098.9+278.31+5235.27+249.99)*1.15</f>
        <v>49291.840499999991</v>
      </c>
      <c r="U12" s="14">
        <f>(37948+278.31+6580.11+249.99)*1.15</f>
        <v>51814.871499999994</v>
      </c>
      <c r="V12" s="14">
        <f>(69125.07+278.31+249.99)*1.15</f>
        <v>80101.375500000009</v>
      </c>
      <c r="W12" s="14">
        <f>51744.03-(10162.53*1.15)</f>
        <v>40057.120499999997</v>
      </c>
      <c r="X12" s="14">
        <f>139777.72-X13</f>
        <v>88074.502000000008</v>
      </c>
      <c r="Y12" s="14">
        <f>(35678.09+278.31+15230.37+249.99)*1.15</f>
        <v>59152.27399999999</v>
      </c>
      <c r="Z12" s="14">
        <f>67438.52-Z13</f>
        <v>42701.916500000007</v>
      </c>
      <c r="AA12" s="14">
        <f>54244.81-AA13</f>
        <v>35000.640999999996</v>
      </c>
      <c r="AB12" s="14">
        <f>(35343.02+305.44+1200.75+274.36)*1.15</f>
        <v>42692.105499999998</v>
      </c>
      <c r="AC12" s="14">
        <f>(30081.49+17292.4+305.44+4973.85+2339.36+274.36)*1.15</f>
        <v>63556.934999999998</v>
      </c>
      <c r="AD12" s="14">
        <f>(206.96+305.44+60.22+144.76+274.36-4973.85-2339.36)*1.15</f>
        <v>-7269.6905000000006</v>
      </c>
      <c r="AE12" s="14">
        <f>(146.96+305.44+6176.28+274.36)*1.15</f>
        <v>7938.4959999999983</v>
      </c>
      <c r="AF12" s="14">
        <f>(13690.61+305.44+5034.88+274.36)*1.15</f>
        <v>22201.083500000001</v>
      </c>
      <c r="AG12" s="14">
        <f>(13690.61+305.44+51373.38+305.44+5034.88+274.36+547.13+1648.57)*1.15</f>
        <v>84156.781500000012</v>
      </c>
      <c r="AH12" s="14">
        <f>(27392.14+305.44+3334.85+274.36+947.16)*1.15</f>
        <v>37092.042499999996</v>
      </c>
    </row>
    <row r="13" spans="1:35">
      <c r="A13" s="7" t="s">
        <v>24</v>
      </c>
      <c r="B13" s="10">
        <f>51365.14*1.15</f>
        <v>59069.910999999993</v>
      </c>
      <c r="C13" s="10">
        <f>(32675.44-51365.14)*1.15</f>
        <v>-21493.154999999999</v>
      </c>
      <c r="D13" s="10">
        <f>11354*1.15</f>
        <v>13057.099999999999</v>
      </c>
      <c r="E13" s="10">
        <f>(5993.73+4134.06)*1.15</f>
        <v>11646.958500000001</v>
      </c>
      <c r="F13" s="10">
        <f>12674.74*1.15</f>
        <v>14575.950999999999</v>
      </c>
      <c r="G13" s="10">
        <f>15129*1.15</f>
        <v>17398.349999999999</v>
      </c>
      <c r="H13" s="13">
        <f>14221.26*1.15</f>
        <v>16354.448999999999</v>
      </c>
      <c r="I13" s="13">
        <f>15700.54*1.15</f>
        <v>18055.620999999999</v>
      </c>
      <c r="J13" s="13">
        <f>18154.8*1.15</f>
        <v>20878.019999999997</v>
      </c>
      <c r="K13" s="13">
        <f>20003.9*1.15</f>
        <v>23004.485000000001</v>
      </c>
      <c r="L13" s="14">
        <f>16641.9*1.15</f>
        <v>19138.185000000001</v>
      </c>
      <c r="M13" s="14">
        <f>13179.04*1.15</f>
        <v>15155.896000000001</v>
      </c>
      <c r="N13" s="14">
        <f>14053.16*1.15</f>
        <v>16161.133999999998</v>
      </c>
      <c r="O13" s="14">
        <f>40344*1.15</f>
        <v>46395.6</v>
      </c>
      <c r="P13" s="14">
        <f>43504.28*1.15</f>
        <v>50029.921999999991</v>
      </c>
      <c r="Q13" s="14">
        <f>(20526.88+17540.04)*1.15</f>
        <v>43776.957999999991</v>
      </c>
      <c r="R13" s="14">
        <f>16051.77*1.15</f>
        <v>18459.535499999998</v>
      </c>
      <c r="S13" s="14">
        <f>26034.75*1.15</f>
        <v>29939.962499999998</v>
      </c>
      <c r="T13" s="14">
        <f>22443.75*1.15</f>
        <v>25810.312499999996</v>
      </c>
      <c r="U13" s="14">
        <f>22946.49*1.15</f>
        <v>26388.463499999998</v>
      </c>
      <c r="V13" s="14">
        <f>41440.14*1.15</f>
        <v>47656.160999999993</v>
      </c>
      <c r="W13" s="14">
        <f>10162.53*1.15</f>
        <v>11686.9095</v>
      </c>
      <c r="X13" s="14">
        <f>44959.32*1.15</f>
        <v>51703.217999999993</v>
      </c>
      <c r="Y13" s="14">
        <f>21653.73*1.15</f>
        <v>24901.789499999999</v>
      </c>
      <c r="Z13" s="14">
        <f>21510.09*1.15</f>
        <v>24736.603499999997</v>
      </c>
      <c r="AA13" s="14">
        <f>16734.06*1.15</f>
        <v>19244.169000000002</v>
      </c>
      <c r="AB13" s="14">
        <f>21438.27*1.15</f>
        <v>24654.0105</v>
      </c>
      <c r="AC13" s="14">
        <f>(18169.34+10444.88+1519.76+146.26)*1.15</f>
        <v>34822.275999999998</v>
      </c>
      <c r="AD13" s="14">
        <f>630.56*1.15</f>
        <v>725.14399999999989</v>
      </c>
      <c r="AE13" s="14">
        <f>472.92*1.15</f>
        <v>543.85799999999995</v>
      </c>
      <c r="AF13" s="14">
        <f>8630.79*1.15</f>
        <v>9925.4084999999995</v>
      </c>
      <c r="AG13" s="14">
        <f>(8630.79+31055.08)*1.15</f>
        <v>45638.750500000002</v>
      </c>
      <c r="AH13" s="14">
        <f>16631.02*1.15</f>
        <v>19125.672999999999</v>
      </c>
    </row>
    <row r="14" spans="1:35">
      <c r="B14" s="11">
        <f>SUM(B11:B13)</f>
        <v>586429.35799999989</v>
      </c>
      <c r="C14" s="11">
        <f t="shared" ref="C14:J14" si="4">SUM(C11:C13)</f>
        <v>334697.17300000007</v>
      </c>
      <c r="D14" s="11">
        <f t="shared" si="4"/>
        <v>530210.25150000001</v>
      </c>
      <c r="E14" s="11">
        <f t="shared" si="4"/>
        <v>554804.00549999997</v>
      </c>
      <c r="F14" s="11">
        <f t="shared" si="4"/>
        <v>569439.8175</v>
      </c>
      <c r="G14" s="11">
        <f t="shared" si="4"/>
        <v>537192.00199999998</v>
      </c>
      <c r="H14" s="11">
        <f t="shared" si="4"/>
        <v>520653.00349999999</v>
      </c>
      <c r="I14" s="11">
        <f t="shared" si="4"/>
        <v>584118.07650000008</v>
      </c>
      <c r="J14" s="11">
        <f t="shared" si="4"/>
        <v>597275.34350000008</v>
      </c>
      <c r="K14" s="11">
        <f>SUM(K11:K13)</f>
        <v>594020.3835</v>
      </c>
      <c r="L14" s="11">
        <f t="shared" ref="L14:S14" si="5">SUM(L11:L13)</f>
        <v>574616.5355</v>
      </c>
      <c r="M14" s="11">
        <f t="shared" si="5"/>
        <v>523264.5465</v>
      </c>
      <c r="N14" s="11">
        <f t="shared" si="5"/>
        <v>566163.85749999993</v>
      </c>
      <c r="O14" s="11">
        <f t="shared" si="5"/>
        <v>544467.98600000003</v>
      </c>
      <c r="P14" s="11">
        <f t="shared" si="5"/>
        <v>732518.06850000005</v>
      </c>
      <c r="Q14" s="11">
        <f t="shared" si="5"/>
        <v>800744.2649999999</v>
      </c>
      <c r="R14" s="11">
        <f t="shared" si="5"/>
        <v>762488.52099999995</v>
      </c>
      <c r="S14" s="11">
        <f t="shared" si="5"/>
        <v>625129.60849999997</v>
      </c>
      <c r="T14" s="14">
        <f>SUM(T11:T13)</f>
        <v>598077.46299999999</v>
      </c>
      <c r="U14" s="14">
        <f t="shared" ref="U14:V14" si="6">SUM(U11:U13)</f>
        <v>639729.34499999997</v>
      </c>
      <c r="V14" s="14">
        <f t="shared" si="6"/>
        <v>662562.15649999992</v>
      </c>
      <c r="W14" s="14">
        <f>SUM(W11:W13)</f>
        <v>596438.50999999989</v>
      </c>
      <c r="X14" s="14">
        <f>SUM(X11:X13)</f>
        <v>715842.05999999994</v>
      </c>
      <c r="Y14" s="14">
        <f>SUM(Y11:Y13)</f>
        <v>599772.58349999995</v>
      </c>
      <c r="Z14" s="14">
        <f t="shared" ref="Z14:AD14" si="7">SUM(Z11:Z13)</f>
        <v>568140.99</v>
      </c>
      <c r="AA14" s="14">
        <f t="shared" si="7"/>
        <v>548987.66999999993</v>
      </c>
      <c r="AB14" s="14">
        <f t="shared" si="7"/>
        <v>659899.07599999988</v>
      </c>
      <c r="AC14" s="14">
        <f t="shared" si="7"/>
        <v>636191.99100000004</v>
      </c>
      <c r="AD14" s="14">
        <f t="shared" si="7"/>
        <v>626256.60349999997</v>
      </c>
      <c r="AE14" s="14">
        <f>SUM(AE11:AE13)</f>
        <v>501955.64399999997</v>
      </c>
      <c r="AF14" s="14">
        <f>SUM(AF11:AF13)</f>
        <v>538748.42200000002</v>
      </c>
      <c r="AG14" s="14">
        <f>SUM(AG11:AG13)</f>
        <v>656188.64199999999</v>
      </c>
      <c r="AH14" s="14">
        <f>SUM(AH11:AH13)</f>
        <v>545010.26549999998</v>
      </c>
    </row>
  </sheetData>
  <pageMargins left="0.31496062992125984" right="0.31496062992125984" top="0.35433070866141736" bottom="0.35433070866141736" header="0.31496062992125984" footer="0.31496062992125984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2276B6-BF89-4405-98AA-9E85F2FF2199}"/>
</file>

<file path=customXml/itemProps2.xml><?xml version="1.0" encoding="utf-8"?>
<ds:datastoreItem xmlns:ds="http://schemas.openxmlformats.org/officeDocument/2006/customXml" ds:itemID="{989BB365-A558-4198-B1A1-E5A7C8A51322}"/>
</file>

<file path=customXml/itemProps3.xml><?xml version="1.0" encoding="utf-8"?>
<ds:datastoreItem xmlns:ds="http://schemas.openxmlformats.org/officeDocument/2006/customXml" ds:itemID="{055E0558-DD0C-4211-B720-98B07BCB70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STS</dc:creator>
  <cp:keywords/>
  <dc:description/>
  <cp:lastModifiedBy>Zerilda</cp:lastModifiedBy>
  <cp:revision/>
  <dcterms:created xsi:type="dcterms:W3CDTF">2020-10-29T06:44:55Z</dcterms:created>
  <dcterms:modified xsi:type="dcterms:W3CDTF">2023-01-20T08:49:41Z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