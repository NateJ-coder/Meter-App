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G\Utilities Back Date\"/>
    </mc:Choice>
  </mc:AlternateContent>
  <xr:revisionPtr revIDLastSave="373" documentId="13_ncr:1_{DB57F658-0BA2-4417-B3E4-A477FC108E55}" xr6:coauthVersionLast="47" xr6:coauthVersionMax="47" xr10:uidLastSave="{5CF5369B-3F78-4C53-9478-A5D6DFDFF95F}"/>
  <bookViews>
    <workbookView xWindow="-28920" yWindow="-3765" windowWidth="29040" windowHeight="15840" xr2:uid="{AFDD8AD8-F6E2-42C8-B437-F02A89678A13}"/>
  </bookViews>
  <sheets>
    <sheet name="Data" sheetId="1" r:id="rId1"/>
    <sheet name="Collected Graph" sheetId="2" r:id="rId2"/>
    <sheet name="Cons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8" i="1" l="1"/>
  <c r="E477" i="1"/>
  <c r="F478" i="1"/>
  <c r="E480" i="1"/>
  <c r="B478" i="1"/>
  <c r="D478" i="1" s="1"/>
  <c r="J478" i="1" s="1"/>
  <c r="F477" i="1"/>
  <c r="E479" i="1"/>
  <c r="B477" i="1"/>
  <c r="D477" i="1" s="1"/>
  <c r="J477" i="1" s="1"/>
  <c r="E470" i="1"/>
  <c r="E469" i="1"/>
  <c r="F470" i="1"/>
  <c r="E472" i="1"/>
  <c r="B470" i="1"/>
  <c r="D470" i="1" s="1"/>
  <c r="J470" i="1" s="1"/>
  <c r="F469" i="1"/>
  <c r="E471" i="1"/>
  <c r="B469" i="1"/>
  <c r="D469" i="1" s="1"/>
  <c r="J469" i="1" s="1"/>
  <c r="E462" i="1"/>
  <c r="E461" i="1"/>
  <c r="F462" i="1"/>
  <c r="E464" i="1"/>
  <c r="B462" i="1"/>
  <c r="D462" i="1" s="1"/>
  <c r="J462" i="1" s="1"/>
  <c r="F461" i="1"/>
  <c r="E463" i="1"/>
  <c r="B461" i="1"/>
  <c r="D461" i="1" s="1"/>
  <c r="J461" i="1" s="1"/>
  <c r="AD15" i="2"/>
  <c r="AE15" i="2"/>
  <c r="E454" i="1"/>
  <c r="E453" i="1"/>
  <c r="F454" i="1"/>
  <c r="E456" i="1"/>
  <c r="B454" i="1"/>
  <c r="D454" i="1" s="1"/>
  <c r="J454" i="1" s="1"/>
  <c r="F453" i="1"/>
  <c r="E455" i="1"/>
  <c r="B453" i="1"/>
  <c r="D453" i="1" s="1"/>
  <c r="J453" i="1" s="1"/>
  <c r="E446" i="1"/>
  <c r="E445" i="1"/>
  <c r="F446" i="1"/>
  <c r="E448" i="1"/>
  <c r="B446" i="1"/>
  <c r="D446" i="1" s="1"/>
  <c r="J446" i="1" s="1"/>
  <c r="F445" i="1"/>
  <c r="E447" i="1"/>
  <c r="B445" i="1"/>
  <c r="D445" i="1" s="1"/>
  <c r="J445" i="1" s="1"/>
  <c r="E438" i="1"/>
  <c r="E437" i="1"/>
  <c r="F438" i="1"/>
  <c r="E440" i="1"/>
  <c r="B438" i="1"/>
  <c r="D438" i="1" s="1"/>
  <c r="J438" i="1" s="1"/>
  <c r="F437" i="1"/>
  <c r="E439" i="1"/>
  <c r="B437" i="1"/>
  <c r="D437" i="1" s="1"/>
  <c r="J437" i="1" s="1"/>
  <c r="F430" i="1"/>
  <c r="E430" i="1"/>
  <c r="F429" i="1"/>
  <c r="E429" i="1"/>
  <c r="E432" i="1"/>
  <c r="B430" i="1"/>
  <c r="D430" i="1" s="1"/>
  <c r="J430" i="1" s="1"/>
  <c r="E431" i="1"/>
  <c r="B429" i="1"/>
  <c r="D429" i="1" s="1"/>
  <c r="J429" i="1" s="1"/>
  <c r="E422" i="1"/>
  <c r="E421" i="1"/>
  <c r="F422" i="1"/>
  <c r="E424" i="1"/>
  <c r="B422" i="1"/>
  <c r="D422" i="1" s="1"/>
  <c r="J422" i="1" s="1"/>
  <c r="F421" i="1"/>
  <c r="E423" i="1"/>
  <c r="B421" i="1"/>
  <c r="D421" i="1" s="1"/>
  <c r="J421" i="1" s="1"/>
  <c r="AA5" i="2"/>
  <c r="AA4" i="2"/>
  <c r="E414" i="1"/>
  <c r="E413" i="1"/>
  <c r="F414" i="1"/>
  <c r="E416" i="1"/>
  <c r="B414" i="1"/>
  <c r="D414" i="1" s="1"/>
  <c r="J414" i="1" s="1"/>
  <c r="F413" i="1"/>
  <c r="E415" i="1" s="1"/>
  <c r="B413" i="1"/>
  <c r="D413" i="1" s="1"/>
  <c r="J413" i="1" s="1"/>
  <c r="E406" i="1"/>
  <c r="F406" i="1"/>
  <c r="E408" i="1"/>
  <c r="B406" i="1"/>
  <c r="D406" i="1" s="1"/>
  <c r="J406" i="1" s="1"/>
  <c r="F405" i="1"/>
  <c r="E407" i="1"/>
  <c r="B405" i="1"/>
  <c r="D405" i="1" s="1"/>
  <c r="J405" i="1" s="1"/>
  <c r="E398" i="1"/>
  <c r="B398" i="1"/>
  <c r="E397" i="1"/>
  <c r="F398" i="1"/>
  <c r="E400" i="1"/>
  <c r="D398" i="1"/>
  <c r="J398" i="1" s="1"/>
  <c r="F397" i="1"/>
  <c r="E399" i="1"/>
  <c r="B397" i="1"/>
  <c r="D397" i="1" s="1"/>
  <c r="J397" i="1" s="1"/>
  <c r="S15" i="2"/>
  <c r="R15" i="2"/>
  <c r="T15" i="2" s="1"/>
  <c r="E390" i="1"/>
  <c r="E389" i="1"/>
  <c r="E391" i="1"/>
  <c r="F390" i="1"/>
  <c r="E392" i="1"/>
  <c r="D390" i="1"/>
  <c r="J390" i="1" s="1"/>
  <c r="F389" i="1"/>
  <c r="B389" i="1"/>
  <c r="D389" i="1" s="1"/>
  <c r="J389" i="1" s="1"/>
  <c r="E382" i="1"/>
  <c r="E383" i="1"/>
  <c r="E375" i="1"/>
  <c r="E381" i="1"/>
  <c r="F382" i="1"/>
  <c r="E384" i="1"/>
  <c r="B382" i="1"/>
  <c r="D382" i="1" s="1"/>
  <c r="J382" i="1" s="1"/>
  <c r="F381" i="1"/>
  <c r="B381" i="1"/>
  <c r="D381" i="1" s="1"/>
  <c r="J381" i="1" s="1"/>
  <c r="E374" i="1"/>
  <c r="E376" i="1" s="1"/>
  <c r="E373" i="1"/>
  <c r="F373" i="1"/>
  <c r="F374" i="1"/>
  <c r="D374" i="1"/>
  <c r="J374" i="1" s="1"/>
  <c r="B374" i="1"/>
  <c r="B373" i="1"/>
  <c r="D373" i="1" s="1"/>
  <c r="J373" i="1" s="1"/>
  <c r="E366" i="1"/>
  <c r="E367" i="1"/>
  <c r="F366" i="1"/>
  <c r="E368" i="1" s="1"/>
  <c r="B366" i="1"/>
  <c r="D366" i="1" s="1"/>
  <c r="J366" i="1" s="1"/>
  <c r="B365" i="1"/>
  <c r="D365" i="1" s="1"/>
  <c r="E358" i="1"/>
  <c r="E359" i="1"/>
  <c r="F358" i="1"/>
  <c r="E360" i="1"/>
  <c r="B358" i="1"/>
  <c r="D358" i="1" s="1"/>
  <c r="J358" i="1" s="1"/>
  <c r="B357" i="1"/>
  <c r="D357" i="1" s="1"/>
  <c r="J357" i="1" s="1"/>
  <c r="E352" i="1"/>
  <c r="E350" i="1"/>
  <c r="E351" i="1"/>
  <c r="F350" i="1"/>
  <c r="B350" i="1"/>
  <c r="D350" i="1" s="1"/>
  <c r="J350" i="1" s="1"/>
  <c r="B349" i="1"/>
  <c r="D349" i="1" s="1"/>
  <c r="J349" i="1" s="1"/>
  <c r="E342" i="1"/>
  <c r="E343" i="1"/>
  <c r="F342" i="1"/>
  <c r="E344" i="1"/>
  <c r="B342" i="1"/>
  <c r="D342" i="1" s="1"/>
  <c r="J342" i="1" s="1"/>
  <c r="D341" i="1"/>
  <c r="J341" i="1" s="1"/>
  <c r="B341" i="1"/>
  <c r="F334" i="1"/>
  <c r="E334" i="1"/>
  <c r="E336" i="1" s="1"/>
  <c r="E335" i="1"/>
  <c r="D334" i="1"/>
  <c r="J334" i="1" s="1"/>
  <c r="B334" i="1"/>
  <c r="B333" i="1"/>
  <c r="D333" i="1" s="1"/>
  <c r="J333" i="1" s="1"/>
  <c r="E326" i="1"/>
  <c r="E328" i="1" s="1"/>
  <c r="E327" i="1"/>
  <c r="F326" i="1"/>
  <c r="D326" i="1"/>
  <c r="J326" i="1" s="1"/>
  <c r="B326" i="1"/>
  <c r="B325" i="1"/>
  <c r="D325" i="1" s="1"/>
  <c r="J325" i="1" s="1"/>
  <c r="E318" i="1"/>
  <c r="E320" i="1" s="1"/>
  <c r="E319" i="1"/>
  <c r="F318" i="1"/>
  <c r="B318" i="1"/>
  <c r="D318" i="1" s="1"/>
  <c r="J318" i="1" s="1"/>
  <c r="D317" i="1"/>
  <c r="J317" i="1" s="1"/>
  <c r="B317" i="1"/>
  <c r="E310" i="1"/>
  <c r="E312" i="1" s="1"/>
  <c r="B310" i="1"/>
  <c r="D310" i="1" s="1"/>
  <c r="J310" i="1" s="1"/>
  <c r="E311" i="1"/>
  <c r="F310" i="1"/>
  <c r="B309" i="1"/>
  <c r="D309" i="1" s="1"/>
  <c r="J309" i="1" s="1"/>
  <c r="AA15" i="2"/>
  <c r="Z15" i="2"/>
  <c r="AB15" i="2" s="1"/>
  <c r="E302" i="1"/>
  <c r="E304" i="1" s="1"/>
  <c r="E303" i="1"/>
  <c r="F302" i="1"/>
  <c r="D302" i="1"/>
  <c r="J302" i="1" s="1"/>
  <c r="B301" i="1"/>
  <c r="D301" i="1" s="1"/>
  <c r="K301" i="1" s="1"/>
  <c r="E294" i="1"/>
  <c r="E295" i="1"/>
  <c r="F294" i="1"/>
  <c r="E296" i="1"/>
  <c r="B294" i="1"/>
  <c r="D294" i="1" s="1"/>
  <c r="J294" i="1" s="1"/>
  <c r="B293" i="1"/>
  <c r="D293" i="1" s="1"/>
  <c r="J293" i="1" s="1"/>
  <c r="E286" i="1"/>
  <c r="E287" i="1"/>
  <c r="F286" i="1"/>
  <c r="E288" i="1"/>
  <c r="B286" i="1"/>
  <c r="D286" i="1" s="1"/>
  <c r="J286" i="1" s="1"/>
  <c r="B285" i="1"/>
  <c r="D285" i="1" s="1"/>
  <c r="J285" i="1" s="1"/>
  <c r="E481" i="1" l="1"/>
  <c r="K477" i="1"/>
  <c r="K478" i="1"/>
  <c r="E473" i="1"/>
  <c r="K469" i="1"/>
  <c r="K470" i="1"/>
  <c r="E465" i="1"/>
  <c r="K461" i="1"/>
  <c r="K462" i="1"/>
  <c r="AF15" i="2"/>
  <c r="E457" i="1"/>
  <c r="K453" i="1"/>
  <c r="K454" i="1"/>
  <c r="E449" i="1"/>
  <c r="K445" i="1"/>
  <c r="K446" i="1"/>
  <c r="E441" i="1"/>
  <c r="K437" i="1"/>
  <c r="K438" i="1"/>
  <c r="E433" i="1"/>
  <c r="K429" i="1"/>
  <c r="K430" i="1"/>
  <c r="E425" i="1"/>
  <c r="K421" i="1"/>
  <c r="K422" i="1"/>
  <c r="E417" i="1"/>
  <c r="K413" i="1"/>
  <c r="K414" i="1"/>
  <c r="E409" i="1"/>
  <c r="K405" i="1"/>
  <c r="K406" i="1"/>
  <c r="E401" i="1"/>
  <c r="K397" i="1"/>
  <c r="K398" i="1"/>
  <c r="K310" i="1"/>
  <c r="E393" i="1"/>
  <c r="K389" i="1"/>
  <c r="K390" i="1"/>
  <c r="K382" i="1"/>
  <c r="E385" i="1"/>
  <c r="K381" i="1"/>
  <c r="K374" i="1"/>
  <c r="E377" i="1"/>
  <c r="K373" i="1"/>
  <c r="K366" i="1"/>
  <c r="E369" i="1"/>
  <c r="J365" i="1"/>
  <c r="K365" i="1"/>
  <c r="K358" i="1"/>
  <c r="E361" i="1"/>
  <c r="K357" i="1"/>
  <c r="K350" i="1"/>
  <c r="E353" i="1"/>
  <c r="K349" i="1"/>
  <c r="K342" i="1"/>
  <c r="E345" i="1"/>
  <c r="K341" i="1"/>
  <c r="K334" i="1"/>
  <c r="E337" i="1"/>
  <c r="K333" i="1"/>
  <c r="E329" i="1"/>
  <c r="K326" i="1"/>
  <c r="K325" i="1"/>
  <c r="K318" i="1"/>
  <c r="E321" i="1"/>
  <c r="K317" i="1"/>
  <c r="E313" i="1"/>
  <c r="K309" i="1"/>
  <c r="K302" i="1"/>
  <c r="E305" i="1"/>
  <c r="J301" i="1"/>
  <c r="K294" i="1"/>
  <c r="E297" i="1"/>
  <c r="K293" i="1"/>
  <c r="K286" i="1"/>
  <c r="E289" i="1"/>
  <c r="K285" i="1"/>
  <c r="E278" i="1"/>
  <c r="E280" i="1" s="1"/>
  <c r="E279" i="1"/>
  <c r="F278" i="1"/>
  <c r="B278" i="1"/>
  <c r="D278" i="1" s="1"/>
  <c r="J278" i="1" s="1"/>
  <c r="D277" i="1"/>
  <c r="J277" i="1" s="1"/>
  <c r="B277" i="1"/>
  <c r="K278" i="1" l="1"/>
  <c r="E281" i="1"/>
  <c r="K277" i="1"/>
  <c r="E270" i="1"/>
  <c r="B270" i="1"/>
  <c r="E271" i="1"/>
  <c r="F270" i="1"/>
  <c r="E272" i="1"/>
  <c r="D270" i="1"/>
  <c r="J270" i="1" s="1"/>
  <c r="B269" i="1"/>
  <c r="D269" i="1" s="1"/>
  <c r="J269" i="1" s="1"/>
  <c r="K270" i="1" l="1"/>
  <c r="E273" i="1"/>
  <c r="K269" i="1"/>
  <c r="E262" i="1"/>
  <c r="E264" i="1" s="1"/>
  <c r="E263" i="1"/>
  <c r="F262" i="1"/>
  <c r="D262" i="1"/>
  <c r="J262" i="1" s="1"/>
  <c r="B261" i="1"/>
  <c r="D261" i="1" s="1"/>
  <c r="J261" i="1" s="1"/>
  <c r="K262" i="1" l="1"/>
  <c r="E265" i="1"/>
  <c r="K261" i="1"/>
  <c r="E254" i="1"/>
  <c r="E255" i="1"/>
  <c r="F254" i="1"/>
  <c r="E256" i="1"/>
  <c r="D254" i="1"/>
  <c r="J254" i="1" s="1"/>
  <c r="B253" i="1"/>
  <c r="D253" i="1" s="1"/>
  <c r="K254" i="1" l="1"/>
  <c r="K253" i="1"/>
  <c r="J253" i="1"/>
  <c r="E257" i="1"/>
  <c r="E246" i="1"/>
  <c r="E248" i="1" s="1"/>
  <c r="E247" i="1"/>
  <c r="F246" i="1"/>
  <c r="B246" i="1"/>
  <c r="D246" i="1" s="1"/>
  <c r="J246" i="1" s="1"/>
  <c r="B245" i="1"/>
  <c r="D245" i="1" s="1"/>
  <c r="J245" i="1" s="1"/>
  <c r="F238" i="1"/>
  <c r="E238" i="1"/>
  <c r="B238" i="1"/>
  <c r="K246" i="1" l="1"/>
  <c r="E249" i="1"/>
  <c r="K245" i="1"/>
  <c r="E239" i="1"/>
  <c r="E240" i="1"/>
  <c r="D238" i="1"/>
  <c r="J238" i="1" s="1"/>
  <c r="B237" i="1"/>
  <c r="D237" i="1" s="1"/>
  <c r="J237" i="1" s="1"/>
  <c r="K238" i="1" l="1"/>
  <c r="E241" i="1"/>
  <c r="K237" i="1"/>
  <c r="E230" i="1"/>
  <c r="E232" i="1" s="1"/>
  <c r="E231" i="1"/>
  <c r="F230" i="1"/>
  <c r="D230" i="1"/>
  <c r="J230" i="1" s="1"/>
  <c r="D229" i="1"/>
  <c r="J229" i="1" s="1"/>
  <c r="B229" i="1"/>
  <c r="K230" i="1" l="1"/>
  <c r="E233" i="1"/>
  <c r="K229" i="1"/>
  <c r="E222" i="1"/>
  <c r="E223" i="1" l="1"/>
  <c r="F222" i="1"/>
  <c r="E224" i="1"/>
  <c r="D222" i="1"/>
  <c r="J222" i="1" s="1"/>
  <c r="B222" i="1"/>
  <c r="B221" i="1"/>
  <c r="D221" i="1" s="1"/>
  <c r="J221" i="1" s="1"/>
  <c r="K222" i="1" l="1"/>
  <c r="E225" i="1"/>
  <c r="K221" i="1"/>
  <c r="E214" i="1"/>
  <c r="E215" i="1" l="1"/>
  <c r="F214" i="1"/>
  <c r="E216" i="1"/>
  <c r="D214" i="1"/>
  <c r="J214" i="1" s="1"/>
  <c r="B214" i="1"/>
  <c r="B213" i="1"/>
  <c r="D213" i="1" s="1"/>
  <c r="K213" i="1" s="1"/>
  <c r="E206" i="1"/>
  <c r="E207" i="1"/>
  <c r="F206" i="1"/>
  <c r="E208" i="1"/>
  <c r="D206" i="1"/>
  <c r="J206" i="1" s="1"/>
  <c r="B206" i="1"/>
  <c r="B205" i="1"/>
  <c r="D205" i="1" s="1"/>
  <c r="K205" i="1" s="1"/>
  <c r="K214" i="1" l="1"/>
  <c r="E217" i="1"/>
  <c r="J213" i="1"/>
  <c r="K206" i="1"/>
  <c r="E209" i="1"/>
  <c r="J205" i="1"/>
  <c r="W15" i="2"/>
  <c r="V15" i="2"/>
  <c r="E198" i="1"/>
  <c r="E199" i="1"/>
  <c r="F198" i="1"/>
  <c r="E200" i="1"/>
  <c r="B198" i="1"/>
  <c r="D198" i="1" s="1"/>
  <c r="J198" i="1" s="1"/>
  <c r="B197" i="1"/>
  <c r="D197" i="1" s="1"/>
  <c r="K197" i="1" s="1"/>
  <c r="X15" i="2" l="1"/>
  <c r="K198" i="1"/>
  <c r="E201" i="1"/>
  <c r="J197" i="1"/>
  <c r="E190" i="1"/>
  <c r="E192" i="1" s="1"/>
  <c r="E191" i="1"/>
  <c r="F190" i="1"/>
  <c r="B190" i="1"/>
  <c r="D190" i="1" s="1"/>
  <c r="B189" i="1"/>
  <c r="D189" i="1" s="1"/>
  <c r="J189" i="1" s="1"/>
  <c r="K190" i="1" l="1"/>
  <c r="E193" i="1"/>
  <c r="K189" i="1"/>
  <c r="E182" i="1"/>
  <c r="E183" i="1"/>
  <c r="F182" i="1"/>
  <c r="B182" i="1"/>
  <c r="D182" i="1" s="1"/>
  <c r="B181" i="1"/>
  <c r="D181" i="1" s="1"/>
  <c r="J181" i="1" s="1"/>
  <c r="E184" i="1" l="1"/>
  <c r="K182" i="1"/>
  <c r="E185" i="1"/>
  <c r="K181" i="1"/>
  <c r="E174" i="1"/>
  <c r="E175" i="1"/>
  <c r="F174" i="1"/>
  <c r="E176" i="1"/>
  <c r="B174" i="1"/>
  <c r="D174" i="1" s="1"/>
  <c r="B173" i="1"/>
  <c r="D173" i="1" s="1"/>
  <c r="J173" i="1" s="1"/>
  <c r="K174" i="1" l="1"/>
  <c r="E177" i="1"/>
  <c r="K173" i="1"/>
  <c r="E166" i="1"/>
  <c r="E168" i="1" s="1"/>
  <c r="E167" i="1"/>
  <c r="F166" i="1"/>
  <c r="B166" i="1"/>
  <c r="D166" i="1" s="1"/>
  <c r="B165" i="1"/>
  <c r="D165" i="1" s="1"/>
  <c r="O15" i="2"/>
  <c r="N15" i="2"/>
  <c r="K166" i="1" l="1"/>
  <c r="K165" i="1"/>
  <c r="J165" i="1"/>
  <c r="E169" i="1"/>
  <c r="P15" i="2"/>
  <c r="K126" i="1"/>
  <c r="K118" i="1"/>
  <c r="K110" i="1"/>
  <c r="K102" i="1"/>
  <c r="E160" i="1"/>
  <c r="E159" i="1"/>
  <c r="E161" i="1" s="1"/>
  <c r="F158" i="1"/>
  <c r="E158" i="1"/>
  <c r="E152" i="1"/>
  <c r="E151" i="1"/>
  <c r="F150" i="1"/>
  <c r="E150" i="1"/>
  <c r="E143" i="1"/>
  <c r="F142" i="1"/>
  <c r="E142" i="1"/>
  <c r="E144" i="1" s="1"/>
  <c r="E135" i="1"/>
  <c r="F134" i="1"/>
  <c r="E136" i="1" s="1"/>
  <c r="E134" i="1"/>
  <c r="B158" i="1"/>
  <c r="D158" i="1" s="1"/>
  <c r="B157" i="1"/>
  <c r="D157" i="1" s="1"/>
  <c r="B150" i="1"/>
  <c r="D150" i="1" s="1"/>
  <c r="B149" i="1"/>
  <c r="D149" i="1" s="1"/>
  <c r="D142" i="1"/>
  <c r="B141" i="1"/>
  <c r="D141" i="1" s="1"/>
  <c r="D134" i="1"/>
  <c r="D133" i="1"/>
  <c r="J133" i="1"/>
  <c r="K125" i="1"/>
  <c r="J125" i="1"/>
  <c r="K117" i="1"/>
  <c r="J117" i="1"/>
  <c r="K109" i="1"/>
  <c r="J109" i="1"/>
  <c r="K101" i="1"/>
  <c r="J101" i="1"/>
  <c r="K150" i="1" l="1"/>
  <c r="K134" i="1"/>
  <c r="K158" i="1"/>
  <c r="K141" i="1"/>
  <c r="K142" i="1"/>
  <c r="E145" i="1"/>
  <c r="E137" i="1"/>
  <c r="E153" i="1"/>
  <c r="K133" i="1"/>
  <c r="K157" i="1"/>
  <c r="J157" i="1"/>
  <c r="J149" i="1"/>
  <c r="K149" i="1"/>
  <c r="J141" i="1"/>
</calcChain>
</file>

<file path=xl/sharedStrings.xml><?xml version="1.0" encoding="utf-8"?>
<sst xmlns="http://schemas.openxmlformats.org/spreadsheetml/2006/main" count="1195" uniqueCount="130">
  <si>
    <t>Taragona Water Back Date Summary 2018 - Apr2019</t>
  </si>
  <si>
    <t>Unit No.</t>
  </si>
  <si>
    <t>Opening Reading</t>
  </si>
  <si>
    <t>Closing Reading</t>
  </si>
  <si>
    <t>Cons</t>
  </si>
  <si>
    <t>Water Amount</t>
  </si>
  <si>
    <t>Demand Levy</t>
  </si>
  <si>
    <t>BC Bulk</t>
  </si>
  <si>
    <t>Council Bulk</t>
  </si>
  <si>
    <t>BC Total</t>
  </si>
  <si>
    <t>Council Total</t>
  </si>
  <si>
    <t>Difference</t>
  </si>
  <si>
    <t>Estimated</t>
  </si>
  <si>
    <t>Reading Dates</t>
  </si>
  <si>
    <t>Days</t>
  </si>
  <si>
    <t>KL p/day</t>
  </si>
  <si>
    <t>Rates</t>
  </si>
  <si>
    <t>Actual</t>
  </si>
  <si>
    <t>4Jan - 4Feb 2019</t>
  </si>
  <si>
    <t>10Dec 2018 - 11Jan 2019</t>
  </si>
  <si>
    <t>4Feb - 1Mar 2019</t>
  </si>
  <si>
    <t>12Jan - 4Mar 2019</t>
  </si>
  <si>
    <t>1Mar - 30Mar 2019</t>
  </si>
  <si>
    <t>5Mar - 2Apr 2019</t>
  </si>
  <si>
    <t>30Mar - 30Apr 2019</t>
  </si>
  <si>
    <t>12Jan - 12Apr 2019</t>
  </si>
  <si>
    <t>30Apr - 31May 2019</t>
  </si>
  <si>
    <t>13Apr - 11May 2019</t>
  </si>
  <si>
    <t>31May - 30Jun 2019</t>
  </si>
  <si>
    <t>12May - 10Jun 2019</t>
  </si>
  <si>
    <t>30Jun - 31Jul 2019</t>
  </si>
  <si>
    <t>11Jun - 10Jul 2019</t>
  </si>
  <si>
    <t>31Jul - 31Aug 2019</t>
  </si>
  <si>
    <t>11Jul - 13Aug 2019</t>
  </si>
  <si>
    <t>31Aug - 1Oct 2019</t>
  </si>
  <si>
    <t>14Aug - 5Sep2019</t>
  </si>
  <si>
    <t>1Oct - 31Oct 2019</t>
  </si>
  <si>
    <t>6Sep - 5Oct 2019</t>
  </si>
  <si>
    <t>31Oct - 1Dec 2019</t>
  </si>
  <si>
    <t>1Dec - 4Jan 2020</t>
  </si>
  <si>
    <t>7Nov- 7Dec2019</t>
  </si>
  <si>
    <t>4Jan - 31Jan 2020</t>
  </si>
  <si>
    <t>8Dec - 8Jan 2020</t>
  </si>
  <si>
    <t>31Jan - 29Feb 2020</t>
  </si>
  <si>
    <t>9Jan - 10Feb 2020</t>
  </si>
  <si>
    <t>29Feb - 25Mar 2020</t>
  </si>
  <si>
    <t>11Feb - 8Mar 2020</t>
  </si>
  <si>
    <t>25Mar - 30Apr 2020</t>
  </si>
  <si>
    <t>9Mar - 6May 2020</t>
  </si>
  <si>
    <t>30Apr - 31May 2020</t>
  </si>
  <si>
    <t>9Mar - 13May 2020</t>
  </si>
  <si>
    <t>31May - 30Jun 2020</t>
  </si>
  <si>
    <t>14May - 20Jun 2020</t>
  </si>
  <si>
    <t>30Jun - 31Jul 2020</t>
  </si>
  <si>
    <t>21Jun - 4Aug 2020</t>
  </si>
  <si>
    <t>31Jul - 31Aug 2020</t>
  </si>
  <si>
    <t>21Jun - 12Aug 2020</t>
  </si>
  <si>
    <t>31Aug - 30Sept 2020</t>
  </si>
  <si>
    <t>13Aug - 6Sept 2020</t>
  </si>
  <si>
    <t>30Sept - 30Oct 2020</t>
  </si>
  <si>
    <t>7Sept - 8Oct 2020</t>
  </si>
  <si>
    <t>30Oct - 1Dec 2020</t>
  </si>
  <si>
    <t>9Oct - 9Nov 2020</t>
  </si>
  <si>
    <t>1Dec - 31Dec 2020</t>
  </si>
  <si>
    <t>10Nov - 10Dec 2020</t>
  </si>
  <si>
    <t>31Dec 2020 - 31Jan 2021</t>
  </si>
  <si>
    <t>11Dec 2020 - 2Feb 2021</t>
  </si>
  <si>
    <t>31Jan - 1Mar 2021</t>
  </si>
  <si>
    <t>1Mar - 1Apr 2021</t>
  </si>
  <si>
    <t>13Feb - 9Mar 2021</t>
  </si>
  <si>
    <t>1Apr - 30Apr 2021</t>
  </si>
  <si>
    <t>10Mar - 12Apr 2021</t>
  </si>
  <si>
    <t>1May - 31May 2021</t>
  </si>
  <si>
    <t>13Apr - 9May 2021</t>
  </si>
  <si>
    <t>31May - 5Jul 2021</t>
  </si>
  <si>
    <t>10May - 7Jun 2021</t>
  </si>
  <si>
    <t>5Jul - 3Aug 2021</t>
  </si>
  <si>
    <t>8Jun - 17Jul 2021</t>
  </si>
  <si>
    <t>3Aug - 31Aug 2021</t>
  </si>
  <si>
    <t>18Jul - 11Aug 2021</t>
  </si>
  <si>
    <t>1Sept - 30Sept 2021</t>
  </si>
  <si>
    <t>12Aug - 4Oct 2021</t>
  </si>
  <si>
    <t>30Sept - 2Nov 2021</t>
  </si>
  <si>
    <t>12Aug - 8Oct 2021</t>
  </si>
  <si>
    <t>2Nov - 30Nov 2021</t>
  </si>
  <si>
    <t>9Oct - 9Nov 2021</t>
  </si>
  <si>
    <t>30Nov - 31Dec 2021</t>
  </si>
  <si>
    <t>10Nov - 7Dec 2021</t>
  </si>
  <si>
    <t>31Dec 2021 - 31Jan 2022</t>
  </si>
  <si>
    <t>10Nov 2021 - 18Jan 2022</t>
  </si>
  <si>
    <t>31Jan - 28Feb 2022</t>
  </si>
  <si>
    <t>19Jan - 3Feb 2022</t>
  </si>
  <si>
    <t>28Feb - 31Mar 2022</t>
  </si>
  <si>
    <t>4Feb - 8Mar 2022</t>
  </si>
  <si>
    <t>31Mar - 30Apr 2022</t>
  </si>
  <si>
    <t>9Mar - 7Apr 2022</t>
  </si>
  <si>
    <t>30Apr - 31May 2022</t>
  </si>
  <si>
    <t>8Apr - 5May 2022</t>
  </si>
  <si>
    <t>31May - 4Jul 2022</t>
  </si>
  <si>
    <t>6May - 6Jun 2022</t>
  </si>
  <si>
    <t>4Jul - 31Jul 2022</t>
  </si>
  <si>
    <t>7Jun - 9Jul 2022</t>
  </si>
  <si>
    <t>1Aug - 31Aug 2022</t>
  </si>
  <si>
    <t>10Jul - 11Aug 2022</t>
  </si>
  <si>
    <t>1Sept - 30Sept 2022</t>
  </si>
  <si>
    <t>12Aug - 7Sept 2022</t>
  </si>
  <si>
    <t>1Oct - 31Oct 2022</t>
  </si>
  <si>
    <t>8Sept - 8Oct 2022</t>
  </si>
  <si>
    <t>1Nov - 3Dec 2022</t>
  </si>
  <si>
    <t>9Oct - 8Nov 2022</t>
  </si>
  <si>
    <t>3Dec - 31Dec 2022</t>
  </si>
  <si>
    <t>9Nov - 7Dec 2022</t>
  </si>
  <si>
    <t>TG Water Collected BC vs Council</t>
  </si>
  <si>
    <t>BC</t>
  </si>
  <si>
    <t>Council</t>
  </si>
  <si>
    <t>Estimated / Actual</t>
  </si>
  <si>
    <t>A</t>
  </si>
  <si>
    <t>E</t>
  </si>
  <si>
    <t>Council read meter wrong, sent COJ photo</t>
  </si>
  <si>
    <t>Council read meter wrong, sent COJ follow up email</t>
  </si>
  <si>
    <t>Council Back Date (A)</t>
  </si>
  <si>
    <t>Council Back Dated</t>
  </si>
  <si>
    <t>TG Water Council Billing is CORRECT</t>
  </si>
  <si>
    <t>Council charging according to step rates.</t>
  </si>
  <si>
    <t>Is TG water including in owner levies?</t>
  </si>
  <si>
    <t>Consumption readings are in line.</t>
  </si>
  <si>
    <t>Cannot compare rates.</t>
  </si>
  <si>
    <t>TG Water Cons BC vs Council</t>
  </si>
  <si>
    <t>KL PER DAY</t>
  </si>
  <si>
    <t>TG Water Rates BC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</si>
</sst>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165" fontId="0" fillId="0" borderId="0" xfId="0" applyNumberFormat="1"/>
    <xf numFmtId="0" fontId="2" fillId="0" borderId="0" xfId="0" applyFont="1"/>
    <xf numFmtId="17" fontId="1" fillId="0" borderId="0" xfId="0" applyNumberFormat="1" applyFont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1" fillId="2" borderId="0" xfId="0" applyNumberFormat="1" applyFont="1" applyFill="1"/>
    <xf numFmtId="0" fontId="5" fillId="0" borderId="0" xfId="0" applyFont="1"/>
    <xf numFmtId="164" fontId="0" fillId="0" borderId="0" xfId="1" applyFont="1"/>
    <xf numFmtId="166" fontId="0" fillId="0" borderId="0" xfId="0" applyNumberForma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'Collected Graph'!$AD$3:$AD$14</c:f>
              <c:numCache>
                <c:formatCode>_-"R"* #,##0.00_-;\-"R"* #,##0.00_-;_-"R"* "-"??_-;_-@_-</c:formatCode>
                <c:ptCount val="12"/>
                <c:pt idx="0">
                  <c:v>4645.4939999999997</c:v>
                </c:pt>
                <c:pt idx="1">
                  <c:v>5453.5645000000004</c:v>
                </c:pt>
                <c:pt idx="2">
                  <c:v>7724.2969999999996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6-42C5-9CEE-302C41D936EB}"/>
            </c:ext>
          </c:extLst>
        </c:ser>
        <c:ser>
          <c:idx val="1"/>
          <c:order val="1"/>
          <c:tx>
            <c:strRef>
              <c:f>'Collected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'Collected Graph'!$AE$3:$AE$14</c:f>
              <c:numCache>
                <c:formatCode>_-"R"* #,##0.00_-;\-"R"* #,##0.00_-;_-"R"* "-"??_-;_-@_-</c:formatCode>
                <c:ptCount val="12"/>
                <c:pt idx="0">
                  <c:v>7424.9174999999987</c:v>
                </c:pt>
                <c:pt idx="1">
                  <c:v>4472.1889999999994</c:v>
                </c:pt>
                <c:pt idx="2" formatCode="_-[$R-436]* #,##0.00_-;\-[$R-436]* #,##0.00_-;_-[$R-436]* &quot;-&quot;??_-;_-@_-">
                  <c:v>5094.7874999999995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6-42C5-9CEE-302C41D9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215064"/>
        <c:axId val="1434191016"/>
      </c:barChart>
      <c:dateAx>
        <c:axId val="215215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91016"/>
        <c:crosses val="autoZero"/>
        <c:auto val="1"/>
        <c:lblOffset val="100"/>
        <c:baseTimeUnit val="months"/>
      </c:dateAx>
      <c:valAx>
        <c:axId val="143419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1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Cons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 Graph'!$X$3:$X$14</c:f>
              <c:numCache>
                <c:formatCode>General</c:formatCode>
                <c:ptCount val="12"/>
                <c:pt idx="0">
                  <c:v>362</c:v>
                </c:pt>
                <c:pt idx="1">
                  <c:v>393</c:v>
                </c:pt>
                <c:pt idx="2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C-46E6-9773-63137F57F8E4}"/>
            </c:ext>
          </c:extLst>
        </c:ser>
        <c:ser>
          <c:idx val="1"/>
          <c:order val="1"/>
          <c:tx>
            <c:strRef>
              <c:f>'Cons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 Graph'!$Y$3:$Y$14</c:f>
              <c:numCache>
                <c:formatCode>General</c:formatCode>
                <c:ptCount val="12"/>
                <c:pt idx="0">
                  <c:v>446</c:v>
                </c:pt>
                <c:pt idx="1">
                  <c:v>335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C-46E6-9773-63137F57F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172583"/>
        <c:axId val="1416513576"/>
      </c:barChart>
      <c:dateAx>
        <c:axId val="12621725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13576"/>
        <c:crosses val="autoZero"/>
        <c:auto val="1"/>
        <c:lblOffset val="100"/>
        <c:baseTimeUnit val="months"/>
      </c:dateAx>
      <c:valAx>
        <c:axId val="14165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7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Graph'!$W$24:$W$35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 Graph'!$X$24:$X$35</c:f>
              <c:numCache>
                <c:formatCode>0</c:formatCode>
                <c:ptCount val="12"/>
                <c:pt idx="0">
                  <c:v>12</c:v>
                </c:pt>
                <c:pt idx="1">
                  <c:v>11.909090909090908</c:v>
                </c:pt>
                <c:pt idx="2">
                  <c:v>17.071428571428573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4-4506-8D71-D3D48E2A845F}"/>
            </c:ext>
          </c:extLst>
        </c:ser>
        <c:ser>
          <c:idx val="1"/>
          <c:order val="1"/>
          <c:tx>
            <c:strRef>
              <c:f>'Cons Graph'!$Y$23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Graph'!$W$24:$W$35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 Graph'!$Y$24:$Y$35</c:f>
              <c:numCache>
                <c:formatCode>0</c:formatCode>
                <c:ptCount val="12"/>
                <c:pt idx="0">
                  <c:v>14</c:v>
                </c:pt>
                <c:pt idx="1">
                  <c:v>10.806451612903226</c:v>
                </c:pt>
                <c:pt idx="2">
                  <c:v>11.896551724137931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F4-4506-8D71-D3D48E2A8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025896"/>
        <c:axId val="8226471"/>
      </c:barChart>
      <c:dateAx>
        <c:axId val="223025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471"/>
        <c:crosses val="autoZero"/>
        <c:auto val="1"/>
        <c:lblOffset val="100"/>
        <c:baseTimeUnit val="months"/>
      </c:dateAx>
      <c:valAx>
        <c:axId val="822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'Rates Graph'!$W$4:$W$15</c:f>
              <c:numCache>
                <c:formatCode>_-[$R-436]* #,##0.00_-;\-[$R-436]* #,##0.00_-;_-[$R-436]* "-"??_-;_-@_-</c:formatCode>
                <c:ptCount val="12"/>
                <c:pt idx="0" formatCode="_-&quot;R&quot;* #,##0.00_-;\-&quot;R&quot;* #,##0.00_-;_-&quot;R&quot;* &quot;-&quot;??_-;_-@_-">
                  <c:v>12.83285635359116</c:v>
                </c:pt>
                <c:pt idx="1">
                  <c:v>13.87675445292621</c:v>
                </c:pt>
                <c:pt idx="2">
                  <c:v>16.159617154811716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0-4AD2-9944-A893867914B5}"/>
            </c:ext>
          </c:extLst>
        </c:ser>
        <c:ser>
          <c:idx val="1"/>
          <c:order val="1"/>
          <c:tx>
            <c:strRef>
              <c:f>'Rates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'Rates Graph'!$X$4:$X$15</c:f>
              <c:numCache>
                <c:formatCode>_-[$R-436]* #,##0.00_-;\-[$R-436]* #,##0.00_-;_-[$R-436]* "-"??_-;_-@_-</c:formatCode>
                <c:ptCount val="12"/>
                <c:pt idx="0">
                  <c:v>16.647797085201791</c:v>
                </c:pt>
                <c:pt idx="1">
                  <c:v>13.34981791044776</c:v>
                </c:pt>
                <c:pt idx="2" formatCode="_-&quot;R&quot;* #,##0.00_-;\-&quot;R&quot;* #,##0.00_-;_-&quot;R&quot;* &quot;-&quot;??_-;_-@_-">
                  <c:v>14.767499999999998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0-4AD2-9944-A8938679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586199"/>
        <c:axId val="8235111"/>
      </c:barChart>
      <c:dateAx>
        <c:axId val="619586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5111"/>
        <c:crosses val="autoZero"/>
        <c:auto val="1"/>
        <c:lblOffset val="100"/>
        <c:baseTimeUnit val="months"/>
      </c:dateAx>
      <c:valAx>
        <c:axId val="823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8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114300</xdr:rowOff>
    </xdr:from>
    <xdr:to>
      <xdr:col>10</xdr:col>
      <xdr:colOff>419100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F6AF6-42ED-5E4F-3D02-E30134337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123825</xdr:rowOff>
    </xdr:from>
    <xdr:to>
      <xdr:col>9</xdr:col>
      <xdr:colOff>142875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80C8BE-7053-E10C-7036-D3A0815F4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523875</xdr:colOff>
      <xdr:row>20</xdr:row>
      <xdr:rowOff>38100</xdr:rowOff>
    </xdr:from>
    <xdr:to>
      <xdr:col>9</xdr:col>
      <xdr:colOff>219075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E9185-815F-984B-F5DB-4DAA07BD8FEC}"/>
            </a:ext>
            <a:ext uri="{147F2762-F138-4A5C-976F-8EAC2B608ADB}">
              <a16:predDERef xmlns:a16="http://schemas.microsoft.com/office/drawing/2014/main" pred="{6B80C8BE-7053-E10C-7036-D3A0815F4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114300</xdr:rowOff>
    </xdr:from>
    <xdr:to>
      <xdr:col>8</xdr:col>
      <xdr:colOff>228600</xdr:colOff>
      <xdr:row>16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1FBFA-8BB3-E71A-D427-028DDF733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DD60-64F2-4849-977C-CE810B2464EC}">
  <sheetPr>
    <pageSetUpPr fitToPage="1"/>
  </sheetPr>
  <dimension ref="A1:K481"/>
  <sheetViews>
    <sheetView tabSelected="1" topLeftCell="A457" workbookViewId="0">
      <selection activeCell="K477" sqref="K477:K478"/>
    </sheetView>
  </sheetViews>
  <sheetFormatPr defaultRowHeight="15"/>
  <cols>
    <col min="1" max="1" width="13" customWidth="1"/>
    <col min="2" max="2" width="16.28515625" bestFit="1" customWidth="1"/>
    <col min="3" max="3" width="15.140625" bestFit="1" customWidth="1"/>
    <col min="5" max="5" width="14.28515625" bestFit="1" customWidth="1"/>
    <col min="6" max="6" width="12.85546875" bestFit="1" customWidth="1"/>
    <col min="7" max="7" width="9.85546875" bestFit="1" customWidth="1"/>
    <col min="8" max="8" width="22.140625" customWidth="1"/>
  </cols>
  <sheetData>
    <row r="1" spans="1:6" ht="18.75">
      <c r="A1" s="3" t="s">
        <v>0</v>
      </c>
    </row>
    <row r="3" spans="1:6">
      <c r="A3" s="13">
        <v>43101</v>
      </c>
    </row>
    <row r="4" spans="1:6" hidden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idden="1">
      <c r="A5" s="5" t="s">
        <v>7</v>
      </c>
      <c r="B5" s="5"/>
      <c r="C5" s="5"/>
      <c r="D5" s="5">
        <v>0</v>
      </c>
      <c r="E5" s="6"/>
      <c r="F5" s="6"/>
    </row>
    <row r="6" spans="1:6" hidden="1">
      <c r="A6" s="5" t="s">
        <v>8</v>
      </c>
      <c r="B6" s="5">
        <v>133003</v>
      </c>
      <c r="C6" s="5">
        <v>133469</v>
      </c>
      <c r="D6" s="5">
        <v>466</v>
      </c>
      <c r="E6" s="6">
        <v>4238.2121999999999</v>
      </c>
      <c r="F6" s="6">
        <v>775.19999999999993</v>
      </c>
    </row>
    <row r="7" spans="1:6" hidden="1">
      <c r="A7" s="5" t="s">
        <v>9</v>
      </c>
      <c r="B7" s="5"/>
      <c r="C7" s="5"/>
      <c r="D7" s="5"/>
      <c r="E7" s="6">
        <v>0</v>
      </c>
      <c r="F7" s="6"/>
    </row>
    <row r="8" spans="1:6" hidden="1">
      <c r="A8" s="5" t="s">
        <v>10</v>
      </c>
      <c r="B8" s="5"/>
      <c r="C8" s="5"/>
      <c r="D8" s="5"/>
      <c r="E8" s="6">
        <v>5013.4121999999998</v>
      </c>
      <c r="F8" s="6"/>
    </row>
    <row r="9" spans="1:6" hidden="1">
      <c r="A9" s="5" t="s">
        <v>11</v>
      </c>
      <c r="B9" s="5"/>
      <c r="C9" s="5"/>
      <c r="D9" s="5"/>
      <c r="E9" s="6">
        <v>-5013.4121999999998</v>
      </c>
      <c r="F9" s="6"/>
    </row>
    <row r="10" spans="1:6" hidden="1">
      <c r="E10" s="2"/>
      <c r="F10" s="2"/>
    </row>
    <row r="11" spans="1:6" hidden="1">
      <c r="A11" s="4">
        <v>43132</v>
      </c>
    </row>
    <row r="12" spans="1:6" hidden="1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</row>
    <row r="13" spans="1:6" hidden="1">
      <c r="A13" s="5" t="s">
        <v>7</v>
      </c>
      <c r="B13" s="5"/>
      <c r="C13" s="5"/>
      <c r="D13" s="5">
        <v>0</v>
      </c>
      <c r="E13" s="6"/>
      <c r="F13" s="6"/>
    </row>
    <row r="14" spans="1:6" hidden="1">
      <c r="A14" s="5" t="s">
        <v>8</v>
      </c>
      <c r="B14" s="5">
        <v>133469</v>
      </c>
      <c r="C14" s="5">
        <v>133794</v>
      </c>
      <c r="D14" s="5">
        <v>325</v>
      </c>
      <c r="E14" s="6">
        <v>2866.7237999999998</v>
      </c>
      <c r="F14" s="6">
        <v>775.19999999999993</v>
      </c>
    </row>
    <row r="15" spans="1:6" hidden="1">
      <c r="A15" s="5" t="s">
        <v>9</v>
      </c>
      <c r="B15" s="5"/>
      <c r="C15" s="5"/>
      <c r="D15" s="5"/>
      <c r="E15" s="6">
        <v>0</v>
      </c>
      <c r="F15" s="6"/>
    </row>
    <row r="16" spans="1:6" hidden="1">
      <c r="A16" s="5" t="s">
        <v>10</v>
      </c>
      <c r="B16" s="5"/>
      <c r="C16" s="5"/>
      <c r="D16" s="5"/>
      <c r="E16" s="6">
        <v>3641.9237999999996</v>
      </c>
      <c r="F16" s="6"/>
    </row>
    <row r="17" spans="1:6" hidden="1">
      <c r="A17" s="5" t="s">
        <v>11</v>
      </c>
      <c r="B17" s="5"/>
      <c r="C17" s="5"/>
      <c r="D17" s="5"/>
      <c r="E17" s="6">
        <v>-3641.9237999999996</v>
      </c>
      <c r="F17" s="6"/>
    </row>
    <row r="18" spans="1:6" hidden="1">
      <c r="E18" s="2"/>
      <c r="F18" s="2"/>
    </row>
    <row r="19" spans="1:6" hidden="1">
      <c r="A19" s="4">
        <v>43160</v>
      </c>
    </row>
    <row r="20" spans="1:6" hidden="1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</row>
    <row r="21" spans="1:6" hidden="1">
      <c r="A21" s="5" t="s">
        <v>7</v>
      </c>
      <c r="B21" s="5"/>
      <c r="C21" s="5"/>
      <c r="D21" s="5">
        <v>0</v>
      </c>
      <c r="E21" s="6"/>
      <c r="F21" s="6"/>
    </row>
    <row r="22" spans="1:6" hidden="1">
      <c r="A22" s="5" t="s">
        <v>8</v>
      </c>
      <c r="B22" s="5">
        <v>133794</v>
      </c>
      <c r="C22" s="5">
        <v>134160</v>
      </c>
      <c r="D22" s="5">
        <v>366</v>
      </c>
      <c r="E22" s="6">
        <v>3109.5551999999993</v>
      </c>
      <c r="F22" s="6">
        <v>775.19999999999993</v>
      </c>
    </row>
    <row r="23" spans="1:6" hidden="1">
      <c r="A23" s="5" t="s">
        <v>9</v>
      </c>
      <c r="B23" s="5"/>
      <c r="C23" s="5"/>
      <c r="D23" s="5"/>
      <c r="E23" s="6">
        <v>0</v>
      </c>
      <c r="F23" s="6"/>
    </row>
    <row r="24" spans="1:6" hidden="1">
      <c r="A24" s="5" t="s">
        <v>10</v>
      </c>
      <c r="B24" s="5"/>
      <c r="C24" s="5"/>
      <c r="D24" s="5"/>
      <c r="E24" s="6">
        <v>3884.7551999999991</v>
      </c>
      <c r="F24" s="6"/>
    </row>
    <row r="25" spans="1:6" hidden="1">
      <c r="A25" s="5" t="s">
        <v>11</v>
      </c>
      <c r="B25" s="5"/>
      <c r="C25" s="5"/>
      <c r="D25" s="5"/>
      <c r="E25" s="6">
        <v>-3884.7551999999991</v>
      </c>
      <c r="F25" s="6"/>
    </row>
    <row r="26" spans="1:6" hidden="1">
      <c r="E26" s="2"/>
      <c r="F26" s="2"/>
    </row>
    <row r="27" spans="1:6" hidden="1">
      <c r="A27" s="4">
        <v>43191</v>
      </c>
    </row>
    <row r="28" spans="1:6" hidden="1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</row>
    <row r="29" spans="1:6" hidden="1">
      <c r="A29" s="5" t="s">
        <v>7</v>
      </c>
      <c r="B29" s="5"/>
      <c r="C29" s="5"/>
      <c r="D29" s="5">
        <v>0</v>
      </c>
      <c r="E29" s="6"/>
      <c r="F29" s="6"/>
    </row>
    <row r="30" spans="1:6" hidden="1">
      <c r="A30" s="5" t="s">
        <v>8</v>
      </c>
      <c r="B30" s="5">
        <v>134160</v>
      </c>
      <c r="C30" s="5">
        <v>134565</v>
      </c>
      <c r="D30" s="5">
        <v>405</v>
      </c>
      <c r="E30" s="6">
        <v>3695.1047999999992</v>
      </c>
      <c r="F30" s="6">
        <v>781.99999999999989</v>
      </c>
    </row>
    <row r="31" spans="1:6" hidden="1">
      <c r="A31" s="5" t="s">
        <v>9</v>
      </c>
      <c r="B31" s="5"/>
      <c r="C31" s="5"/>
      <c r="D31" s="5"/>
      <c r="E31" s="6">
        <v>0</v>
      </c>
      <c r="F31" s="6"/>
    </row>
    <row r="32" spans="1:6" hidden="1">
      <c r="A32" s="5" t="s">
        <v>10</v>
      </c>
      <c r="B32" s="5"/>
      <c r="C32" s="5"/>
      <c r="D32" s="5"/>
      <c r="E32" s="6">
        <v>4487.24</v>
      </c>
      <c r="F32" s="6"/>
    </row>
    <row r="33" spans="1:6" hidden="1">
      <c r="A33" s="5" t="s">
        <v>11</v>
      </c>
      <c r="B33" s="5"/>
      <c r="C33" s="5"/>
      <c r="D33" s="5"/>
      <c r="E33" s="6">
        <v>-4487.24</v>
      </c>
      <c r="F33" s="6"/>
    </row>
    <row r="34" spans="1:6" hidden="1">
      <c r="E34" s="2"/>
      <c r="F34" s="2"/>
    </row>
    <row r="35" spans="1:6" hidden="1">
      <c r="A35" s="4">
        <v>43221</v>
      </c>
    </row>
    <row r="36" spans="1:6" hidden="1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</row>
    <row r="37" spans="1:6" hidden="1">
      <c r="A37" s="5" t="s">
        <v>7</v>
      </c>
      <c r="B37" s="5"/>
      <c r="C37" s="5"/>
      <c r="D37" s="5">
        <v>0</v>
      </c>
      <c r="E37" s="6"/>
      <c r="F37" s="6"/>
    </row>
    <row r="38" spans="1:6" hidden="1">
      <c r="A38" s="5" t="s">
        <v>8</v>
      </c>
      <c r="B38" s="5">
        <v>134565</v>
      </c>
      <c r="C38" s="5">
        <v>135019</v>
      </c>
      <c r="D38" s="5">
        <v>454</v>
      </c>
      <c r="E38" s="6">
        <v>4544.8459999999995</v>
      </c>
      <c r="F38" s="6">
        <v>781.99999999999989</v>
      </c>
    </row>
    <row r="39" spans="1:6" hidden="1">
      <c r="A39" s="5" t="s">
        <v>9</v>
      </c>
      <c r="B39" s="5"/>
      <c r="C39" s="5"/>
      <c r="D39" s="5"/>
      <c r="E39" s="6">
        <v>0</v>
      </c>
      <c r="F39" s="6"/>
    </row>
    <row r="40" spans="1:6" hidden="1">
      <c r="A40" s="5" t="s">
        <v>10</v>
      </c>
      <c r="B40" s="5"/>
      <c r="C40" s="5"/>
      <c r="D40" s="5"/>
      <c r="E40" s="6">
        <v>5326.8459999999995</v>
      </c>
      <c r="F40" s="6"/>
    </row>
    <row r="41" spans="1:6" hidden="1">
      <c r="A41" s="5" t="s">
        <v>11</v>
      </c>
      <c r="B41" s="5"/>
      <c r="C41" s="5"/>
      <c r="D41" s="5"/>
      <c r="E41" s="6">
        <v>-5326.8459999999995</v>
      </c>
      <c r="F41" s="6"/>
    </row>
    <row r="42" spans="1:6" hidden="1">
      <c r="E42" s="2"/>
      <c r="F42" s="2"/>
    </row>
    <row r="43" spans="1:6" hidden="1">
      <c r="A43" s="4">
        <v>43252</v>
      </c>
    </row>
    <row r="44" spans="1:6" hidden="1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</row>
    <row r="45" spans="1:6" hidden="1">
      <c r="A45" s="5" t="s">
        <v>7</v>
      </c>
      <c r="B45" s="5"/>
      <c r="C45" s="5"/>
      <c r="D45" s="5">
        <v>0</v>
      </c>
      <c r="E45" s="6"/>
      <c r="F45" s="6"/>
    </row>
    <row r="46" spans="1:6" hidden="1">
      <c r="A46" s="5" t="s">
        <v>8</v>
      </c>
      <c r="B46" s="5">
        <v>135019</v>
      </c>
      <c r="C46" s="5">
        <v>135711</v>
      </c>
      <c r="D46" s="5">
        <v>692</v>
      </c>
      <c r="E46" s="6">
        <v>7634.4244999999992</v>
      </c>
      <c r="F46" s="6">
        <v>885.22399999999993</v>
      </c>
    </row>
    <row r="47" spans="1:6" hidden="1">
      <c r="A47" s="5" t="s">
        <v>9</v>
      </c>
      <c r="B47" s="5"/>
      <c r="C47" s="5"/>
      <c r="D47" s="5"/>
      <c r="E47" s="6">
        <v>0</v>
      </c>
      <c r="F47" s="6"/>
    </row>
    <row r="48" spans="1:6" hidden="1">
      <c r="A48" s="5" t="s">
        <v>10</v>
      </c>
      <c r="B48" s="5"/>
      <c r="C48" s="5"/>
      <c r="D48" s="5"/>
      <c r="E48" s="6">
        <v>8519.6484999999993</v>
      </c>
      <c r="F48" s="6"/>
    </row>
    <row r="49" spans="1:6" hidden="1">
      <c r="A49" s="5" t="s">
        <v>11</v>
      </c>
      <c r="B49" s="5"/>
      <c r="C49" s="5"/>
      <c r="D49" s="5"/>
      <c r="E49" s="6">
        <v>-8519.6484999999993</v>
      </c>
      <c r="F49" s="6"/>
    </row>
    <row r="50" spans="1:6" hidden="1">
      <c r="E50" s="2"/>
      <c r="F50" s="2"/>
    </row>
    <row r="51" spans="1:6" hidden="1">
      <c r="A51" s="4">
        <v>43282</v>
      </c>
    </row>
    <row r="52" spans="1:6" hidden="1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</row>
    <row r="53" spans="1:6" hidden="1">
      <c r="A53" s="5" t="s">
        <v>7</v>
      </c>
      <c r="B53" s="5"/>
      <c r="C53" s="5"/>
      <c r="D53" s="5">
        <v>0</v>
      </c>
      <c r="E53" s="6"/>
      <c r="F53" s="6"/>
    </row>
    <row r="54" spans="1:6" hidden="1">
      <c r="A54" s="5" t="s">
        <v>8</v>
      </c>
      <c r="B54" s="5">
        <v>135711</v>
      </c>
      <c r="C54" s="5">
        <v>136082</v>
      </c>
      <c r="D54" s="5">
        <v>371</v>
      </c>
      <c r="E54" s="6">
        <v>4694.5644999999995</v>
      </c>
      <c r="F54" s="6">
        <v>885.22399999999993</v>
      </c>
    </row>
    <row r="55" spans="1:6" hidden="1">
      <c r="A55" s="5" t="s">
        <v>9</v>
      </c>
      <c r="B55" s="5"/>
      <c r="C55" s="5"/>
      <c r="D55" s="5"/>
      <c r="E55" s="6">
        <v>0</v>
      </c>
      <c r="F55" s="6"/>
    </row>
    <row r="56" spans="1:6" hidden="1">
      <c r="A56" s="5" t="s">
        <v>10</v>
      </c>
      <c r="B56" s="5"/>
      <c r="C56" s="5"/>
      <c r="D56" s="5"/>
      <c r="E56" s="6">
        <v>5579.7884999999997</v>
      </c>
      <c r="F56" s="6"/>
    </row>
    <row r="57" spans="1:6" hidden="1">
      <c r="A57" s="5" t="s">
        <v>11</v>
      </c>
      <c r="B57" s="5"/>
      <c r="C57" s="5"/>
      <c r="D57" s="5"/>
      <c r="E57" s="6">
        <v>-5579.7884999999997</v>
      </c>
      <c r="F57" s="6"/>
    </row>
    <row r="58" spans="1:6" hidden="1">
      <c r="E58" s="2"/>
      <c r="F58" s="2"/>
    </row>
    <row r="59" spans="1:6" hidden="1">
      <c r="A59" s="4">
        <v>43313</v>
      </c>
    </row>
    <row r="60" spans="1:6" hidden="1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</row>
    <row r="61" spans="1:6" hidden="1">
      <c r="A61" s="5" t="s">
        <v>7</v>
      </c>
      <c r="B61" s="5"/>
      <c r="C61" s="5">
        <v>137030</v>
      </c>
      <c r="D61" s="5">
        <v>137030</v>
      </c>
      <c r="E61" s="6"/>
      <c r="F61" s="6"/>
    </row>
    <row r="62" spans="1:6" hidden="1">
      <c r="A62" s="5" t="s">
        <v>8</v>
      </c>
      <c r="B62" s="5">
        <v>136082</v>
      </c>
      <c r="C62" s="5">
        <v>136687</v>
      </c>
      <c r="D62" s="5">
        <v>605</v>
      </c>
      <c r="E62" s="6">
        <v>8082.9474999999993</v>
      </c>
      <c r="F62" s="6">
        <v>885.22399999999993</v>
      </c>
    </row>
    <row r="63" spans="1:6" hidden="1">
      <c r="A63" s="5" t="s">
        <v>9</v>
      </c>
      <c r="B63" s="5"/>
      <c r="C63" s="5"/>
      <c r="D63" s="5"/>
      <c r="E63" s="6">
        <v>0</v>
      </c>
      <c r="F63" s="6"/>
    </row>
    <row r="64" spans="1:6" hidden="1">
      <c r="A64" s="5" t="s">
        <v>10</v>
      </c>
      <c r="B64" s="5"/>
      <c r="C64" s="5"/>
      <c r="D64" s="5"/>
      <c r="E64" s="6">
        <v>8968.1714999999986</v>
      </c>
      <c r="F64" s="6"/>
    </row>
    <row r="65" spans="1:6" hidden="1">
      <c r="A65" s="5" t="s">
        <v>11</v>
      </c>
      <c r="B65" s="5"/>
      <c r="C65" s="5"/>
      <c r="D65" s="5"/>
      <c r="E65" s="6">
        <v>-8968.1714999999986</v>
      </c>
      <c r="F65" s="6"/>
    </row>
    <row r="66" spans="1:6" hidden="1">
      <c r="E66" s="2"/>
      <c r="F66" s="2"/>
    </row>
    <row r="67" spans="1:6" hidden="1">
      <c r="A67" s="4">
        <v>43344</v>
      </c>
    </row>
    <row r="68" spans="1:6" hidden="1">
      <c r="A68" s="1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</row>
    <row r="69" spans="1:6" hidden="1">
      <c r="A69" s="5" t="s">
        <v>7</v>
      </c>
      <c r="B69" s="5">
        <v>137030</v>
      </c>
      <c r="C69" s="5">
        <v>137621</v>
      </c>
      <c r="D69" s="5">
        <v>591</v>
      </c>
      <c r="E69" s="6"/>
      <c r="F69" s="6"/>
    </row>
    <row r="70" spans="1:6" hidden="1">
      <c r="A70" s="5" t="s">
        <v>8</v>
      </c>
      <c r="B70" s="5">
        <v>136687</v>
      </c>
      <c r="C70" s="5">
        <v>137272</v>
      </c>
      <c r="D70" s="5">
        <v>585</v>
      </c>
      <c r="E70" s="6">
        <v>7796.1605</v>
      </c>
      <c r="F70" s="6">
        <v>885.22399999999993</v>
      </c>
    </row>
    <row r="71" spans="1:6" hidden="1">
      <c r="A71" s="5" t="s">
        <v>9</v>
      </c>
      <c r="B71" s="5"/>
      <c r="C71" s="5"/>
      <c r="D71" s="5"/>
      <c r="E71" s="6">
        <v>0</v>
      </c>
      <c r="F71" s="6"/>
    </row>
    <row r="72" spans="1:6" hidden="1">
      <c r="A72" s="5" t="s">
        <v>10</v>
      </c>
      <c r="B72" s="5"/>
      <c r="C72" s="5"/>
      <c r="D72" s="5"/>
      <c r="E72" s="6">
        <v>8681.3845000000001</v>
      </c>
      <c r="F72" s="6"/>
    </row>
    <row r="73" spans="1:6" hidden="1">
      <c r="A73" s="5" t="s">
        <v>11</v>
      </c>
      <c r="B73" s="5"/>
      <c r="C73" s="5"/>
      <c r="D73" s="5"/>
      <c r="E73" s="6">
        <v>-8681.3845000000001</v>
      </c>
      <c r="F73" s="6"/>
    </row>
    <row r="74" spans="1:6" hidden="1">
      <c r="E74" s="2"/>
      <c r="F74" s="2"/>
    </row>
    <row r="75" spans="1:6" hidden="1">
      <c r="A75" s="4">
        <v>43374</v>
      </c>
    </row>
    <row r="76" spans="1:6" hidden="1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</row>
    <row r="77" spans="1:6" hidden="1">
      <c r="A77" s="5" t="s">
        <v>7</v>
      </c>
      <c r="B77" s="5">
        <v>137621</v>
      </c>
      <c r="C77" s="5">
        <v>138289</v>
      </c>
      <c r="D77" s="5">
        <v>668</v>
      </c>
      <c r="E77" s="6"/>
      <c r="F77" s="6"/>
    </row>
    <row r="78" spans="1:6" hidden="1">
      <c r="A78" s="5" t="s">
        <v>8</v>
      </c>
      <c r="B78" s="5">
        <v>137272</v>
      </c>
      <c r="C78" s="5">
        <v>137788</v>
      </c>
      <c r="D78" s="5">
        <v>516</v>
      </c>
      <c r="E78" s="6">
        <v>7571.1284999999998</v>
      </c>
      <c r="F78" s="6">
        <v>885.22399999999993</v>
      </c>
    </row>
    <row r="79" spans="1:6" hidden="1">
      <c r="A79" s="5" t="s">
        <v>9</v>
      </c>
      <c r="B79" s="5"/>
      <c r="C79" s="5"/>
      <c r="D79" s="5"/>
      <c r="E79" s="6">
        <v>0</v>
      </c>
      <c r="F79" s="6"/>
    </row>
    <row r="80" spans="1:6" hidden="1">
      <c r="A80" s="5" t="s">
        <v>10</v>
      </c>
      <c r="B80" s="5"/>
      <c r="C80" s="5"/>
      <c r="D80" s="5"/>
      <c r="E80" s="6">
        <v>8456.3524999999991</v>
      </c>
      <c r="F80" s="6"/>
    </row>
    <row r="81" spans="1:6" hidden="1">
      <c r="A81" s="5" t="s">
        <v>11</v>
      </c>
      <c r="B81" s="5"/>
      <c r="C81" s="5"/>
      <c r="D81" s="5"/>
      <c r="E81" s="6">
        <v>-8456.3524999999991</v>
      </c>
      <c r="F81" s="6"/>
    </row>
    <row r="82" spans="1:6" hidden="1">
      <c r="E82" s="2"/>
      <c r="F82" s="2"/>
    </row>
    <row r="83" spans="1:6" hidden="1">
      <c r="A83" s="4">
        <v>43405</v>
      </c>
    </row>
    <row r="84" spans="1:6" hidden="1">
      <c r="A84" s="1" t="s">
        <v>1</v>
      </c>
      <c r="B84" s="1" t="s">
        <v>2</v>
      </c>
      <c r="C84" s="1" t="s">
        <v>3</v>
      </c>
      <c r="D84" s="1" t="s">
        <v>4</v>
      </c>
      <c r="E84" s="1" t="s">
        <v>5</v>
      </c>
      <c r="F84" s="1" t="s">
        <v>6</v>
      </c>
    </row>
    <row r="85" spans="1:6" hidden="1">
      <c r="A85" s="5" t="s">
        <v>7</v>
      </c>
      <c r="B85" s="5">
        <v>138289</v>
      </c>
      <c r="C85" s="5">
        <v>138740</v>
      </c>
      <c r="D85" s="5">
        <v>451</v>
      </c>
      <c r="E85" s="6"/>
      <c r="F85" s="6"/>
    </row>
    <row r="86" spans="1:6" hidden="1">
      <c r="A86" s="5" t="s">
        <v>8</v>
      </c>
      <c r="B86" s="5">
        <v>137788</v>
      </c>
      <c r="C86" s="5">
        <v>137788</v>
      </c>
      <c r="D86" s="5">
        <v>0</v>
      </c>
      <c r="E86" s="6">
        <v>7571.1284999999998</v>
      </c>
      <c r="F86" s="6">
        <v>885.22399999999993</v>
      </c>
    </row>
    <row r="87" spans="1:6" hidden="1">
      <c r="A87" s="5" t="s">
        <v>9</v>
      </c>
      <c r="B87" s="5"/>
      <c r="C87" s="5"/>
      <c r="D87" s="5"/>
      <c r="E87" s="6">
        <v>0</v>
      </c>
      <c r="F87" s="6"/>
    </row>
    <row r="88" spans="1:6" hidden="1">
      <c r="A88" s="5" t="s">
        <v>10</v>
      </c>
      <c r="B88" s="5"/>
      <c r="C88" s="5"/>
      <c r="D88" s="5"/>
      <c r="E88" s="6">
        <v>8456.3524999999991</v>
      </c>
      <c r="F88" s="6"/>
    </row>
    <row r="89" spans="1:6" hidden="1">
      <c r="A89" s="5" t="s">
        <v>11</v>
      </c>
      <c r="B89" s="5"/>
      <c r="C89" s="5"/>
      <c r="D89" s="5"/>
      <c r="E89" s="6">
        <v>-8456.3524999999991</v>
      </c>
      <c r="F89" s="6"/>
    </row>
    <row r="90" spans="1:6" hidden="1">
      <c r="E90" s="2"/>
      <c r="F90" s="2"/>
    </row>
    <row r="91" spans="1:6" hidden="1">
      <c r="A91" s="4">
        <v>43435</v>
      </c>
    </row>
    <row r="92" spans="1:6" hidden="1">
      <c r="A92" s="1" t="s">
        <v>1</v>
      </c>
      <c r="B92" s="1" t="s">
        <v>2</v>
      </c>
      <c r="C92" s="1" t="s">
        <v>3</v>
      </c>
      <c r="D92" s="1" t="s">
        <v>4</v>
      </c>
      <c r="E92" s="1" t="s">
        <v>5</v>
      </c>
      <c r="F92" s="1" t="s">
        <v>6</v>
      </c>
    </row>
    <row r="93" spans="1:6" hidden="1">
      <c r="A93" s="5" t="s">
        <v>7</v>
      </c>
      <c r="B93" s="5">
        <v>138740</v>
      </c>
      <c r="C93" s="5">
        <v>139360</v>
      </c>
      <c r="D93" s="5">
        <v>620</v>
      </c>
      <c r="E93" s="6"/>
      <c r="F93" s="6"/>
    </row>
    <row r="94" spans="1:6" hidden="1">
      <c r="A94" s="5" t="s">
        <v>8</v>
      </c>
      <c r="B94" s="5">
        <v>137788</v>
      </c>
      <c r="C94" s="5">
        <v>138920</v>
      </c>
      <c r="D94" s="5">
        <v>1132</v>
      </c>
      <c r="E94" s="6">
        <v>6806.4589999999989</v>
      </c>
      <c r="F94" s="6">
        <v>885.22399999999993</v>
      </c>
    </row>
    <row r="95" spans="1:6" hidden="1">
      <c r="A95" s="5" t="s">
        <v>9</v>
      </c>
      <c r="B95" s="5"/>
      <c r="C95" s="5"/>
      <c r="D95" s="5"/>
      <c r="E95" s="6">
        <v>0</v>
      </c>
      <c r="F95" s="6"/>
    </row>
    <row r="96" spans="1:6" hidden="1">
      <c r="A96" s="5" t="s">
        <v>10</v>
      </c>
      <c r="B96" s="5"/>
      <c r="C96" s="5"/>
      <c r="D96" s="5"/>
      <c r="E96" s="6">
        <v>7691.6829999999991</v>
      </c>
      <c r="F96" s="6"/>
    </row>
    <row r="97" spans="1:11" hidden="1">
      <c r="A97" s="5" t="s">
        <v>11</v>
      </c>
      <c r="B97" s="5"/>
      <c r="C97" s="5"/>
      <c r="D97" s="5"/>
      <c r="E97" s="6">
        <v>-7691.6829999999991</v>
      </c>
      <c r="F97" s="6"/>
    </row>
    <row r="98" spans="1:11">
      <c r="E98" s="2"/>
      <c r="F98" s="2"/>
    </row>
    <row r="99" spans="1:11">
      <c r="A99" s="13">
        <v>43466</v>
      </c>
    </row>
    <row r="100" spans="1:11" hidden="1">
      <c r="A100" s="1" t="s">
        <v>1</v>
      </c>
      <c r="B100" s="1" t="s">
        <v>2</v>
      </c>
      <c r="C100" s="1" t="s">
        <v>3</v>
      </c>
      <c r="D100" s="1" t="s">
        <v>4</v>
      </c>
      <c r="E100" s="1" t="s">
        <v>5</v>
      </c>
      <c r="F100" s="1" t="s">
        <v>6</v>
      </c>
      <c r="G100" s="1" t="s">
        <v>12</v>
      </c>
      <c r="H100" s="1" t="s">
        <v>13</v>
      </c>
      <c r="I100" s="1" t="s">
        <v>14</v>
      </c>
      <c r="J100" s="1" t="s">
        <v>15</v>
      </c>
      <c r="K100" s="1" t="s">
        <v>16</v>
      </c>
    </row>
    <row r="101" spans="1:11" hidden="1">
      <c r="A101" s="5" t="s">
        <v>7</v>
      </c>
      <c r="B101" s="5">
        <v>139360</v>
      </c>
      <c r="C101" s="5">
        <v>139933</v>
      </c>
      <c r="D101" s="5">
        <v>573</v>
      </c>
      <c r="E101" s="6"/>
      <c r="F101" s="6"/>
      <c r="G101" s="5" t="s">
        <v>17</v>
      </c>
      <c r="H101" s="5" t="s">
        <v>18</v>
      </c>
      <c r="I101" s="5">
        <v>30</v>
      </c>
      <c r="J101" s="5">
        <f>D101/I101</f>
        <v>19.100000000000001</v>
      </c>
      <c r="K101" s="6">
        <f>E103/D101</f>
        <v>0</v>
      </c>
    </row>
    <row r="102" spans="1:11" hidden="1">
      <c r="A102" s="5" t="s">
        <v>8</v>
      </c>
      <c r="B102" s="5">
        <v>138920</v>
      </c>
      <c r="C102" s="5">
        <v>139479</v>
      </c>
      <c r="D102" s="5">
        <v>559</v>
      </c>
      <c r="E102" s="6">
        <v>6928.1404999999995</v>
      </c>
      <c r="F102" s="6">
        <v>885.22399999999993</v>
      </c>
      <c r="G102" s="5" t="s">
        <v>17</v>
      </c>
      <c r="H102" s="5" t="s">
        <v>19</v>
      </c>
      <c r="I102" s="5">
        <v>33</v>
      </c>
      <c r="J102" s="5">
        <v>17</v>
      </c>
      <c r="K102" s="6">
        <f>E104/D102</f>
        <v>13.977396243291592</v>
      </c>
    </row>
    <row r="103" spans="1:11" hidden="1">
      <c r="A103" s="5" t="s">
        <v>9</v>
      </c>
      <c r="B103" s="5"/>
      <c r="C103" s="5"/>
      <c r="D103" s="5"/>
      <c r="E103" s="6">
        <v>0</v>
      </c>
      <c r="F103" s="6"/>
      <c r="G103" s="5"/>
      <c r="H103" s="5"/>
      <c r="I103" s="5"/>
      <c r="J103" s="5"/>
      <c r="K103" s="5"/>
    </row>
    <row r="104" spans="1:11" hidden="1">
      <c r="A104" s="5" t="s">
        <v>10</v>
      </c>
      <c r="B104" s="5"/>
      <c r="C104" s="5"/>
      <c r="D104" s="5"/>
      <c r="E104" s="6">
        <v>7813.3644999999997</v>
      </c>
      <c r="F104" s="6"/>
      <c r="G104" s="5"/>
      <c r="H104" s="5"/>
      <c r="I104" s="5"/>
      <c r="J104" s="5"/>
      <c r="K104" s="5"/>
    </row>
    <row r="105" spans="1:11" hidden="1">
      <c r="A105" s="5" t="s">
        <v>11</v>
      </c>
      <c r="B105" s="5"/>
      <c r="C105" s="5"/>
      <c r="D105" s="5"/>
      <c r="E105" s="6">
        <v>-7813.3644999999997</v>
      </c>
      <c r="F105" s="6"/>
      <c r="G105" s="5"/>
      <c r="H105" s="5"/>
      <c r="I105" s="5"/>
      <c r="J105" s="5"/>
      <c r="K105" s="5"/>
    </row>
    <row r="106" spans="1:11" hidden="1">
      <c r="E106" s="2"/>
      <c r="F106" s="2"/>
    </row>
    <row r="107" spans="1:11" hidden="1">
      <c r="A107" s="4">
        <v>43497</v>
      </c>
    </row>
    <row r="108" spans="1:11" hidden="1">
      <c r="A108" s="1" t="s">
        <v>1</v>
      </c>
      <c r="B108" s="1" t="s">
        <v>2</v>
      </c>
      <c r="C108" s="1" t="s">
        <v>3</v>
      </c>
      <c r="D108" s="1" t="s">
        <v>4</v>
      </c>
      <c r="E108" s="1" t="s">
        <v>5</v>
      </c>
      <c r="F108" s="1" t="s">
        <v>6</v>
      </c>
      <c r="G108" s="1" t="s">
        <v>12</v>
      </c>
      <c r="H108" s="1" t="s">
        <v>13</v>
      </c>
      <c r="I108" s="1" t="s">
        <v>14</v>
      </c>
      <c r="J108" s="1" t="s">
        <v>15</v>
      </c>
      <c r="K108" s="1" t="s">
        <v>16</v>
      </c>
    </row>
    <row r="109" spans="1:11" hidden="1">
      <c r="A109" s="5" t="s">
        <v>7</v>
      </c>
      <c r="B109" s="5">
        <v>139933</v>
      </c>
      <c r="C109" s="5">
        <v>141014</v>
      </c>
      <c r="D109" s="5">
        <v>1081</v>
      </c>
      <c r="E109" s="6"/>
      <c r="F109" s="6"/>
      <c r="G109" s="5" t="s">
        <v>17</v>
      </c>
      <c r="H109" s="5" t="s">
        <v>20</v>
      </c>
      <c r="I109" s="5">
        <v>25</v>
      </c>
      <c r="J109" s="5">
        <f>D109/I109</f>
        <v>43.24</v>
      </c>
      <c r="K109" s="6">
        <f>E111/D109</f>
        <v>0</v>
      </c>
    </row>
    <row r="110" spans="1:11" hidden="1">
      <c r="A110" s="5" t="s">
        <v>8</v>
      </c>
      <c r="B110" s="5">
        <v>139479</v>
      </c>
      <c r="C110" s="5">
        <v>140330</v>
      </c>
      <c r="D110" s="5">
        <v>851</v>
      </c>
      <c r="E110" s="6">
        <v>10336.659999999998</v>
      </c>
      <c r="F110" s="6">
        <v>885.22399999999993</v>
      </c>
      <c r="G110" s="5" t="s">
        <v>12</v>
      </c>
      <c r="H110" s="5" t="s">
        <v>21</v>
      </c>
      <c r="I110" s="5">
        <v>52</v>
      </c>
      <c r="J110" s="5">
        <v>16</v>
      </c>
      <c r="K110" s="6">
        <f>E112/D110</f>
        <v>13.1867027027027</v>
      </c>
    </row>
    <row r="111" spans="1:11" hidden="1">
      <c r="A111" s="5" t="s">
        <v>9</v>
      </c>
      <c r="B111" s="5"/>
      <c r="C111" s="5"/>
      <c r="D111" s="5"/>
      <c r="E111" s="6">
        <v>0</v>
      </c>
      <c r="F111" s="6"/>
      <c r="G111" s="5"/>
      <c r="H111" s="5"/>
      <c r="I111" s="5"/>
      <c r="J111" s="5"/>
      <c r="K111" s="5"/>
    </row>
    <row r="112" spans="1:11" hidden="1">
      <c r="A112" s="5" t="s">
        <v>10</v>
      </c>
      <c r="B112" s="5"/>
      <c r="C112" s="5"/>
      <c r="D112" s="5"/>
      <c r="E112" s="6">
        <v>11221.883999999998</v>
      </c>
      <c r="F112" s="6"/>
      <c r="G112" s="5"/>
      <c r="H112" s="5"/>
      <c r="I112" s="5"/>
      <c r="J112" s="5"/>
      <c r="K112" s="5"/>
    </row>
    <row r="113" spans="1:11" hidden="1">
      <c r="A113" s="5" t="s">
        <v>11</v>
      </c>
      <c r="B113" s="5"/>
      <c r="C113" s="5"/>
      <c r="D113" s="5"/>
      <c r="E113" s="6">
        <v>-11221.883999999998</v>
      </c>
      <c r="F113" s="6"/>
      <c r="G113" s="5"/>
      <c r="H113" s="5"/>
      <c r="I113" s="5"/>
      <c r="J113" s="5"/>
      <c r="K113" s="5"/>
    </row>
    <row r="114" spans="1:11" hidden="1">
      <c r="E114" s="2"/>
      <c r="F114" s="2"/>
    </row>
    <row r="115" spans="1:11" hidden="1">
      <c r="A115" s="4">
        <v>43525</v>
      </c>
    </row>
    <row r="116" spans="1:11" hidden="1">
      <c r="A116" s="1" t="s">
        <v>1</v>
      </c>
      <c r="B116" s="1" t="s">
        <v>2</v>
      </c>
      <c r="C116" s="1" t="s">
        <v>3</v>
      </c>
      <c r="D116" s="1" t="s">
        <v>4</v>
      </c>
      <c r="E116" s="1" t="s">
        <v>5</v>
      </c>
      <c r="F116" s="1" t="s">
        <v>6</v>
      </c>
      <c r="G116" s="1" t="s">
        <v>12</v>
      </c>
      <c r="H116" s="1" t="s">
        <v>13</v>
      </c>
      <c r="I116" s="1" t="s">
        <v>14</v>
      </c>
      <c r="J116" s="1" t="s">
        <v>15</v>
      </c>
      <c r="K116" s="1" t="s">
        <v>16</v>
      </c>
    </row>
    <row r="117" spans="1:11" hidden="1">
      <c r="A117" s="5" t="s">
        <v>7</v>
      </c>
      <c r="B117" s="5">
        <v>141014</v>
      </c>
      <c r="C117" s="5">
        <v>142141</v>
      </c>
      <c r="D117" s="5">
        <v>1127</v>
      </c>
      <c r="E117" s="6"/>
      <c r="F117" s="6"/>
      <c r="G117" s="5" t="s">
        <v>17</v>
      </c>
      <c r="H117" s="5" t="s">
        <v>22</v>
      </c>
      <c r="I117" s="5">
        <v>30</v>
      </c>
      <c r="J117" s="5">
        <f>D117/I117</f>
        <v>37.56666666666667</v>
      </c>
      <c r="K117" s="6">
        <f>E119/D117</f>
        <v>0</v>
      </c>
    </row>
    <row r="118" spans="1:11" hidden="1">
      <c r="A118" s="5" t="s">
        <v>8</v>
      </c>
      <c r="B118" s="5">
        <v>140330</v>
      </c>
      <c r="C118" s="5">
        <v>140815</v>
      </c>
      <c r="D118" s="5">
        <v>485</v>
      </c>
      <c r="E118" s="6">
        <v>5937.0360000000001</v>
      </c>
      <c r="F118" s="6">
        <v>885.22399999999993</v>
      </c>
      <c r="G118" s="5" t="s">
        <v>12</v>
      </c>
      <c r="H118" s="5" t="s">
        <v>23</v>
      </c>
      <c r="I118" s="5">
        <v>29</v>
      </c>
      <c r="J118" s="5">
        <v>17</v>
      </c>
      <c r="K118" s="6">
        <f>E120/D118</f>
        <v>14.066515463917526</v>
      </c>
    </row>
    <row r="119" spans="1:11" hidden="1">
      <c r="A119" s="5" t="s">
        <v>9</v>
      </c>
      <c r="B119" s="5"/>
      <c r="C119" s="5"/>
      <c r="D119" s="5"/>
      <c r="E119" s="6">
        <v>0</v>
      </c>
      <c r="F119" s="6"/>
      <c r="G119" s="5"/>
      <c r="H119" s="5"/>
      <c r="I119" s="5"/>
      <c r="J119" s="5"/>
      <c r="K119" s="5"/>
    </row>
    <row r="120" spans="1:11" hidden="1">
      <c r="A120" s="5" t="s">
        <v>10</v>
      </c>
      <c r="B120" s="5"/>
      <c r="C120" s="5"/>
      <c r="D120" s="5"/>
      <c r="E120" s="6">
        <v>6822.26</v>
      </c>
      <c r="F120" s="6"/>
      <c r="G120" s="5"/>
      <c r="H120" s="5"/>
      <c r="I120" s="5"/>
      <c r="J120" s="5"/>
      <c r="K120" s="5"/>
    </row>
    <row r="121" spans="1:11" hidden="1">
      <c r="A121" s="5" t="s">
        <v>11</v>
      </c>
      <c r="B121" s="5"/>
      <c r="C121" s="5"/>
      <c r="D121" s="5"/>
      <c r="E121" s="6">
        <v>-6822.26</v>
      </c>
      <c r="F121" s="6"/>
      <c r="G121" s="5"/>
      <c r="H121" s="5"/>
      <c r="I121" s="5"/>
      <c r="J121" s="5"/>
      <c r="K121" s="5"/>
    </row>
    <row r="122" spans="1:11" hidden="1">
      <c r="E122" s="2"/>
      <c r="F122" s="2"/>
    </row>
    <row r="123" spans="1:11" hidden="1">
      <c r="A123" s="4">
        <v>43556</v>
      </c>
    </row>
    <row r="124" spans="1:11" hidden="1">
      <c r="A124" s="1" t="s">
        <v>1</v>
      </c>
      <c r="B124" s="1" t="s">
        <v>2</v>
      </c>
      <c r="C124" s="1" t="s">
        <v>3</v>
      </c>
      <c r="D124" s="1" t="s">
        <v>4</v>
      </c>
      <c r="E124" s="1" t="s">
        <v>5</v>
      </c>
      <c r="F124" s="1" t="s">
        <v>6</v>
      </c>
      <c r="G124" s="1" t="s">
        <v>12</v>
      </c>
      <c r="H124" s="1" t="s">
        <v>13</v>
      </c>
      <c r="I124" s="1" t="s">
        <v>14</v>
      </c>
      <c r="J124" s="1" t="s">
        <v>15</v>
      </c>
      <c r="K124" s="1" t="s">
        <v>16</v>
      </c>
    </row>
    <row r="125" spans="1:11" hidden="1">
      <c r="A125" s="5" t="s">
        <v>7</v>
      </c>
      <c r="B125" s="5">
        <v>142141</v>
      </c>
      <c r="C125" s="5">
        <v>142141</v>
      </c>
      <c r="D125" s="5">
        <v>0</v>
      </c>
      <c r="E125" s="6"/>
      <c r="F125" s="6"/>
      <c r="G125" s="5" t="s">
        <v>17</v>
      </c>
      <c r="H125" s="5" t="s">
        <v>24</v>
      </c>
      <c r="I125" s="5">
        <v>31</v>
      </c>
      <c r="J125" s="5">
        <f>D125/I125</f>
        <v>0</v>
      </c>
      <c r="K125" s="6" t="e">
        <f>E127/D125</f>
        <v>#DIV/0!</v>
      </c>
    </row>
    <row r="126" spans="1:11" hidden="1">
      <c r="A126" s="5" t="s">
        <v>8</v>
      </c>
      <c r="B126" s="5">
        <v>140815</v>
      </c>
      <c r="C126" s="5">
        <v>142326</v>
      </c>
      <c r="D126" s="5">
        <v>1511</v>
      </c>
      <c r="E126" s="6">
        <v>59508.187499999993</v>
      </c>
      <c r="F126" s="6">
        <v>885.22399999999993</v>
      </c>
      <c r="G126" s="5" t="s">
        <v>17</v>
      </c>
      <c r="H126" s="5" t="s">
        <v>25</v>
      </c>
      <c r="I126" s="5">
        <v>91</v>
      </c>
      <c r="J126" s="5">
        <v>31</v>
      </c>
      <c r="K126" s="6">
        <f>E128/D126</f>
        <v>29.199020516214429</v>
      </c>
    </row>
    <row r="127" spans="1:11" hidden="1">
      <c r="A127" s="5" t="s">
        <v>9</v>
      </c>
      <c r="B127" s="5"/>
      <c r="C127" s="5"/>
      <c r="D127" s="5"/>
      <c r="E127" s="6">
        <v>0</v>
      </c>
      <c r="F127" s="6"/>
      <c r="G127" s="5"/>
      <c r="H127" s="5"/>
      <c r="I127" s="5"/>
      <c r="J127" s="5"/>
      <c r="K127" s="5"/>
    </row>
    <row r="128" spans="1:11" hidden="1">
      <c r="A128" s="5" t="s">
        <v>10</v>
      </c>
      <c r="B128" s="5"/>
      <c r="C128" s="5"/>
      <c r="D128" s="5"/>
      <c r="E128" s="6">
        <v>44119.72</v>
      </c>
      <c r="F128" s="6"/>
      <c r="G128" s="5"/>
      <c r="H128" s="5"/>
      <c r="I128" s="5"/>
      <c r="J128" s="5"/>
      <c r="K128" s="5"/>
    </row>
    <row r="129" spans="1:11" hidden="1">
      <c r="A129" s="5" t="s">
        <v>11</v>
      </c>
      <c r="B129" s="5"/>
      <c r="C129" s="5"/>
      <c r="D129" s="5"/>
      <c r="E129" s="6">
        <v>-44119.72</v>
      </c>
      <c r="F129" s="6"/>
      <c r="G129" s="5"/>
      <c r="H129" s="5"/>
      <c r="I129" s="5"/>
      <c r="J129" s="5"/>
      <c r="K129" s="5"/>
    </row>
    <row r="130" spans="1:11" hidden="1"/>
    <row r="131" spans="1:11" hidden="1">
      <c r="A131" s="4">
        <v>43586</v>
      </c>
    </row>
    <row r="132" spans="1:11" hidden="1">
      <c r="A132" s="1" t="s">
        <v>1</v>
      </c>
      <c r="B132" s="1" t="s">
        <v>2</v>
      </c>
      <c r="C132" s="1" t="s">
        <v>3</v>
      </c>
      <c r="D132" s="1" t="s">
        <v>4</v>
      </c>
      <c r="E132" s="1" t="s">
        <v>5</v>
      </c>
      <c r="F132" s="1" t="s">
        <v>6</v>
      </c>
      <c r="G132" s="1" t="s">
        <v>12</v>
      </c>
      <c r="H132" s="1" t="s">
        <v>13</v>
      </c>
      <c r="I132" s="1" t="s">
        <v>14</v>
      </c>
      <c r="J132" s="1" t="s">
        <v>15</v>
      </c>
      <c r="K132" s="1" t="s">
        <v>16</v>
      </c>
    </row>
    <row r="133" spans="1:11" hidden="1">
      <c r="A133" s="5" t="s">
        <v>7</v>
      </c>
      <c r="B133" s="5">
        <v>142141</v>
      </c>
      <c r="C133" s="5">
        <v>143210</v>
      </c>
      <c r="D133" s="5">
        <f>C133-B133</f>
        <v>1069</v>
      </c>
      <c r="E133" s="6"/>
      <c r="F133" s="6"/>
      <c r="G133" s="5" t="s">
        <v>17</v>
      </c>
      <c r="H133" s="5" t="s">
        <v>26</v>
      </c>
      <c r="I133" s="5">
        <v>31</v>
      </c>
      <c r="J133" s="5">
        <f>D133/I133</f>
        <v>34.483870967741936</v>
      </c>
      <c r="K133" s="6">
        <f>E135/D133</f>
        <v>0</v>
      </c>
    </row>
    <row r="134" spans="1:11" hidden="1">
      <c r="A134" s="5" t="s">
        <v>8</v>
      </c>
      <c r="B134" s="5">
        <v>142326</v>
      </c>
      <c r="C134" s="5">
        <v>142848</v>
      </c>
      <c r="D134" s="5">
        <f>C134-B134</f>
        <v>522</v>
      </c>
      <c r="E134" s="6">
        <f>5965.66*1.15</f>
        <v>6860.5089999999991</v>
      </c>
      <c r="F134" s="6">
        <f>769.76*1.15</f>
        <v>885.22399999999993</v>
      </c>
      <c r="G134" s="5" t="s">
        <v>17</v>
      </c>
      <c r="H134" s="5" t="s">
        <v>27</v>
      </c>
      <c r="I134" s="5">
        <v>29</v>
      </c>
      <c r="J134" s="5">
        <v>18</v>
      </c>
      <c r="K134" s="6">
        <f>E136/D134</f>
        <v>14.83856896551724</v>
      </c>
    </row>
    <row r="135" spans="1:11" hidden="1">
      <c r="A135" s="5" t="s">
        <v>9</v>
      </c>
      <c r="B135" s="5"/>
      <c r="C135" s="5"/>
      <c r="D135" s="5"/>
      <c r="E135" s="6">
        <f>E133</f>
        <v>0</v>
      </c>
      <c r="F135" s="6"/>
      <c r="G135" s="5"/>
      <c r="H135" s="5"/>
      <c r="I135" s="5"/>
      <c r="J135" s="5"/>
      <c r="K135" s="5"/>
    </row>
    <row r="136" spans="1:11" hidden="1">
      <c r="A136" s="5" t="s">
        <v>10</v>
      </c>
      <c r="B136" s="5"/>
      <c r="C136" s="5"/>
      <c r="D136" s="5"/>
      <c r="E136" s="6">
        <f>E134+F134</f>
        <v>7745.7329999999993</v>
      </c>
      <c r="F136" s="6"/>
      <c r="G136" s="5"/>
      <c r="H136" s="5"/>
      <c r="I136" s="5"/>
      <c r="J136" s="5"/>
      <c r="K136" s="5"/>
    </row>
    <row r="137" spans="1:11" hidden="1">
      <c r="A137" s="5" t="s">
        <v>11</v>
      </c>
      <c r="B137" s="5"/>
      <c r="C137" s="5"/>
      <c r="D137" s="5"/>
      <c r="E137" s="6">
        <f>E135-E136</f>
        <v>-7745.7329999999993</v>
      </c>
      <c r="F137" s="6"/>
      <c r="G137" s="5"/>
      <c r="H137" s="5"/>
      <c r="I137" s="5"/>
      <c r="J137" s="5"/>
      <c r="K137" s="5"/>
    </row>
    <row r="138" spans="1:11" hidden="1"/>
    <row r="139" spans="1:11" hidden="1">
      <c r="A139" s="4">
        <v>43617</v>
      </c>
    </row>
    <row r="140" spans="1:11" hidden="1">
      <c r="A140" s="1" t="s">
        <v>1</v>
      </c>
      <c r="B140" s="1" t="s">
        <v>2</v>
      </c>
      <c r="C140" s="1" t="s">
        <v>3</v>
      </c>
      <c r="D140" s="1" t="s">
        <v>4</v>
      </c>
      <c r="E140" s="1" t="s">
        <v>5</v>
      </c>
      <c r="F140" s="1" t="s">
        <v>6</v>
      </c>
      <c r="G140" s="1" t="s">
        <v>12</v>
      </c>
      <c r="H140" s="1" t="s">
        <v>13</v>
      </c>
      <c r="I140" s="1" t="s">
        <v>14</v>
      </c>
      <c r="J140" s="1" t="s">
        <v>15</v>
      </c>
      <c r="K140" s="1" t="s">
        <v>16</v>
      </c>
    </row>
    <row r="141" spans="1:11" hidden="1">
      <c r="A141" s="5" t="s">
        <v>7</v>
      </c>
      <c r="B141" s="5">
        <f>C133</f>
        <v>143210</v>
      </c>
      <c r="C141" s="5">
        <v>143682</v>
      </c>
      <c r="D141" s="5">
        <f>C141-B141</f>
        <v>472</v>
      </c>
      <c r="E141" s="6"/>
      <c r="F141" s="6"/>
      <c r="G141" s="5" t="s">
        <v>17</v>
      </c>
      <c r="H141" s="5" t="s">
        <v>28</v>
      </c>
      <c r="I141" s="5">
        <v>30</v>
      </c>
      <c r="J141" s="5">
        <f>D141/I141</f>
        <v>15.733333333333333</v>
      </c>
      <c r="K141" s="6">
        <f>E143/D141</f>
        <v>0</v>
      </c>
    </row>
    <row r="142" spans="1:11" hidden="1">
      <c r="A142" s="5" t="s">
        <v>8</v>
      </c>
      <c r="B142" s="5">
        <v>142848</v>
      </c>
      <c r="C142" s="5">
        <v>143354</v>
      </c>
      <c r="D142" s="5">
        <f>C142-B142</f>
        <v>506</v>
      </c>
      <c r="E142" s="6">
        <f>5429.16*1.15</f>
        <v>6243.5339999999997</v>
      </c>
      <c r="F142" s="6">
        <f>845.92*1.15</f>
        <v>972.80799999999988</v>
      </c>
      <c r="G142" s="5" t="s">
        <v>17</v>
      </c>
      <c r="H142" s="5" t="s">
        <v>29</v>
      </c>
      <c r="I142" s="5">
        <v>30</v>
      </c>
      <c r="J142" s="5">
        <v>17</v>
      </c>
      <c r="K142" s="6">
        <f>E144/D142</f>
        <v>14.261545454545454</v>
      </c>
    </row>
    <row r="143" spans="1:11" hidden="1">
      <c r="A143" s="5" t="s">
        <v>9</v>
      </c>
      <c r="B143" s="5"/>
      <c r="C143" s="5"/>
      <c r="D143" s="5"/>
      <c r="E143" s="6">
        <f>E141</f>
        <v>0</v>
      </c>
      <c r="F143" s="6"/>
      <c r="G143" s="5"/>
      <c r="H143" s="5"/>
      <c r="I143" s="5"/>
      <c r="J143" s="5"/>
      <c r="K143" s="5"/>
    </row>
    <row r="144" spans="1:11" hidden="1">
      <c r="A144" s="5" t="s">
        <v>10</v>
      </c>
      <c r="B144" s="5"/>
      <c r="C144" s="5"/>
      <c r="D144" s="5"/>
      <c r="E144" s="6">
        <f>E142+F142</f>
        <v>7216.3419999999996</v>
      </c>
      <c r="F144" s="6"/>
      <c r="G144" s="5"/>
      <c r="H144" s="5"/>
      <c r="I144" s="5"/>
      <c r="J144" s="5"/>
      <c r="K144" s="5"/>
    </row>
    <row r="145" spans="1:11" hidden="1">
      <c r="A145" s="5" t="s">
        <v>11</v>
      </c>
      <c r="B145" s="5"/>
      <c r="C145" s="5"/>
      <c r="D145" s="5"/>
      <c r="E145" s="6">
        <f>E143-E144</f>
        <v>-7216.3419999999996</v>
      </c>
      <c r="F145" s="6"/>
      <c r="G145" s="5"/>
      <c r="H145" s="5"/>
      <c r="I145" s="5"/>
      <c r="J145" s="5"/>
      <c r="K145" s="5"/>
    </row>
    <row r="146" spans="1:11" hidden="1"/>
    <row r="147" spans="1:11" hidden="1">
      <c r="A147" s="4">
        <v>43647</v>
      </c>
    </row>
    <row r="148" spans="1:11" hidden="1">
      <c r="A148" s="1" t="s">
        <v>1</v>
      </c>
      <c r="B148" s="1" t="s">
        <v>2</v>
      </c>
      <c r="C148" s="1" t="s">
        <v>3</v>
      </c>
      <c r="D148" s="1" t="s">
        <v>4</v>
      </c>
      <c r="E148" s="1" t="s">
        <v>5</v>
      </c>
      <c r="F148" s="1" t="s">
        <v>6</v>
      </c>
      <c r="G148" s="1" t="s">
        <v>12</v>
      </c>
      <c r="H148" s="1" t="s">
        <v>13</v>
      </c>
      <c r="I148" s="1" t="s">
        <v>14</v>
      </c>
      <c r="J148" s="1" t="s">
        <v>15</v>
      </c>
      <c r="K148" s="1" t="s">
        <v>16</v>
      </c>
    </row>
    <row r="149" spans="1:11" hidden="1">
      <c r="A149" s="5" t="s">
        <v>7</v>
      </c>
      <c r="B149" s="5">
        <f>C141</f>
        <v>143682</v>
      </c>
      <c r="C149" s="5">
        <v>144078</v>
      </c>
      <c r="D149" s="5">
        <f>C149-B149</f>
        <v>396</v>
      </c>
      <c r="E149" s="6"/>
      <c r="F149" s="6"/>
      <c r="G149" s="5" t="s">
        <v>17</v>
      </c>
      <c r="H149" s="5" t="s">
        <v>30</v>
      </c>
      <c r="I149" s="5">
        <v>31</v>
      </c>
      <c r="J149" s="5">
        <f>D149/I149</f>
        <v>12.774193548387096</v>
      </c>
      <c r="K149" s="6">
        <f>E151/D149</f>
        <v>0</v>
      </c>
    </row>
    <row r="150" spans="1:11" hidden="1">
      <c r="A150" s="5" t="s">
        <v>8</v>
      </c>
      <c r="B150" s="5">
        <f>C142</f>
        <v>143354</v>
      </c>
      <c r="C150" s="5">
        <v>143771</v>
      </c>
      <c r="D150" s="5">
        <f>C150-B150</f>
        <v>417</v>
      </c>
      <c r="E150" s="6">
        <f>(2714.27+1491.64)*1.15</f>
        <v>4836.7964999999995</v>
      </c>
      <c r="F150" s="6">
        <f>845.92*1.15</f>
        <v>972.80799999999988</v>
      </c>
      <c r="G150" s="5" t="s">
        <v>17</v>
      </c>
      <c r="H150" s="5" t="s">
        <v>31</v>
      </c>
      <c r="I150" s="5">
        <v>30</v>
      </c>
      <c r="J150" s="5">
        <v>14</v>
      </c>
      <c r="K150" s="6">
        <f>E152/D150</f>
        <v>13.931905275779375</v>
      </c>
    </row>
    <row r="151" spans="1:11" hidden="1">
      <c r="A151" s="5" t="s">
        <v>9</v>
      </c>
      <c r="B151" s="5"/>
      <c r="C151" s="5"/>
      <c r="D151" s="5"/>
      <c r="E151" s="6">
        <f>E149</f>
        <v>0</v>
      </c>
      <c r="F151" s="6"/>
      <c r="G151" s="5"/>
      <c r="H151" s="5"/>
      <c r="I151" s="5"/>
      <c r="J151" s="5"/>
      <c r="K151" s="5"/>
    </row>
    <row r="152" spans="1:11" hidden="1">
      <c r="A152" s="5" t="s">
        <v>10</v>
      </c>
      <c r="B152" s="5"/>
      <c r="C152" s="5"/>
      <c r="D152" s="5"/>
      <c r="E152" s="6">
        <f>E150+F150</f>
        <v>5809.6044999999995</v>
      </c>
      <c r="F152" s="6"/>
      <c r="G152" s="5"/>
      <c r="H152" s="5"/>
      <c r="I152" s="5"/>
      <c r="J152" s="5"/>
      <c r="K152" s="5"/>
    </row>
    <row r="153" spans="1:11" hidden="1">
      <c r="A153" s="5" t="s">
        <v>11</v>
      </c>
      <c r="B153" s="5"/>
      <c r="C153" s="5"/>
      <c r="D153" s="5"/>
      <c r="E153" s="6">
        <f>E151-E152</f>
        <v>-5809.6044999999995</v>
      </c>
      <c r="F153" s="6"/>
      <c r="G153" s="5"/>
      <c r="H153" s="5"/>
      <c r="I153" s="5"/>
      <c r="J153" s="5"/>
      <c r="K153" s="5"/>
    </row>
    <row r="154" spans="1:11" hidden="1"/>
    <row r="155" spans="1:11" hidden="1">
      <c r="A155" s="4">
        <v>43678</v>
      </c>
    </row>
    <row r="156" spans="1:11" hidden="1">
      <c r="A156" s="1" t="s">
        <v>1</v>
      </c>
      <c r="B156" s="1" t="s">
        <v>2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12</v>
      </c>
      <c r="H156" s="1" t="s">
        <v>13</v>
      </c>
      <c r="I156" s="1" t="s">
        <v>14</v>
      </c>
      <c r="J156" s="1" t="s">
        <v>15</v>
      </c>
      <c r="K156" s="1" t="s">
        <v>16</v>
      </c>
    </row>
    <row r="157" spans="1:11" hidden="1">
      <c r="A157" s="5" t="s">
        <v>7</v>
      </c>
      <c r="B157" s="5">
        <f>C149</f>
        <v>144078</v>
      </c>
      <c r="C157" s="5">
        <v>144537</v>
      </c>
      <c r="D157" s="5">
        <f>C157-B157</f>
        <v>459</v>
      </c>
      <c r="E157" s="6"/>
      <c r="F157" s="6"/>
      <c r="G157" s="5" t="s">
        <v>17</v>
      </c>
      <c r="H157" s="5" t="s">
        <v>32</v>
      </c>
      <c r="I157" s="5">
        <v>31</v>
      </c>
      <c r="J157" s="5">
        <f>D157/I157</f>
        <v>14.806451612903226</v>
      </c>
      <c r="K157" s="6">
        <f>E159/D157</f>
        <v>0</v>
      </c>
    </row>
    <row r="158" spans="1:11" hidden="1">
      <c r="A158" s="5" t="s">
        <v>8</v>
      </c>
      <c r="B158" s="5">
        <f>C150</f>
        <v>143771</v>
      </c>
      <c r="C158" s="5">
        <v>144250</v>
      </c>
      <c r="D158" s="5">
        <f>C158-B158</f>
        <v>479</v>
      </c>
      <c r="E158" s="6">
        <f>5177.1*1.15</f>
        <v>5953.665</v>
      </c>
      <c r="F158" s="6">
        <f>845.92*1.15</f>
        <v>972.80799999999988</v>
      </c>
      <c r="G158" s="5" t="s">
        <v>17</v>
      </c>
      <c r="H158" s="5" t="s">
        <v>33</v>
      </c>
      <c r="I158" s="5">
        <v>34</v>
      </c>
      <c r="J158" s="5">
        <v>14</v>
      </c>
      <c r="K158" s="6">
        <f>E160/D158</f>
        <v>14.460277661795407</v>
      </c>
    </row>
    <row r="159" spans="1:11" hidden="1">
      <c r="A159" s="5" t="s">
        <v>9</v>
      </c>
      <c r="B159" s="5"/>
      <c r="C159" s="5"/>
      <c r="D159" s="5"/>
      <c r="E159" s="6">
        <f>E157</f>
        <v>0</v>
      </c>
      <c r="F159" s="6"/>
      <c r="G159" s="5"/>
      <c r="H159" s="5"/>
      <c r="I159" s="5"/>
      <c r="J159" s="5"/>
      <c r="K159" s="5"/>
    </row>
    <row r="160" spans="1:11" hidden="1">
      <c r="A160" s="5" t="s">
        <v>10</v>
      </c>
      <c r="B160" s="5"/>
      <c r="C160" s="5"/>
      <c r="D160" s="5"/>
      <c r="E160" s="6">
        <f>E158+F158</f>
        <v>6926.473</v>
      </c>
      <c r="F160" s="6"/>
      <c r="G160" s="5"/>
      <c r="H160" s="5"/>
      <c r="I160" s="5"/>
      <c r="J160" s="5"/>
      <c r="K160" s="5"/>
    </row>
    <row r="161" spans="1:11" hidden="1">
      <c r="A161" s="5" t="s">
        <v>11</v>
      </c>
      <c r="B161" s="5"/>
      <c r="C161" s="5"/>
      <c r="D161" s="5"/>
      <c r="E161" s="6">
        <f>E159-E160</f>
        <v>-6926.473</v>
      </c>
      <c r="F161" s="6"/>
      <c r="G161" s="5"/>
      <c r="H161" s="5"/>
      <c r="I161" s="5"/>
      <c r="J161" s="5"/>
      <c r="K161" s="5"/>
    </row>
    <row r="162" spans="1:11" hidden="1"/>
    <row r="163" spans="1:11" hidden="1">
      <c r="A163" s="4">
        <v>43709</v>
      </c>
    </row>
    <row r="164" spans="1:11" hidden="1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12</v>
      </c>
      <c r="H164" s="1" t="s">
        <v>13</v>
      </c>
      <c r="I164" s="1" t="s">
        <v>14</v>
      </c>
      <c r="J164" s="1" t="s">
        <v>15</v>
      </c>
      <c r="K164" s="1" t="s">
        <v>16</v>
      </c>
    </row>
    <row r="165" spans="1:11" hidden="1">
      <c r="A165" s="5" t="s">
        <v>7</v>
      </c>
      <c r="B165" s="5">
        <f>C157</f>
        <v>144537</v>
      </c>
      <c r="C165" s="5">
        <v>144978</v>
      </c>
      <c r="D165" s="5">
        <f>C165-B165</f>
        <v>441</v>
      </c>
      <c r="E165" s="6"/>
      <c r="F165" s="6"/>
      <c r="G165" s="5" t="s">
        <v>17</v>
      </c>
      <c r="H165" s="5" t="s">
        <v>34</v>
      </c>
      <c r="I165" s="5">
        <v>31</v>
      </c>
      <c r="J165" s="5">
        <f>D165/I165</f>
        <v>14.225806451612904</v>
      </c>
      <c r="K165" s="6">
        <f>E167/D165</f>
        <v>0</v>
      </c>
    </row>
    <row r="166" spans="1:11" hidden="1">
      <c r="A166" s="5" t="s">
        <v>8</v>
      </c>
      <c r="B166" s="5">
        <f>C158</f>
        <v>144250</v>
      </c>
      <c r="C166" s="5">
        <v>144607</v>
      </c>
      <c r="D166" s="5">
        <f>C166-B166</f>
        <v>357</v>
      </c>
      <c r="E166" s="6">
        <f>4045.84*1.15</f>
        <v>4652.7159999999994</v>
      </c>
      <c r="F166" s="6">
        <f>845.92*1.15</f>
        <v>972.80799999999988</v>
      </c>
      <c r="G166" s="5" t="s">
        <v>17</v>
      </c>
      <c r="H166" s="5" t="s">
        <v>35</v>
      </c>
      <c r="I166" s="5">
        <v>23</v>
      </c>
      <c r="J166" s="5">
        <v>16</v>
      </c>
      <c r="K166" s="6">
        <f>E168/D166</f>
        <v>15.757770308123249</v>
      </c>
    </row>
    <row r="167" spans="1:11" hidden="1">
      <c r="A167" s="5" t="s">
        <v>9</v>
      </c>
      <c r="B167" s="5"/>
      <c r="C167" s="5"/>
      <c r="D167" s="5"/>
      <c r="E167" s="6">
        <f>E165</f>
        <v>0</v>
      </c>
      <c r="F167" s="6"/>
      <c r="G167" s="5"/>
      <c r="H167" s="5"/>
      <c r="I167" s="5"/>
      <c r="J167" s="5"/>
      <c r="K167" s="5"/>
    </row>
    <row r="168" spans="1:11" hidden="1">
      <c r="A168" s="5" t="s">
        <v>10</v>
      </c>
      <c r="B168" s="5"/>
      <c r="C168" s="5"/>
      <c r="D168" s="5"/>
      <c r="E168" s="6">
        <f>E166+F166</f>
        <v>5625.5239999999994</v>
      </c>
      <c r="F168" s="6"/>
      <c r="G168" s="5"/>
      <c r="H168" s="5"/>
      <c r="I168" s="5"/>
      <c r="J168" s="5"/>
      <c r="K168" s="5"/>
    </row>
    <row r="169" spans="1:11" hidden="1">
      <c r="A169" s="5" t="s">
        <v>11</v>
      </c>
      <c r="B169" s="5"/>
      <c r="C169" s="5"/>
      <c r="D169" s="5"/>
      <c r="E169" s="6">
        <f>E167-E168</f>
        <v>-5625.5239999999994</v>
      </c>
      <c r="F169" s="6"/>
      <c r="G169" s="5"/>
      <c r="H169" s="5"/>
      <c r="I169" s="5"/>
      <c r="J169" s="5"/>
      <c r="K169" s="5"/>
    </row>
    <row r="170" spans="1:11" hidden="1"/>
    <row r="171" spans="1:11" hidden="1">
      <c r="A171" s="4">
        <v>43739</v>
      </c>
    </row>
    <row r="172" spans="1:11" hidden="1">
      <c r="A172" s="1" t="s">
        <v>1</v>
      </c>
      <c r="B172" s="1" t="s">
        <v>2</v>
      </c>
      <c r="C172" s="1" t="s">
        <v>3</v>
      </c>
      <c r="D172" s="1" t="s">
        <v>4</v>
      </c>
      <c r="E172" s="1" t="s">
        <v>5</v>
      </c>
      <c r="F172" s="1" t="s">
        <v>6</v>
      </c>
      <c r="G172" s="1" t="s">
        <v>12</v>
      </c>
      <c r="H172" s="1" t="s">
        <v>13</v>
      </c>
      <c r="I172" s="1" t="s">
        <v>14</v>
      </c>
      <c r="J172" s="1" t="s">
        <v>15</v>
      </c>
      <c r="K172" s="1" t="s">
        <v>16</v>
      </c>
    </row>
    <row r="173" spans="1:11" hidden="1">
      <c r="A173" s="5" t="s">
        <v>7</v>
      </c>
      <c r="B173" s="5">
        <f>C165</f>
        <v>144978</v>
      </c>
      <c r="C173" s="5">
        <v>145419</v>
      </c>
      <c r="D173" s="5">
        <f>C173-B173</f>
        <v>441</v>
      </c>
      <c r="E173" s="6"/>
      <c r="F173" s="6"/>
      <c r="G173" s="5" t="s">
        <v>17</v>
      </c>
      <c r="H173" s="5" t="s">
        <v>36</v>
      </c>
      <c r="I173" s="5">
        <v>31</v>
      </c>
      <c r="J173" s="5">
        <f>D173/I173</f>
        <v>14.225806451612904</v>
      </c>
      <c r="K173" s="6">
        <f>E175/D173</f>
        <v>0</v>
      </c>
    </row>
    <row r="174" spans="1:11" hidden="1">
      <c r="A174" s="5" t="s">
        <v>8</v>
      </c>
      <c r="B174" s="5">
        <f>C166</f>
        <v>144607</v>
      </c>
      <c r="C174" s="5">
        <v>145036</v>
      </c>
      <c r="D174" s="5">
        <f>C174-B174</f>
        <v>429</v>
      </c>
      <c r="E174" s="6">
        <f>4672.79*1.15</f>
        <v>5373.7084999999997</v>
      </c>
      <c r="F174" s="6">
        <f>845.92*1.15</f>
        <v>972.80799999999988</v>
      </c>
      <c r="G174" s="5" t="s">
        <v>17</v>
      </c>
      <c r="H174" s="5" t="s">
        <v>37</v>
      </c>
      <c r="I174" s="5">
        <v>30</v>
      </c>
      <c r="J174" s="5">
        <v>14</v>
      </c>
      <c r="K174" s="6">
        <f>E176/D174</f>
        <v>14.793744755244754</v>
      </c>
    </row>
    <row r="175" spans="1:11" hidden="1">
      <c r="A175" s="5" t="s">
        <v>9</v>
      </c>
      <c r="B175" s="5"/>
      <c r="C175" s="5"/>
      <c r="D175" s="5"/>
      <c r="E175" s="6">
        <f>E173</f>
        <v>0</v>
      </c>
      <c r="F175" s="6"/>
      <c r="G175" s="5"/>
      <c r="H175" s="5"/>
      <c r="I175" s="5"/>
      <c r="J175" s="5"/>
      <c r="K175" s="5"/>
    </row>
    <row r="176" spans="1:11" hidden="1">
      <c r="A176" s="5" t="s">
        <v>10</v>
      </c>
      <c r="B176" s="5"/>
      <c r="C176" s="5"/>
      <c r="D176" s="5"/>
      <c r="E176" s="6">
        <f>E174+F174</f>
        <v>6346.5164999999997</v>
      </c>
      <c r="F176" s="6"/>
      <c r="G176" s="5"/>
      <c r="H176" s="5"/>
      <c r="I176" s="5"/>
      <c r="J176" s="5"/>
      <c r="K176" s="5"/>
    </row>
    <row r="177" spans="1:11" hidden="1">
      <c r="A177" s="5" t="s">
        <v>11</v>
      </c>
      <c r="B177" s="5"/>
      <c r="C177" s="5"/>
      <c r="D177" s="5"/>
      <c r="E177" s="6">
        <f>E175-E176</f>
        <v>-6346.5164999999997</v>
      </c>
      <c r="F177" s="6"/>
      <c r="G177" s="5"/>
      <c r="H177" s="5"/>
      <c r="I177" s="5"/>
      <c r="J177" s="5"/>
      <c r="K177" s="5"/>
    </row>
    <row r="178" spans="1:11" hidden="1"/>
    <row r="179" spans="1:11" hidden="1">
      <c r="A179" s="4">
        <v>43770</v>
      </c>
    </row>
    <row r="180" spans="1:11" hidden="1">
      <c r="A180" s="1" t="s">
        <v>1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12</v>
      </c>
      <c r="H180" s="1" t="s">
        <v>13</v>
      </c>
      <c r="I180" s="1" t="s">
        <v>14</v>
      </c>
      <c r="J180" s="1" t="s">
        <v>15</v>
      </c>
      <c r="K180" s="1" t="s">
        <v>16</v>
      </c>
    </row>
    <row r="181" spans="1:11" hidden="1">
      <c r="A181" s="5" t="s">
        <v>7</v>
      </c>
      <c r="B181" s="5">
        <f>C173</f>
        <v>145419</v>
      </c>
      <c r="C181" s="5">
        <v>145828</v>
      </c>
      <c r="D181" s="5">
        <f>C181-B181</f>
        <v>409</v>
      </c>
      <c r="E181" s="6"/>
      <c r="F181" s="6"/>
      <c r="G181" s="5" t="s">
        <v>17</v>
      </c>
      <c r="H181" s="5" t="s">
        <v>38</v>
      </c>
      <c r="I181" s="5">
        <v>31</v>
      </c>
      <c r="J181" s="5">
        <f>D181/I181</f>
        <v>13.193548387096774</v>
      </c>
      <c r="K181" s="6">
        <f>E183/D181</f>
        <v>0</v>
      </c>
    </row>
    <row r="182" spans="1:11" hidden="1">
      <c r="A182" s="5" t="s">
        <v>8</v>
      </c>
      <c r="B182" s="5">
        <f>C174</f>
        <v>145036</v>
      </c>
      <c r="C182" s="5">
        <v>145497</v>
      </c>
      <c r="D182" s="5">
        <f>C182-B182</f>
        <v>461</v>
      </c>
      <c r="E182" s="6">
        <f>5040.38*1.15</f>
        <v>5796.4369999999999</v>
      </c>
      <c r="F182" s="6">
        <f>845.92*1.15</f>
        <v>972.80799999999988</v>
      </c>
      <c r="G182" s="5" t="s">
        <v>17</v>
      </c>
      <c r="H182" s="5" t="s">
        <v>37</v>
      </c>
      <c r="I182" s="5">
        <v>30</v>
      </c>
      <c r="J182" s="5">
        <v>14</v>
      </c>
      <c r="K182" s="6">
        <f>E184/D182</f>
        <v>14.683828633405639</v>
      </c>
    </row>
    <row r="183" spans="1:11" hidden="1">
      <c r="A183" s="5" t="s">
        <v>9</v>
      </c>
      <c r="B183" s="5"/>
      <c r="C183" s="5"/>
      <c r="D183" s="5"/>
      <c r="E183" s="6">
        <f>E181</f>
        <v>0</v>
      </c>
      <c r="F183" s="6"/>
      <c r="G183" s="5"/>
      <c r="H183" s="5"/>
      <c r="I183" s="5"/>
      <c r="J183" s="5"/>
      <c r="K183" s="5"/>
    </row>
    <row r="184" spans="1:11" hidden="1">
      <c r="A184" s="5" t="s">
        <v>10</v>
      </c>
      <c r="B184" s="5"/>
      <c r="C184" s="5"/>
      <c r="D184" s="5"/>
      <c r="E184" s="6">
        <f>E182+F182</f>
        <v>6769.2449999999999</v>
      </c>
      <c r="F184" s="6"/>
      <c r="G184" s="5"/>
      <c r="H184" s="5"/>
      <c r="I184" s="5"/>
      <c r="J184" s="5"/>
      <c r="K184" s="5"/>
    </row>
    <row r="185" spans="1:11" hidden="1">
      <c r="A185" s="5" t="s">
        <v>11</v>
      </c>
      <c r="B185" s="5"/>
      <c r="C185" s="5"/>
      <c r="D185" s="5"/>
      <c r="E185" s="6">
        <f>E183-E184</f>
        <v>-6769.2449999999999</v>
      </c>
      <c r="F185" s="6"/>
      <c r="G185" s="5"/>
      <c r="H185" s="5"/>
      <c r="I185" s="5"/>
      <c r="J185" s="5"/>
      <c r="K185" s="5"/>
    </row>
    <row r="186" spans="1:11" hidden="1"/>
    <row r="187" spans="1:11" hidden="1">
      <c r="A187" s="4">
        <v>43800</v>
      </c>
    </row>
    <row r="188" spans="1:11" hidden="1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6</v>
      </c>
      <c r="G188" s="1" t="s">
        <v>12</v>
      </c>
      <c r="H188" s="1" t="s">
        <v>13</v>
      </c>
      <c r="I188" s="1" t="s">
        <v>14</v>
      </c>
      <c r="J188" s="1" t="s">
        <v>15</v>
      </c>
      <c r="K188" s="1" t="s">
        <v>16</v>
      </c>
    </row>
    <row r="189" spans="1:11" hidden="1">
      <c r="A189" s="5" t="s">
        <v>7</v>
      </c>
      <c r="B189" s="5">
        <f>C181</f>
        <v>145828</v>
      </c>
      <c r="C189" s="5">
        <v>146212</v>
      </c>
      <c r="D189" s="5">
        <f>C189-B189</f>
        <v>384</v>
      </c>
      <c r="E189" s="6"/>
      <c r="F189" s="6"/>
      <c r="G189" s="5" t="s">
        <v>17</v>
      </c>
      <c r="H189" s="5" t="s">
        <v>39</v>
      </c>
      <c r="I189" s="5">
        <v>35</v>
      </c>
      <c r="J189" s="5">
        <f>D189/I189</f>
        <v>10.971428571428572</v>
      </c>
      <c r="K189" s="6">
        <f>E191/D189</f>
        <v>0</v>
      </c>
    </row>
    <row r="190" spans="1:11" hidden="1">
      <c r="A190" s="5" t="s">
        <v>8</v>
      </c>
      <c r="B190" s="5">
        <f>C182</f>
        <v>145497</v>
      </c>
      <c r="C190" s="5">
        <v>145887</v>
      </c>
      <c r="D190" s="5">
        <f>C190-B190</f>
        <v>390</v>
      </c>
      <c r="E190" s="6">
        <f>3949.64*1.15</f>
        <v>4542.0859999999993</v>
      </c>
      <c r="F190" s="6">
        <f>845.92*1.15</f>
        <v>972.80799999999988</v>
      </c>
      <c r="G190" s="5" t="s">
        <v>17</v>
      </c>
      <c r="H190" s="5" t="s">
        <v>40</v>
      </c>
      <c r="I190" s="5">
        <v>31</v>
      </c>
      <c r="J190" s="5">
        <v>14</v>
      </c>
      <c r="K190" s="6">
        <f>E192/D190</f>
        <v>14.140753846153844</v>
      </c>
    </row>
    <row r="191" spans="1:11" hidden="1">
      <c r="A191" s="5" t="s">
        <v>9</v>
      </c>
      <c r="B191" s="5"/>
      <c r="C191" s="5"/>
      <c r="D191" s="5"/>
      <c r="E191" s="6">
        <f>E189</f>
        <v>0</v>
      </c>
      <c r="F191" s="6"/>
      <c r="G191" s="5"/>
      <c r="H191" s="5"/>
      <c r="I191" s="5"/>
      <c r="J191" s="5"/>
      <c r="K191" s="5"/>
    </row>
    <row r="192" spans="1:11" hidden="1">
      <c r="A192" s="5" t="s">
        <v>10</v>
      </c>
      <c r="B192" s="5"/>
      <c r="C192" s="5"/>
      <c r="D192" s="5"/>
      <c r="E192" s="6">
        <f>E190+F190</f>
        <v>5514.8939999999993</v>
      </c>
      <c r="F192" s="6"/>
      <c r="G192" s="5"/>
      <c r="H192" s="5"/>
      <c r="I192" s="5"/>
      <c r="J192" s="5"/>
      <c r="K192" s="5"/>
    </row>
    <row r="193" spans="1:11" hidden="1">
      <c r="A193" s="5" t="s">
        <v>11</v>
      </c>
      <c r="B193" s="5"/>
      <c r="C193" s="5"/>
      <c r="D193" s="5"/>
      <c r="E193" s="6">
        <f>E191-E192</f>
        <v>-5514.8939999999993</v>
      </c>
      <c r="F193" s="6"/>
      <c r="G193" s="5"/>
      <c r="H193" s="5"/>
      <c r="I193" s="5"/>
      <c r="J193" s="5"/>
      <c r="K193" s="5"/>
    </row>
    <row r="195" spans="1:11">
      <c r="A195" s="13">
        <v>43831</v>
      </c>
    </row>
    <row r="196" spans="1:11" hidden="1">
      <c r="A196" s="1" t="s">
        <v>1</v>
      </c>
      <c r="B196" s="1" t="s">
        <v>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12</v>
      </c>
      <c r="H196" s="1" t="s">
        <v>13</v>
      </c>
      <c r="I196" s="1" t="s">
        <v>14</v>
      </c>
      <c r="J196" s="1" t="s">
        <v>15</v>
      </c>
      <c r="K196" s="1" t="s">
        <v>16</v>
      </c>
    </row>
    <row r="197" spans="1:11" hidden="1">
      <c r="A197" s="5" t="s">
        <v>7</v>
      </c>
      <c r="B197" s="5">
        <f>C189</f>
        <v>146212</v>
      </c>
      <c r="C197" s="5">
        <v>146557</v>
      </c>
      <c r="D197" s="5">
        <f>C197-B197</f>
        <v>345</v>
      </c>
      <c r="E197" s="6"/>
      <c r="F197" s="6"/>
      <c r="G197" s="5" t="s">
        <v>17</v>
      </c>
      <c r="H197" s="5" t="s">
        <v>41</v>
      </c>
      <c r="I197" s="5">
        <v>27</v>
      </c>
      <c r="J197" s="5">
        <f>D197/I197</f>
        <v>12.777777777777779</v>
      </c>
      <c r="K197" s="6">
        <f>E199/D197</f>
        <v>0</v>
      </c>
    </row>
    <row r="198" spans="1:11" hidden="1">
      <c r="A198" s="5" t="s">
        <v>8</v>
      </c>
      <c r="B198" s="5">
        <f>C190</f>
        <v>145887</v>
      </c>
      <c r="C198" s="5">
        <v>146251</v>
      </c>
      <c r="D198" s="5">
        <f>C198-B198</f>
        <v>364</v>
      </c>
      <c r="E198" s="6">
        <f>3440.85*1.15</f>
        <v>3956.9774999999995</v>
      </c>
      <c r="F198" s="6">
        <f>845.92*1.15</f>
        <v>972.80799999999988</v>
      </c>
      <c r="G198" s="5" t="s">
        <v>17</v>
      </c>
      <c r="H198" s="5" t="s">
        <v>42</v>
      </c>
      <c r="I198" s="5">
        <v>32</v>
      </c>
      <c r="J198" s="5">
        <f>D198/I198</f>
        <v>11.375</v>
      </c>
      <c r="K198" s="6">
        <f>E200/D198</f>
        <v>13.543366758241756</v>
      </c>
    </row>
    <row r="199" spans="1:11" hidden="1">
      <c r="A199" s="5" t="s">
        <v>9</v>
      </c>
      <c r="B199" s="5"/>
      <c r="C199" s="5"/>
      <c r="D199" s="5"/>
      <c r="E199" s="6">
        <f>E197</f>
        <v>0</v>
      </c>
      <c r="F199" s="6"/>
      <c r="G199" s="5"/>
      <c r="H199" s="5"/>
      <c r="I199" s="5"/>
      <c r="J199" s="5"/>
      <c r="K199" s="5"/>
    </row>
    <row r="200" spans="1:11" hidden="1">
      <c r="A200" s="5" t="s">
        <v>10</v>
      </c>
      <c r="B200" s="5"/>
      <c r="C200" s="5"/>
      <c r="D200" s="5"/>
      <c r="E200" s="6">
        <f>E198+F198</f>
        <v>4929.785499999999</v>
      </c>
      <c r="F200" s="6"/>
      <c r="G200" s="5"/>
      <c r="H200" s="5"/>
      <c r="I200" s="5"/>
      <c r="J200" s="5"/>
      <c r="K200" s="5"/>
    </row>
    <row r="201" spans="1:11" hidden="1">
      <c r="A201" s="5" t="s">
        <v>11</v>
      </c>
      <c r="B201" s="5"/>
      <c r="C201" s="5"/>
      <c r="D201" s="5"/>
      <c r="E201" s="6">
        <f>E199-E200</f>
        <v>-4929.785499999999</v>
      </c>
      <c r="F201" s="6"/>
      <c r="G201" s="5"/>
      <c r="H201" s="5"/>
      <c r="I201" s="5"/>
      <c r="J201" s="5"/>
      <c r="K201" s="5"/>
    </row>
    <row r="202" spans="1:11" hidden="1"/>
    <row r="203" spans="1:11" hidden="1">
      <c r="A203" s="13">
        <v>43862</v>
      </c>
    </row>
    <row r="204" spans="1:11" hidden="1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12</v>
      </c>
      <c r="H204" s="1" t="s">
        <v>13</v>
      </c>
      <c r="I204" s="1" t="s">
        <v>14</v>
      </c>
      <c r="J204" s="1" t="s">
        <v>15</v>
      </c>
      <c r="K204" s="1" t="s">
        <v>16</v>
      </c>
    </row>
    <row r="205" spans="1:11" hidden="1">
      <c r="A205" s="5" t="s">
        <v>7</v>
      </c>
      <c r="B205" s="5">
        <f>C197</f>
        <v>146557</v>
      </c>
      <c r="C205" s="5">
        <v>146968</v>
      </c>
      <c r="D205" s="5">
        <f>C205-B205</f>
        <v>411</v>
      </c>
      <c r="E205" s="6"/>
      <c r="F205" s="6"/>
      <c r="G205" s="5" t="s">
        <v>17</v>
      </c>
      <c r="H205" s="5" t="s">
        <v>43</v>
      </c>
      <c r="I205" s="5">
        <v>29</v>
      </c>
      <c r="J205" s="5">
        <f>D205/I205</f>
        <v>14.172413793103448</v>
      </c>
      <c r="K205" s="6">
        <f>E207/D205</f>
        <v>0</v>
      </c>
    </row>
    <row r="206" spans="1:11" hidden="1">
      <c r="A206" s="5" t="s">
        <v>8</v>
      </c>
      <c r="B206" s="5">
        <f>C198</f>
        <v>146251</v>
      </c>
      <c r="C206" s="5">
        <v>146697</v>
      </c>
      <c r="D206" s="5">
        <f>C206-B206</f>
        <v>446</v>
      </c>
      <c r="E206" s="6">
        <f>4712.98*1.15</f>
        <v>5419.9269999999988</v>
      </c>
      <c r="F206" s="6">
        <f>845.92*1.15</f>
        <v>972.80799999999988</v>
      </c>
      <c r="G206" s="5" t="s">
        <v>17</v>
      </c>
      <c r="H206" s="5" t="s">
        <v>44</v>
      </c>
      <c r="I206" s="5">
        <v>33</v>
      </c>
      <c r="J206" s="5">
        <f>D206/I206</f>
        <v>13.515151515151516</v>
      </c>
      <c r="K206" s="6">
        <f>E208/D206</f>
        <v>14.333486547085199</v>
      </c>
    </row>
    <row r="207" spans="1:11" hidden="1">
      <c r="A207" s="5" t="s">
        <v>9</v>
      </c>
      <c r="B207" s="5"/>
      <c r="C207" s="5"/>
      <c r="D207" s="5"/>
      <c r="E207" s="6">
        <f>E205</f>
        <v>0</v>
      </c>
      <c r="F207" s="6"/>
      <c r="G207" s="5"/>
      <c r="H207" s="5"/>
      <c r="I207" s="5"/>
      <c r="J207" s="5"/>
      <c r="K207" s="5"/>
    </row>
    <row r="208" spans="1:11" hidden="1">
      <c r="A208" s="5" t="s">
        <v>10</v>
      </c>
      <c r="B208" s="5"/>
      <c r="C208" s="5"/>
      <c r="D208" s="5"/>
      <c r="E208" s="6">
        <f>E206+F206</f>
        <v>6392.7349999999988</v>
      </c>
      <c r="F208" s="6"/>
      <c r="G208" s="5"/>
      <c r="H208" s="5"/>
      <c r="I208" s="5"/>
      <c r="J208" s="5"/>
      <c r="K208" s="5"/>
    </row>
    <row r="209" spans="1:11" hidden="1">
      <c r="A209" s="5" t="s">
        <v>11</v>
      </c>
      <c r="B209" s="5"/>
      <c r="C209" s="5"/>
      <c r="D209" s="5"/>
      <c r="E209" s="6">
        <f>E207-E208</f>
        <v>-6392.7349999999988</v>
      </c>
      <c r="F209" s="6"/>
      <c r="G209" s="5"/>
      <c r="H209" s="5"/>
      <c r="I209" s="5"/>
      <c r="J209" s="5"/>
      <c r="K209" s="5"/>
    </row>
    <row r="210" spans="1:11" hidden="1"/>
    <row r="211" spans="1:11" hidden="1">
      <c r="A211" s="13">
        <v>43891</v>
      </c>
    </row>
    <row r="212" spans="1:11" hidden="1">
      <c r="A212" s="1" t="s">
        <v>1</v>
      </c>
      <c r="B212" s="1" t="s">
        <v>2</v>
      </c>
      <c r="C212" s="1" t="s">
        <v>3</v>
      </c>
      <c r="D212" s="1" t="s">
        <v>4</v>
      </c>
      <c r="E212" s="1" t="s">
        <v>5</v>
      </c>
      <c r="F212" s="1" t="s">
        <v>6</v>
      </c>
      <c r="G212" s="1" t="s">
        <v>12</v>
      </c>
      <c r="H212" s="1" t="s">
        <v>13</v>
      </c>
      <c r="I212" s="1" t="s">
        <v>14</v>
      </c>
      <c r="J212" s="1" t="s">
        <v>15</v>
      </c>
      <c r="K212" s="1" t="s">
        <v>16</v>
      </c>
    </row>
    <row r="213" spans="1:11" hidden="1">
      <c r="A213" s="5" t="s">
        <v>7</v>
      </c>
      <c r="B213" s="5">
        <f>C205</f>
        <v>146968</v>
      </c>
      <c r="C213" s="5">
        <v>147356</v>
      </c>
      <c r="D213" s="5">
        <f>C213-B213</f>
        <v>388</v>
      </c>
      <c r="E213" s="6"/>
      <c r="F213" s="6"/>
      <c r="G213" s="5" t="s">
        <v>17</v>
      </c>
      <c r="H213" s="5" t="s">
        <v>45</v>
      </c>
      <c r="I213" s="5">
        <v>25</v>
      </c>
      <c r="J213" s="5">
        <f>D213/I213</f>
        <v>15.52</v>
      </c>
      <c r="K213" s="6">
        <f>E215/D213</f>
        <v>0</v>
      </c>
    </row>
    <row r="214" spans="1:11" hidden="1">
      <c r="A214" s="5" t="s">
        <v>8</v>
      </c>
      <c r="B214" s="5">
        <f>C206</f>
        <v>146697</v>
      </c>
      <c r="C214" s="5">
        <v>147060</v>
      </c>
      <c r="D214" s="5">
        <f>C214-B214</f>
        <v>363</v>
      </c>
      <c r="E214" s="6">
        <f>3824.59*1.15</f>
        <v>4398.2784999999994</v>
      </c>
      <c r="F214" s="6">
        <f>845.92*1.15</f>
        <v>972.80799999999988</v>
      </c>
      <c r="G214" s="5" t="s">
        <v>17</v>
      </c>
      <c r="H214" s="5" t="s">
        <v>46</v>
      </c>
      <c r="I214" s="5">
        <v>27</v>
      </c>
      <c r="J214" s="5">
        <f>D214/I214</f>
        <v>13.444444444444445</v>
      </c>
      <c r="K214" s="6">
        <f>E216/D214</f>
        <v>14.796381542699724</v>
      </c>
    </row>
    <row r="215" spans="1:11" hidden="1">
      <c r="A215" s="5" t="s">
        <v>9</v>
      </c>
      <c r="B215" s="5"/>
      <c r="C215" s="5"/>
      <c r="D215" s="5"/>
      <c r="E215" s="6">
        <f>E213</f>
        <v>0</v>
      </c>
      <c r="F215" s="6"/>
      <c r="G215" s="5"/>
      <c r="H215" s="5"/>
      <c r="I215" s="5"/>
      <c r="J215" s="5"/>
      <c r="K215" s="5"/>
    </row>
    <row r="216" spans="1:11" hidden="1">
      <c r="A216" s="5" t="s">
        <v>10</v>
      </c>
      <c r="B216" s="5"/>
      <c r="C216" s="5"/>
      <c r="D216" s="5"/>
      <c r="E216" s="6">
        <f>E214+F214</f>
        <v>5371.0864999999994</v>
      </c>
      <c r="F216" s="6"/>
      <c r="G216" s="5"/>
      <c r="H216" s="5"/>
      <c r="I216" s="5"/>
      <c r="J216" s="5"/>
      <c r="K216" s="5"/>
    </row>
    <row r="217" spans="1:11" hidden="1">
      <c r="A217" s="5" t="s">
        <v>11</v>
      </c>
      <c r="B217" s="5"/>
      <c r="C217" s="5"/>
      <c r="D217" s="5"/>
      <c r="E217" s="6">
        <f>E215-E216</f>
        <v>-5371.0864999999994</v>
      </c>
      <c r="F217" s="6"/>
      <c r="G217" s="5"/>
      <c r="H217" s="5"/>
      <c r="I217" s="5"/>
      <c r="J217" s="5"/>
      <c r="K217" s="5"/>
    </row>
    <row r="218" spans="1:11" hidden="1"/>
    <row r="219" spans="1:11" hidden="1">
      <c r="A219" s="13">
        <v>43922</v>
      </c>
    </row>
    <row r="220" spans="1:11" hidden="1">
      <c r="A220" s="1" t="s">
        <v>1</v>
      </c>
      <c r="B220" s="1" t="s">
        <v>2</v>
      </c>
      <c r="C220" s="1" t="s">
        <v>3</v>
      </c>
      <c r="D220" s="1" t="s">
        <v>4</v>
      </c>
      <c r="E220" s="1" t="s">
        <v>5</v>
      </c>
      <c r="F220" s="1" t="s">
        <v>6</v>
      </c>
      <c r="G220" s="1" t="s">
        <v>12</v>
      </c>
      <c r="H220" s="1" t="s">
        <v>13</v>
      </c>
      <c r="I220" s="1" t="s">
        <v>14</v>
      </c>
      <c r="J220" s="1" t="s">
        <v>15</v>
      </c>
      <c r="K220" s="1" t="s">
        <v>16</v>
      </c>
    </row>
    <row r="221" spans="1:11" hidden="1">
      <c r="A221" s="5" t="s">
        <v>7</v>
      </c>
      <c r="B221" s="5">
        <f>C213</f>
        <v>147356</v>
      </c>
      <c r="C221" s="5">
        <v>147690</v>
      </c>
      <c r="D221" s="5">
        <f>C221-B221</f>
        <v>334</v>
      </c>
      <c r="E221" s="6"/>
      <c r="F221" s="6"/>
      <c r="G221" s="5" t="s">
        <v>17</v>
      </c>
      <c r="H221" s="5" t="s">
        <v>47</v>
      </c>
      <c r="I221" s="5">
        <v>34</v>
      </c>
      <c r="J221" s="5">
        <f>D221/I221</f>
        <v>9.8235294117647065</v>
      </c>
      <c r="K221" s="6">
        <f>E223/D221</f>
        <v>0</v>
      </c>
    </row>
    <row r="222" spans="1:11" hidden="1">
      <c r="A222" s="5" t="s">
        <v>8</v>
      </c>
      <c r="B222" s="5">
        <f>C214</f>
        <v>147060</v>
      </c>
      <c r="C222" s="5">
        <v>148119</v>
      </c>
      <c r="D222" s="5">
        <f>C222-B222</f>
        <v>1059</v>
      </c>
      <c r="E222" s="6">
        <f>13289.91*1.15</f>
        <v>15283.396499999999</v>
      </c>
      <c r="F222" s="6">
        <f>845.92*1.15</f>
        <v>972.80799999999988</v>
      </c>
      <c r="G222" s="5" t="s">
        <v>12</v>
      </c>
      <c r="H222" s="5" t="s">
        <v>48</v>
      </c>
      <c r="I222" s="5">
        <v>59</v>
      </c>
      <c r="J222" s="5">
        <f>D222/I222</f>
        <v>17.949152542372882</v>
      </c>
      <c r="K222" s="6">
        <f>E224/D222</f>
        <v>15.35052360717658</v>
      </c>
    </row>
    <row r="223" spans="1:11" hidden="1">
      <c r="A223" s="5" t="s">
        <v>9</v>
      </c>
      <c r="B223" s="5"/>
      <c r="C223" s="5"/>
      <c r="D223" s="5"/>
      <c r="E223" s="6">
        <f>E221</f>
        <v>0</v>
      </c>
      <c r="F223" s="6"/>
      <c r="G223" s="5"/>
      <c r="H223" s="5"/>
      <c r="I223" s="5"/>
      <c r="J223" s="5"/>
      <c r="K223" s="5"/>
    </row>
    <row r="224" spans="1:11" hidden="1">
      <c r="A224" s="5" t="s">
        <v>10</v>
      </c>
      <c r="B224" s="5"/>
      <c r="C224" s="5"/>
      <c r="D224" s="5"/>
      <c r="E224" s="6">
        <f>E222+F222</f>
        <v>16256.204499999998</v>
      </c>
      <c r="F224" s="6"/>
      <c r="G224" s="5"/>
      <c r="H224" s="5"/>
      <c r="I224" s="5"/>
      <c r="J224" s="5"/>
      <c r="K224" s="5"/>
    </row>
    <row r="225" spans="1:11" hidden="1">
      <c r="A225" s="5" t="s">
        <v>11</v>
      </c>
      <c r="B225" s="5"/>
      <c r="C225" s="5"/>
      <c r="D225" s="5"/>
      <c r="E225" s="6">
        <f>E223-E224</f>
        <v>-16256.204499999998</v>
      </c>
      <c r="F225" s="6"/>
      <c r="G225" s="5"/>
      <c r="H225" s="5"/>
      <c r="I225" s="5"/>
      <c r="J225" s="5"/>
      <c r="K225" s="5"/>
    </row>
    <row r="226" spans="1:11" hidden="1"/>
    <row r="227" spans="1:11" hidden="1">
      <c r="A227" s="13">
        <v>43952</v>
      </c>
    </row>
    <row r="228" spans="1:11" hidden="1">
      <c r="A228" s="1" t="s">
        <v>1</v>
      </c>
      <c r="B228" s="1" t="s">
        <v>2</v>
      </c>
      <c r="C228" s="1" t="s">
        <v>3</v>
      </c>
      <c r="D228" s="1" t="s">
        <v>4</v>
      </c>
      <c r="E228" s="1" t="s">
        <v>5</v>
      </c>
      <c r="F228" s="1" t="s">
        <v>6</v>
      </c>
      <c r="G228" s="1" t="s">
        <v>12</v>
      </c>
      <c r="H228" s="1" t="s">
        <v>13</v>
      </c>
      <c r="I228" s="1" t="s">
        <v>14</v>
      </c>
      <c r="J228" s="1" t="s">
        <v>15</v>
      </c>
      <c r="K228" s="1" t="s">
        <v>16</v>
      </c>
    </row>
    <row r="229" spans="1:11" hidden="1">
      <c r="A229" s="5" t="s">
        <v>7</v>
      </c>
      <c r="B229" s="5">
        <f>C221</f>
        <v>147690</v>
      </c>
      <c r="C229" s="5">
        <v>148060</v>
      </c>
      <c r="D229" s="5">
        <f>C229-B229</f>
        <v>370</v>
      </c>
      <c r="E229" s="6"/>
      <c r="F229" s="6"/>
      <c r="G229" s="5" t="s">
        <v>17</v>
      </c>
      <c r="H229" s="5" t="s">
        <v>49</v>
      </c>
      <c r="I229" s="5">
        <v>31</v>
      </c>
      <c r="J229" s="5">
        <f>D229/I229</f>
        <v>11.935483870967742</v>
      </c>
      <c r="K229" s="6">
        <f>E231/D229</f>
        <v>0</v>
      </c>
    </row>
    <row r="230" spans="1:11" hidden="1">
      <c r="A230" s="5" t="s">
        <v>8</v>
      </c>
      <c r="B230" s="5">
        <v>147060</v>
      </c>
      <c r="C230" s="5">
        <v>147837</v>
      </c>
      <c r="D230" s="5">
        <f>C230-B230</f>
        <v>777</v>
      </c>
      <c r="E230" s="6">
        <f>(7529.61-3598.44-2546.59-5433.92-1710.96)*1.15</f>
        <v>-6624.3450000000012</v>
      </c>
      <c r="F230" s="6">
        <f>845.92*1.15</f>
        <v>972.80799999999988</v>
      </c>
      <c r="G230" s="5" t="s">
        <v>17</v>
      </c>
      <c r="H230" s="5" t="s">
        <v>50</v>
      </c>
      <c r="I230" s="5">
        <v>66</v>
      </c>
      <c r="J230" s="5">
        <f>D230/I230</f>
        <v>11.772727272727273</v>
      </c>
      <c r="K230" s="6">
        <f>E232/D230</f>
        <v>-7.2735353925353943</v>
      </c>
    </row>
    <row r="231" spans="1:11" hidden="1">
      <c r="A231" s="5" t="s">
        <v>9</v>
      </c>
      <c r="B231" s="5"/>
      <c r="C231" s="5"/>
      <c r="D231" s="5"/>
      <c r="E231" s="6">
        <f>E229</f>
        <v>0</v>
      </c>
      <c r="F231" s="6"/>
      <c r="G231" s="5"/>
      <c r="H231" s="5"/>
      <c r="I231" s="5"/>
      <c r="J231" s="5"/>
      <c r="K231" s="5"/>
    </row>
    <row r="232" spans="1:11" hidden="1">
      <c r="A232" s="5" t="s">
        <v>10</v>
      </c>
      <c r="B232" s="5"/>
      <c r="C232" s="5"/>
      <c r="D232" s="5"/>
      <c r="E232" s="6">
        <f>E230+F230</f>
        <v>-5651.5370000000012</v>
      </c>
      <c r="F232" s="6"/>
      <c r="G232" s="5"/>
      <c r="H232" s="5"/>
      <c r="I232" s="5"/>
      <c r="J232" s="5"/>
      <c r="K232" s="5"/>
    </row>
    <row r="233" spans="1:11" hidden="1">
      <c r="A233" s="5" t="s">
        <v>11</v>
      </c>
      <c r="B233" s="5"/>
      <c r="C233" s="5"/>
      <c r="D233" s="5"/>
      <c r="E233" s="6">
        <f>E231-E232</f>
        <v>5651.5370000000012</v>
      </c>
      <c r="F233" s="6"/>
      <c r="G233" s="5"/>
      <c r="H233" s="5"/>
      <c r="I233" s="5"/>
      <c r="J233" s="5"/>
      <c r="K233" s="5"/>
    </row>
    <row r="234" spans="1:11" hidden="1"/>
    <row r="235" spans="1:11" hidden="1">
      <c r="A235" s="13">
        <v>43983</v>
      </c>
    </row>
    <row r="236" spans="1:11" hidden="1">
      <c r="A236" s="1" t="s">
        <v>1</v>
      </c>
      <c r="B236" s="1" t="s">
        <v>2</v>
      </c>
      <c r="C236" s="1" t="s">
        <v>3</v>
      </c>
      <c r="D236" s="1" t="s">
        <v>4</v>
      </c>
      <c r="E236" s="1" t="s">
        <v>5</v>
      </c>
      <c r="F236" s="1" t="s">
        <v>6</v>
      </c>
      <c r="G236" s="1" t="s">
        <v>12</v>
      </c>
      <c r="H236" s="1" t="s">
        <v>13</v>
      </c>
      <c r="I236" s="1" t="s">
        <v>14</v>
      </c>
      <c r="J236" s="1" t="s">
        <v>15</v>
      </c>
      <c r="K236" s="1" t="s">
        <v>16</v>
      </c>
    </row>
    <row r="237" spans="1:11" hidden="1">
      <c r="A237" s="5" t="s">
        <v>7</v>
      </c>
      <c r="B237" s="5">
        <f>C229</f>
        <v>148060</v>
      </c>
      <c r="C237" s="5">
        <v>148496</v>
      </c>
      <c r="D237" s="5">
        <f>C237-B237</f>
        <v>436</v>
      </c>
      <c r="E237" s="6"/>
      <c r="F237" s="6"/>
      <c r="G237" s="5" t="s">
        <v>17</v>
      </c>
      <c r="H237" s="5" t="s">
        <v>51</v>
      </c>
      <c r="I237" s="5">
        <v>30</v>
      </c>
      <c r="J237" s="5">
        <f>D237/I237</f>
        <v>14.533333333333333</v>
      </c>
      <c r="K237" s="6">
        <f>E239/D237</f>
        <v>0</v>
      </c>
    </row>
    <row r="238" spans="1:11" hidden="1">
      <c r="A238" s="5" t="s">
        <v>8</v>
      </c>
      <c r="B238" s="5">
        <f>C230</f>
        <v>147837</v>
      </c>
      <c r="C238" s="5">
        <v>148346</v>
      </c>
      <c r="D238" s="5">
        <f>C238-B238</f>
        <v>509</v>
      </c>
      <c r="E238" s="6">
        <f>5351.61*1.15</f>
        <v>6154.3514999999989</v>
      </c>
      <c r="F238" s="6">
        <f>901.68*1.15</f>
        <v>1036.9319999999998</v>
      </c>
      <c r="G238" s="5" t="s">
        <v>17</v>
      </c>
      <c r="H238" s="5" t="s">
        <v>52</v>
      </c>
      <c r="I238" s="5">
        <v>38</v>
      </c>
      <c r="J238" s="5">
        <f>D238/I238</f>
        <v>13.394736842105264</v>
      </c>
      <c r="K238" s="6">
        <f>E240/D238</f>
        <v>14.128258349705302</v>
      </c>
    </row>
    <row r="239" spans="1:11" hidden="1">
      <c r="A239" s="5" t="s">
        <v>9</v>
      </c>
      <c r="B239" s="5"/>
      <c r="C239" s="5"/>
      <c r="D239" s="5"/>
      <c r="E239" s="6">
        <f>E237</f>
        <v>0</v>
      </c>
      <c r="F239" s="6"/>
      <c r="G239" s="5"/>
      <c r="H239" s="5"/>
      <c r="I239" s="5"/>
      <c r="J239" s="5"/>
      <c r="K239" s="5"/>
    </row>
    <row r="240" spans="1:11" hidden="1">
      <c r="A240" s="5" t="s">
        <v>10</v>
      </c>
      <c r="B240" s="5"/>
      <c r="C240" s="5"/>
      <c r="D240" s="5"/>
      <c r="E240" s="6">
        <f>E238+F238</f>
        <v>7191.2834999999986</v>
      </c>
      <c r="F240" s="6"/>
      <c r="G240" s="5"/>
      <c r="H240" s="5"/>
      <c r="I240" s="5"/>
      <c r="J240" s="5"/>
      <c r="K240" s="5"/>
    </row>
    <row r="241" spans="1:11" hidden="1">
      <c r="A241" s="5" t="s">
        <v>11</v>
      </c>
      <c r="B241" s="5"/>
      <c r="C241" s="5"/>
      <c r="D241" s="5"/>
      <c r="E241" s="6">
        <f>E239-E240</f>
        <v>-7191.2834999999986</v>
      </c>
      <c r="F241" s="6"/>
      <c r="G241" s="5"/>
      <c r="H241" s="5"/>
      <c r="I241" s="5"/>
      <c r="J241" s="5"/>
      <c r="K241" s="5"/>
    </row>
    <row r="242" spans="1:11" hidden="1"/>
    <row r="243" spans="1:11" hidden="1">
      <c r="A243" s="13">
        <v>44013</v>
      </c>
    </row>
    <row r="244" spans="1:11" hidden="1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12</v>
      </c>
      <c r="H244" s="1" t="s">
        <v>13</v>
      </c>
      <c r="I244" s="1" t="s">
        <v>14</v>
      </c>
      <c r="J244" s="1" t="s">
        <v>15</v>
      </c>
      <c r="K244" s="1" t="s">
        <v>16</v>
      </c>
    </row>
    <row r="245" spans="1:11" hidden="1">
      <c r="A245" s="5" t="s">
        <v>7</v>
      </c>
      <c r="B245" s="5">
        <f>C237</f>
        <v>148496</v>
      </c>
      <c r="C245" s="5">
        <v>149025</v>
      </c>
      <c r="D245" s="5">
        <f>C245-B245</f>
        <v>529</v>
      </c>
      <c r="E245" s="6"/>
      <c r="F245" s="6"/>
      <c r="G245" s="5" t="s">
        <v>17</v>
      </c>
      <c r="H245" s="5" t="s">
        <v>53</v>
      </c>
      <c r="I245" s="5">
        <v>31</v>
      </c>
      <c r="J245" s="5">
        <f>D245/I245</f>
        <v>17.06451612903226</v>
      </c>
      <c r="K245" s="6">
        <f>E247/D245</f>
        <v>0</v>
      </c>
    </row>
    <row r="246" spans="1:11" hidden="1">
      <c r="A246" s="5" t="s">
        <v>8</v>
      </c>
      <c r="B246" s="5">
        <f>C238</f>
        <v>148346</v>
      </c>
      <c r="C246" s="5">
        <v>148943</v>
      </c>
      <c r="D246" s="5">
        <f>C246-B246</f>
        <v>597</v>
      </c>
      <c r="E246" s="6">
        <f>(1388.84+4430.82)*1.15</f>
        <v>6692.6089999999995</v>
      </c>
      <c r="F246" s="6">
        <f>901.68*1.15</f>
        <v>1036.9319999999998</v>
      </c>
      <c r="G246" s="5" t="s">
        <v>12</v>
      </c>
      <c r="H246" s="5" t="s">
        <v>54</v>
      </c>
      <c r="I246" s="5">
        <v>45</v>
      </c>
      <c r="J246" s="5">
        <f>D246/I246</f>
        <v>13.266666666666667</v>
      </c>
      <c r="K246" s="6">
        <f>E248/D246</f>
        <v>12.94730485762144</v>
      </c>
    </row>
    <row r="247" spans="1:11" hidden="1">
      <c r="A247" s="5" t="s">
        <v>9</v>
      </c>
      <c r="B247" s="5"/>
      <c r="C247" s="5"/>
      <c r="D247" s="5"/>
      <c r="E247" s="6">
        <f>E245</f>
        <v>0</v>
      </c>
      <c r="F247" s="6"/>
      <c r="G247" s="5"/>
      <c r="H247" s="5"/>
      <c r="I247" s="5"/>
      <c r="J247" s="5"/>
      <c r="K247" s="5"/>
    </row>
    <row r="248" spans="1:11" hidden="1">
      <c r="A248" s="5" t="s">
        <v>10</v>
      </c>
      <c r="B248" s="5"/>
      <c r="C248" s="5"/>
      <c r="D248" s="5"/>
      <c r="E248" s="6">
        <f>E246+F246</f>
        <v>7729.5409999999993</v>
      </c>
      <c r="F248" s="6"/>
      <c r="G248" s="5"/>
      <c r="H248" s="5"/>
      <c r="I248" s="5"/>
      <c r="J248" s="5"/>
      <c r="K248" s="5"/>
    </row>
    <row r="249" spans="1:11" hidden="1">
      <c r="A249" s="5" t="s">
        <v>11</v>
      </c>
      <c r="B249" s="5"/>
      <c r="C249" s="5"/>
      <c r="D249" s="5"/>
      <c r="E249" s="6">
        <f>E247-E248</f>
        <v>-7729.5409999999993</v>
      </c>
      <c r="F249" s="6"/>
      <c r="G249" s="5"/>
      <c r="H249" s="5"/>
      <c r="I249" s="5"/>
      <c r="J249" s="5"/>
      <c r="K249" s="5"/>
    </row>
    <row r="250" spans="1:11" hidden="1"/>
    <row r="251" spans="1:11" hidden="1">
      <c r="A251" s="13">
        <v>44044</v>
      </c>
    </row>
    <row r="252" spans="1:11" hidden="1">
      <c r="A252" s="1" t="s">
        <v>1</v>
      </c>
      <c r="B252" s="1" t="s">
        <v>2</v>
      </c>
      <c r="C252" s="1" t="s">
        <v>3</v>
      </c>
      <c r="D252" s="1" t="s">
        <v>4</v>
      </c>
      <c r="E252" s="1" t="s">
        <v>5</v>
      </c>
      <c r="F252" s="1" t="s">
        <v>6</v>
      </c>
      <c r="G252" s="1" t="s">
        <v>12</v>
      </c>
      <c r="H252" s="1" t="s">
        <v>13</v>
      </c>
      <c r="I252" s="1" t="s">
        <v>14</v>
      </c>
      <c r="J252" s="1" t="s">
        <v>15</v>
      </c>
      <c r="K252" s="1" t="s">
        <v>16</v>
      </c>
    </row>
    <row r="253" spans="1:11" hidden="1">
      <c r="A253" s="5" t="s">
        <v>7</v>
      </c>
      <c r="B253" s="5">
        <f>C245</f>
        <v>149025</v>
      </c>
      <c r="C253" s="5">
        <v>149532</v>
      </c>
      <c r="D253" s="5">
        <f>C253-B253</f>
        <v>507</v>
      </c>
      <c r="E253" s="6"/>
      <c r="F253" s="6"/>
      <c r="G253" s="5" t="s">
        <v>17</v>
      </c>
      <c r="H253" s="5" t="s">
        <v>55</v>
      </c>
      <c r="I253" s="5">
        <v>31</v>
      </c>
      <c r="J253" s="5">
        <f>D253/I253</f>
        <v>16.35483870967742</v>
      </c>
      <c r="K253" s="6">
        <f>E255/D253</f>
        <v>0</v>
      </c>
    </row>
    <row r="254" spans="1:11" hidden="1">
      <c r="A254" s="5" t="s">
        <v>8</v>
      </c>
      <c r="B254" s="5">
        <v>148346</v>
      </c>
      <c r="C254" s="5">
        <v>149148</v>
      </c>
      <c r="D254" s="5">
        <f>C254-B254</f>
        <v>802</v>
      </c>
      <c r="E254" s="6">
        <f>(1694.81+7024.93-609.91-431.62-347.31-2969.77-1461.05)*1.15</f>
        <v>3335.0919999999987</v>
      </c>
      <c r="F254" s="6">
        <f>901.68*1.15</f>
        <v>1036.9319999999998</v>
      </c>
      <c r="G254" s="5" t="s">
        <v>17</v>
      </c>
      <c r="H254" s="5" t="s">
        <v>56</v>
      </c>
      <c r="I254" s="5">
        <v>53</v>
      </c>
      <c r="J254" s="5">
        <f>D254/I254</f>
        <v>15.132075471698114</v>
      </c>
      <c r="K254" s="6">
        <f>E256/D254</f>
        <v>5.4514014962593498</v>
      </c>
    </row>
    <row r="255" spans="1:11" hidden="1">
      <c r="A255" s="5" t="s">
        <v>9</v>
      </c>
      <c r="B255" s="5"/>
      <c r="C255" s="5"/>
      <c r="D255" s="5"/>
      <c r="E255" s="6">
        <f>E253</f>
        <v>0</v>
      </c>
      <c r="F255" s="6"/>
      <c r="G255" s="5"/>
      <c r="H255" s="5"/>
      <c r="I255" s="5"/>
      <c r="J255" s="5"/>
      <c r="K255" s="5"/>
    </row>
    <row r="256" spans="1:11" hidden="1">
      <c r="A256" s="5" t="s">
        <v>10</v>
      </c>
      <c r="B256" s="5"/>
      <c r="C256" s="5"/>
      <c r="D256" s="5"/>
      <c r="E256" s="6">
        <f>E254+F254</f>
        <v>4372.0239999999985</v>
      </c>
      <c r="F256" s="6"/>
      <c r="G256" s="5"/>
      <c r="H256" s="5"/>
      <c r="I256" s="5"/>
      <c r="J256" s="5"/>
      <c r="K256" s="5"/>
    </row>
    <row r="257" spans="1:11" hidden="1">
      <c r="A257" s="5" t="s">
        <v>11</v>
      </c>
      <c r="B257" s="5"/>
      <c r="C257" s="5"/>
      <c r="D257" s="5"/>
      <c r="E257" s="6">
        <f>E255-E256</f>
        <v>-4372.0239999999985</v>
      </c>
      <c r="F257" s="6"/>
      <c r="G257" s="5"/>
      <c r="H257" s="5"/>
      <c r="I257" s="5"/>
      <c r="J257" s="5"/>
      <c r="K257" s="5"/>
    </row>
    <row r="258" spans="1:11" hidden="1"/>
    <row r="259" spans="1:11" hidden="1">
      <c r="A259" s="13">
        <v>44075</v>
      </c>
    </row>
    <row r="260" spans="1:11" hidden="1">
      <c r="A260" s="1" t="s">
        <v>1</v>
      </c>
      <c r="B260" s="1" t="s">
        <v>2</v>
      </c>
      <c r="C260" s="1" t="s">
        <v>3</v>
      </c>
      <c r="D260" s="1" t="s">
        <v>4</v>
      </c>
      <c r="E260" s="1" t="s">
        <v>5</v>
      </c>
      <c r="F260" s="1" t="s">
        <v>6</v>
      </c>
      <c r="G260" s="1" t="s">
        <v>12</v>
      </c>
      <c r="H260" s="1" t="s">
        <v>13</v>
      </c>
      <c r="I260" s="1" t="s">
        <v>14</v>
      </c>
      <c r="J260" s="1" t="s">
        <v>15</v>
      </c>
      <c r="K260" s="1" t="s">
        <v>16</v>
      </c>
    </row>
    <row r="261" spans="1:11" hidden="1">
      <c r="A261" s="5" t="s">
        <v>7</v>
      </c>
      <c r="B261" s="5">
        <f>C253</f>
        <v>149532</v>
      </c>
      <c r="C261" s="5">
        <v>149968</v>
      </c>
      <c r="D261" s="5">
        <f>C261-B261</f>
        <v>436</v>
      </c>
      <c r="E261" s="6"/>
      <c r="F261" s="6"/>
      <c r="G261" s="5" t="s">
        <v>17</v>
      </c>
      <c r="H261" s="5" t="s">
        <v>57</v>
      </c>
      <c r="I261" s="5">
        <v>30</v>
      </c>
      <c r="J261" s="5">
        <f>D261/I261</f>
        <v>14.533333333333333</v>
      </c>
      <c r="K261" s="6">
        <f>E263/D261</f>
        <v>0</v>
      </c>
    </row>
    <row r="262" spans="1:11" hidden="1">
      <c r="A262" s="5" t="s">
        <v>8</v>
      </c>
      <c r="B262" s="5">
        <v>148346</v>
      </c>
      <c r="C262" s="5">
        <v>149600</v>
      </c>
      <c r="D262" s="5">
        <f>C262-B262</f>
        <v>1254</v>
      </c>
      <c r="E262" s="6">
        <f>5808.85*1.15</f>
        <v>6680.1774999999998</v>
      </c>
      <c r="F262" s="6">
        <f>901.68*1.15</f>
        <v>1036.9319999999998</v>
      </c>
      <c r="G262" s="5" t="s">
        <v>17</v>
      </c>
      <c r="H262" s="5" t="s">
        <v>58</v>
      </c>
      <c r="I262" s="5">
        <v>25</v>
      </c>
      <c r="J262" s="5">
        <f>D262/I262</f>
        <v>50.16</v>
      </c>
      <c r="K262" s="6">
        <f>E264/D262</f>
        <v>6.1539948165869216</v>
      </c>
    </row>
    <row r="263" spans="1:11" hidden="1">
      <c r="A263" s="5" t="s">
        <v>9</v>
      </c>
      <c r="B263" s="5"/>
      <c r="C263" s="5"/>
      <c r="D263" s="5"/>
      <c r="E263" s="6">
        <f>E261</f>
        <v>0</v>
      </c>
      <c r="F263" s="6"/>
      <c r="G263" s="5"/>
      <c r="H263" s="5"/>
      <c r="I263" s="5"/>
      <c r="J263" s="5"/>
      <c r="K263" s="5"/>
    </row>
    <row r="264" spans="1:11" hidden="1">
      <c r="A264" s="5" t="s">
        <v>10</v>
      </c>
      <c r="B264" s="5"/>
      <c r="C264" s="5"/>
      <c r="D264" s="5"/>
      <c r="E264" s="6">
        <f>E262+F262</f>
        <v>7717.1094999999996</v>
      </c>
      <c r="F264" s="6"/>
      <c r="G264" s="5"/>
      <c r="H264" s="5"/>
      <c r="I264" s="5"/>
      <c r="J264" s="5"/>
      <c r="K264" s="5"/>
    </row>
    <row r="265" spans="1:11" hidden="1">
      <c r="A265" s="5" t="s">
        <v>11</v>
      </c>
      <c r="B265" s="5"/>
      <c r="C265" s="5"/>
      <c r="D265" s="5"/>
      <c r="E265" s="6">
        <f>E263-E264</f>
        <v>-7717.1094999999996</v>
      </c>
      <c r="F265" s="6"/>
      <c r="G265" s="5"/>
      <c r="H265" s="5"/>
      <c r="I265" s="5"/>
      <c r="J265" s="5"/>
      <c r="K265" s="5"/>
    </row>
    <row r="266" spans="1:11" hidden="1"/>
    <row r="267" spans="1:11" hidden="1">
      <c r="A267" s="13">
        <v>44105</v>
      </c>
    </row>
    <row r="268" spans="1:11" hidden="1">
      <c r="A268" s="1" t="s">
        <v>1</v>
      </c>
      <c r="B268" s="1" t="s">
        <v>2</v>
      </c>
      <c r="C268" s="1" t="s">
        <v>3</v>
      </c>
      <c r="D268" s="1" t="s">
        <v>4</v>
      </c>
      <c r="E268" s="1" t="s">
        <v>5</v>
      </c>
      <c r="F268" s="1" t="s">
        <v>6</v>
      </c>
      <c r="G268" s="1" t="s">
        <v>12</v>
      </c>
      <c r="H268" s="1" t="s">
        <v>13</v>
      </c>
      <c r="I268" s="1" t="s">
        <v>14</v>
      </c>
      <c r="J268" s="1" t="s">
        <v>15</v>
      </c>
      <c r="K268" s="1" t="s">
        <v>16</v>
      </c>
    </row>
    <row r="269" spans="1:11" hidden="1">
      <c r="A269" s="5" t="s">
        <v>7</v>
      </c>
      <c r="B269" s="5">
        <f>C261</f>
        <v>149968</v>
      </c>
      <c r="C269" s="5">
        <v>150381</v>
      </c>
      <c r="D269" s="5">
        <f>C269-B269</f>
        <v>413</v>
      </c>
      <c r="E269" s="6"/>
      <c r="F269" s="6"/>
      <c r="G269" s="5" t="s">
        <v>17</v>
      </c>
      <c r="H269" s="5" t="s">
        <v>59</v>
      </c>
      <c r="I269" s="5">
        <v>30</v>
      </c>
      <c r="J269" s="5">
        <f>D269/I269</f>
        <v>13.766666666666667</v>
      </c>
      <c r="K269" s="6">
        <f>E271/D269</f>
        <v>0</v>
      </c>
    </row>
    <row r="270" spans="1:11" hidden="1">
      <c r="A270" s="5" t="s">
        <v>8</v>
      </c>
      <c r="B270" s="5">
        <f>C262</f>
        <v>149600</v>
      </c>
      <c r="C270" s="5">
        <v>150066</v>
      </c>
      <c r="D270" s="5">
        <f>C270-B270</f>
        <v>466</v>
      </c>
      <c r="E270" s="6">
        <f>4866.61*1.15</f>
        <v>5596.6014999999989</v>
      </c>
      <c r="F270" s="6">
        <f>901.68*1.15</f>
        <v>1036.9319999999998</v>
      </c>
      <c r="G270" s="5" t="s">
        <v>17</v>
      </c>
      <c r="H270" s="5" t="s">
        <v>60</v>
      </c>
      <c r="I270" s="5">
        <v>32</v>
      </c>
      <c r="J270" s="5">
        <f>D270/I270</f>
        <v>14.5625</v>
      </c>
      <c r="K270" s="6">
        <f>E272/D270</f>
        <v>14.235050429184547</v>
      </c>
    </row>
    <row r="271" spans="1:11" hidden="1">
      <c r="A271" s="5" t="s">
        <v>9</v>
      </c>
      <c r="B271" s="5"/>
      <c r="C271" s="5"/>
      <c r="D271" s="5"/>
      <c r="E271" s="6">
        <f>E269</f>
        <v>0</v>
      </c>
      <c r="F271" s="6"/>
      <c r="G271" s="5"/>
      <c r="H271" s="5"/>
      <c r="I271" s="5"/>
      <c r="J271" s="5"/>
      <c r="K271" s="5"/>
    </row>
    <row r="272" spans="1:11" hidden="1">
      <c r="A272" s="5" t="s">
        <v>10</v>
      </c>
      <c r="B272" s="5"/>
      <c r="C272" s="5"/>
      <c r="D272" s="5"/>
      <c r="E272" s="6">
        <f>E270+F270</f>
        <v>6633.5334999999986</v>
      </c>
      <c r="F272" s="6"/>
      <c r="G272" s="5"/>
      <c r="H272" s="5"/>
      <c r="I272" s="5"/>
      <c r="J272" s="5"/>
      <c r="K272" s="5"/>
    </row>
    <row r="273" spans="1:11" hidden="1">
      <c r="A273" s="5" t="s">
        <v>11</v>
      </c>
      <c r="B273" s="5"/>
      <c r="C273" s="5"/>
      <c r="D273" s="5"/>
      <c r="E273" s="6">
        <f>E271-E272</f>
        <v>-6633.5334999999986</v>
      </c>
      <c r="F273" s="6"/>
      <c r="G273" s="5"/>
      <c r="H273" s="5"/>
      <c r="I273" s="5"/>
      <c r="J273" s="5"/>
      <c r="K273" s="5"/>
    </row>
    <row r="274" spans="1:11" hidden="1"/>
    <row r="275" spans="1:11" hidden="1">
      <c r="A275" s="13">
        <v>44136</v>
      </c>
    </row>
    <row r="276" spans="1:11" hidden="1">
      <c r="A276" s="1" t="s">
        <v>1</v>
      </c>
      <c r="B276" s="1" t="s">
        <v>2</v>
      </c>
      <c r="C276" s="1" t="s">
        <v>3</v>
      </c>
      <c r="D276" s="1" t="s">
        <v>4</v>
      </c>
      <c r="E276" s="1" t="s">
        <v>5</v>
      </c>
      <c r="F276" s="1" t="s">
        <v>6</v>
      </c>
      <c r="G276" s="1" t="s">
        <v>12</v>
      </c>
      <c r="H276" s="1" t="s">
        <v>13</v>
      </c>
      <c r="I276" s="1" t="s">
        <v>14</v>
      </c>
      <c r="J276" s="1" t="s">
        <v>15</v>
      </c>
      <c r="K276" s="1" t="s">
        <v>16</v>
      </c>
    </row>
    <row r="277" spans="1:11" hidden="1">
      <c r="A277" s="5" t="s">
        <v>7</v>
      </c>
      <c r="B277" s="5">
        <f>C269</f>
        <v>150381</v>
      </c>
      <c r="C277" s="5">
        <v>150771</v>
      </c>
      <c r="D277" s="5">
        <f>C277-B277</f>
        <v>390</v>
      </c>
      <c r="E277" s="6"/>
      <c r="F277" s="6"/>
      <c r="G277" s="5" t="s">
        <v>17</v>
      </c>
      <c r="H277" s="5" t="s">
        <v>61</v>
      </c>
      <c r="I277" s="5">
        <v>31</v>
      </c>
      <c r="J277" s="5">
        <f>D277/I277</f>
        <v>12.580645161290322</v>
      </c>
      <c r="K277" s="6">
        <f>E279/D277</f>
        <v>0</v>
      </c>
    </row>
    <row r="278" spans="1:11" hidden="1">
      <c r="A278" s="5" t="s">
        <v>8</v>
      </c>
      <c r="B278" s="5">
        <f>C270</f>
        <v>150066</v>
      </c>
      <c r="C278" s="5">
        <v>150493</v>
      </c>
      <c r="D278" s="5">
        <f>C278-B278</f>
        <v>427</v>
      </c>
      <c r="E278" s="6">
        <f>4093.63*1.15</f>
        <v>4707.6745000000001</v>
      </c>
      <c r="F278" s="6">
        <f>901.68*1.15</f>
        <v>1036.9319999999998</v>
      </c>
      <c r="G278" s="5" t="s">
        <v>17</v>
      </c>
      <c r="H278" s="5" t="s">
        <v>62</v>
      </c>
      <c r="I278" s="5">
        <v>32</v>
      </c>
      <c r="J278" s="5">
        <f>D278/I278</f>
        <v>13.34375</v>
      </c>
      <c r="K278" s="6">
        <f>E280/D278</f>
        <v>13.45341100702576</v>
      </c>
    </row>
    <row r="279" spans="1:11" hidden="1">
      <c r="A279" s="5" t="s">
        <v>9</v>
      </c>
      <c r="B279" s="5"/>
      <c r="C279" s="5"/>
      <c r="D279" s="5"/>
      <c r="E279" s="6">
        <f>E277</f>
        <v>0</v>
      </c>
      <c r="F279" s="6"/>
      <c r="G279" s="5"/>
      <c r="H279" s="5"/>
      <c r="I279" s="5"/>
      <c r="J279" s="5"/>
      <c r="K279" s="5"/>
    </row>
    <row r="280" spans="1:11" hidden="1">
      <c r="A280" s="5" t="s">
        <v>10</v>
      </c>
      <c r="B280" s="5"/>
      <c r="C280" s="5"/>
      <c r="D280" s="5"/>
      <c r="E280" s="6">
        <f>E278+F278</f>
        <v>5744.6064999999999</v>
      </c>
      <c r="F280" s="6"/>
      <c r="G280" s="5"/>
      <c r="H280" s="5"/>
      <c r="I280" s="5"/>
      <c r="J280" s="5"/>
      <c r="K280" s="5"/>
    </row>
    <row r="281" spans="1:11" hidden="1">
      <c r="A281" s="5" t="s">
        <v>11</v>
      </c>
      <c r="B281" s="5"/>
      <c r="C281" s="5"/>
      <c r="D281" s="5"/>
      <c r="E281" s="6">
        <f>E279-E280</f>
        <v>-5744.6064999999999</v>
      </c>
      <c r="F281" s="6"/>
      <c r="G281" s="5"/>
      <c r="H281" s="5"/>
      <c r="I281" s="5"/>
      <c r="J281" s="5"/>
      <c r="K281" s="5"/>
    </row>
    <row r="282" spans="1:11" hidden="1"/>
    <row r="283" spans="1:11" hidden="1">
      <c r="A283" s="13">
        <v>44166</v>
      </c>
    </row>
    <row r="284" spans="1:11" hidden="1">
      <c r="A284" s="1" t="s">
        <v>1</v>
      </c>
      <c r="B284" s="1" t="s">
        <v>2</v>
      </c>
      <c r="C284" s="1" t="s">
        <v>3</v>
      </c>
      <c r="D284" s="1" t="s">
        <v>4</v>
      </c>
      <c r="E284" s="1" t="s">
        <v>5</v>
      </c>
      <c r="F284" s="1" t="s">
        <v>6</v>
      </c>
      <c r="G284" s="1" t="s">
        <v>12</v>
      </c>
      <c r="H284" s="1" t="s">
        <v>13</v>
      </c>
      <c r="I284" s="1" t="s">
        <v>14</v>
      </c>
      <c r="J284" s="1" t="s">
        <v>15</v>
      </c>
      <c r="K284" s="1" t="s">
        <v>16</v>
      </c>
    </row>
    <row r="285" spans="1:11" hidden="1">
      <c r="A285" s="5" t="s">
        <v>7</v>
      </c>
      <c r="B285" s="5">
        <f>C277</f>
        <v>150771</v>
      </c>
      <c r="C285" s="5">
        <v>151125</v>
      </c>
      <c r="D285" s="5">
        <f>C285-B285</f>
        <v>354</v>
      </c>
      <c r="E285" s="6"/>
      <c r="F285" s="6"/>
      <c r="G285" s="5" t="s">
        <v>17</v>
      </c>
      <c r="H285" s="5" t="s">
        <v>63</v>
      </c>
      <c r="I285" s="5">
        <v>31</v>
      </c>
      <c r="J285" s="5">
        <f>D285/I285</f>
        <v>11.419354838709678</v>
      </c>
      <c r="K285" s="6">
        <f>E287/D285</f>
        <v>0</v>
      </c>
    </row>
    <row r="286" spans="1:11" hidden="1">
      <c r="A286" s="5" t="s">
        <v>8</v>
      </c>
      <c r="B286" s="5">
        <f>C278</f>
        <v>150493</v>
      </c>
      <c r="C286" s="5">
        <v>150884</v>
      </c>
      <c r="D286" s="5">
        <f>C286-B286</f>
        <v>391</v>
      </c>
      <c r="E286" s="6">
        <f>3516.65*1.15</f>
        <v>4044.1474999999996</v>
      </c>
      <c r="F286" s="6">
        <f>901.68*1.15</f>
        <v>1036.9319999999998</v>
      </c>
      <c r="G286" s="5" t="s">
        <v>17</v>
      </c>
      <c r="H286" s="5" t="s">
        <v>64</v>
      </c>
      <c r="I286" s="5">
        <v>31</v>
      </c>
      <c r="J286" s="5">
        <f>D286/I286</f>
        <v>12.612903225806452</v>
      </c>
      <c r="K286" s="6">
        <f>E288/D286</f>
        <v>12.995088235294117</v>
      </c>
    </row>
    <row r="287" spans="1:11" hidden="1">
      <c r="A287" s="5" t="s">
        <v>9</v>
      </c>
      <c r="B287" s="5"/>
      <c r="C287" s="5"/>
      <c r="D287" s="5"/>
      <c r="E287" s="6">
        <f>E285</f>
        <v>0</v>
      </c>
      <c r="F287" s="6"/>
      <c r="G287" s="5"/>
      <c r="H287" s="5"/>
      <c r="I287" s="5"/>
      <c r="J287" s="5"/>
      <c r="K287" s="5"/>
    </row>
    <row r="288" spans="1:11" hidden="1">
      <c r="A288" s="5" t="s">
        <v>10</v>
      </c>
      <c r="B288" s="5"/>
      <c r="C288" s="5"/>
      <c r="D288" s="5"/>
      <c r="E288" s="6">
        <f>E286+F286</f>
        <v>5081.0794999999998</v>
      </c>
      <c r="F288" s="6"/>
      <c r="G288" s="5"/>
      <c r="H288" s="5"/>
      <c r="I288" s="5"/>
      <c r="J288" s="5"/>
      <c r="K288" s="5"/>
    </row>
    <row r="289" spans="1:11" hidden="1">
      <c r="A289" s="5" t="s">
        <v>11</v>
      </c>
      <c r="B289" s="5"/>
      <c r="C289" s="5"/>
      <c r="D289" s="5"/>
      <c r="E289" s="6">
        <f>E287-E288</f>
        <v>-5081.0794999999998</v>
      </c>
      <c r="F289" s="6"/>
      <c r="G289" s="5"/>
      <c r="H289" s="5"/>
      <c r="I289" s="5"/>
      <c r="J289" s="5"/>
      <c r="K289" s="5"/>
    </row>
    <row r="291" spans="1:11">
      <c r="A291" s="13">
        <v>44197</v>
      </c>
    </row>
    <row r="292" spans="1:11" hidden="1">
      <c r="A292" s="1" t="s">
        <v>1</v>
      </c>
      <c r="B292" s="1" t="s">
        <v>2</v>
      </c>
      <c r="C292" s="1" t="s">
        <v>3</v>
      </c>
      <c r="D292" s="1" t="s">
        <v>4</v>
      </c>
      <c r="E292" s="1" t="s">
        <v>5</v>
      </c>
      <c r="F292" s="1" t="s">
        <v>6</v>
      </c>
      <c r="G292" s="1" t="s">
        <v>12</v>
      </c>
      <c r="H292" s="1" t="s">
        <v>13</v>
      </c>
      <c r="I292" s="1" t="s">
        <v>14</v>
      </c>
      <c r="J292" s="1" t="s">
        <v>15</v>
      </c>
      <c r="K292" s="1" t="s">
        <v>16</v>
      </c>
    </row>
    <row r="293" spans="1:11" hidden="1">
      <c r="A293" s="5" t="s">
        <v>7</v>
      </c>
      <c r="B293" s="5">
        <f>C285</f>
        <v>151125</v>
      </c>
      <c r="C293" s="5">
        <v>151505</v>
      </c>
      <c r="D293" s="5">
        <f>C293-B293</f>
        <v>380</v>
      </c>
      <c r="E293" s="6"/>
      <c r="F293" s="6"/>
      <c r="G293" s="5" t="s">
        <v>17</v>
      </c>
      <c r="H293" s="5" t="s">
        <v>65</v>
      </c>
      <c r="I293" s="5">
        <v>31</v>
      </c>
      <c r="J293" s="5">
        <f>D293/I293</f>
        <v>12.258064516129032</v>
      </c>
      <c r="K293" s="6">
        <f>E295/D293</f>
        <v>0</v>
      </c>
    </row>
    <row r="294" spans="1:11" hidden="1">
      <c r="A294" s="5" t="s">
        <v>8</v>
      </c>
      <c r="B294" s="5">
        <f>C286</f>
        <v>150884</v>
      </c>
      <c r="C294" s="5">
        <v>151615</v>
      </c>
      <c r="D294" s="5">
        <f>C294-B294</f>
        <v>731</v>
      </c>
      <c r="E294" s="6">
        <f>7120.18*1.15</f>
        <v>8188.2069999999994</v>
      </c>
      <c r="F294" s="6">
        <f>901.68*1.15</f>
        <v>1036.9319999999998</v>
      </c>
      <c r="G294" s="5" t="s">
        <v>12</v>
      </c>
      <c r="H294" s="5" t="s">
        <v>66</v>
      </c>
      <c r="I294" s="5">
        <v>54</v>
      </c>
      <c r="J294" s="5">
        <f>D294/I294</f>
        <v>13.537037037037036</v>
      </c>
      <c r="K294" s="6">
        <f>E296/D294</f>
        <v>12.619889192886456</v>
      </c>
    </row>
    <row r="295" spans="1:11" hidden="1">
      <c r="A295" s="5" t="s">
        <v>9</v>
      </c>
      <c r="B295" s="5"/>
      <c r="C295" s="5"/>
      <c r="D295" s="5"/>
      <c r="E295" s="6">
        <f>E293</f>
        <v>0</v>
      </c>
      <c r="F295" s="6"/>
      <c r="G295" s="5"/>
      <c r="H295" s="5"/>
      <c r="I295" s="5"/>
      <c r="J295" s="5"/>
      <c r="K295" s="5"/>
    </row>
    <row r="296" spans="1:11" hidden="1">
      <c r="A296" s="5" t="s">
        <v>10</v>
      </c>
      <c r="B296" s="5"/>
      <c r="C296" s="5"/>
      <c r="D296" s="5"/>
      <c r="E296" s="6">
        <f>E294+F294</f>
        <v>9225.1389999999992</v>
      </c>
      <c r="F296" s="6"/>
      <c r="G296" s="5"/>
      <c r="H296" s="5"/>
      <c r="I296" s="5"/>
      <c r="J296" s="5"/>
      <c r="K296" s="5"/>
    </row>
    <row r="297" spans="1:11" hidden="1">
      <c r="A297" s="5" t="s">
        <v>11</v>
      </c>
      <c r="B297" s="5"/>
      <c r="C297" s="5"/>
      <c r="D297" s="5"/>
      <c r="E297" s="6">
        <f>E295-E296</f>
        <v>-9225.1389999999992</v>
      </c>
      <c r="F297" s="6"/>
      <c r="G297" s="5"/>
      <c r="H297" s="5"/>
      <c r="I297" s="5"/>
      <c r="J297" s="5"/>
      <c r="K297" s="5"/>
    </row>
    <row r="298" spans="1:11" hidden="1"/>
    <row r="299" spans="1:11" hidden="1">
      <c r="A299" s="13">
        <v>44228</v>
      </c>
    </row>
    <row r="300" spans="1:11" hidden="1">
      <c r="A300" s="1" t="s">
        <v>1</v>
      </c>
      <c r="B300" s="1" t="s">
        <v>2</v>
      </c>
      <c r="C300" s="1" t="s">
        <v>3</v>
      </c>
      <c r="D300" s="1" t="s">
        <v>4</v>
      </c>
      <c r="E300" s="1" t="s">
        <v>5</v>
      </c>
      <c r="F300" s="1" t="s">
        <v>6</v>
      </c>
      <c r="G300" s="1" t="s">
        <v>12</v>
      </c>
      <c r="H300" s="1" t="s">
        <v>13</v>
      </c>
      <c r="I300" s="1" t="s">
        <v>14</v>
      </c>
      <c r="J300" s="1" t="s">
        <v>15</v>
      </c>
      <c r="K300" s="1" t="s">
        <v>16</v>
      </c>
    </row>
    <row r="301" spans="1:11" hidden="1">
      <c r="A301" s="5" t="s">
        <v>7</v>
      </c>
      <c r="B301" s="5">
        <f>C293</f>
        <v>151505</v>
      </c>
      <c r="C301" s="5">
        <v>151848</v>
      </c>
      <c r="D301" s="5">
        <f>C301-B301</f>
        <v>343</v>
      </c>
      <c r="E301" s="6"/>
      <c r="F301" s="6"/>
      <c r="G301" s="5" t="s">
        <v>17</v>
      </c>
      <c r="H301" s="5" t="s">
        <v>67</v>
      </c>
      <c r="I301" s="5">
        <v>29</v>
      </c>
      <c r="J301" s="5">
        <f>D301/I301</f>
        <v>11.827586206896552</v>
      </c>
      <c r="K301" s="6">
        <f>E303/D301</f>
        <v>0</v>
      </c>
    </row>
    <row r="302" spans="1:11" hidden="1">
      <c r="A302" s="5" t="s">
        <v>8</v>
      </c>
      <c r="B302" s="5">
        <v>150884</v>
      </c>
      <c r="C302" s="5">
        <v>151631</v>
      </c>
      <c r="D302" s="5">
        <f>C302-B302</f>
        <v>747</v>
      </c>
      <c r="E302" s="6">
        <f>(6066.55-4581.93-2538.25)*1.15</f>
        <v>-1211.6745000000001</v>
      </c>
      <c r="F302" s="6">
        <f>901.68*1.15</f>
        <v>1036.9319999999998</v>
      </c>
      <c r="G302" s="5" t="s">
        <v>17</v>
      </c>
      <c r="H302" s="5" t="s">
        <v>66</v>
      </c>
      <c r="I302" s="5">
        <v>54</v>
      </c>
      <c r="J302" s="5">
        <f>D302/I302</f>
        <v>13.833333333333334</v>
      </c>
      <c r="K302" s="6">
        <f>E304/D302</f>
        <v>-0.23392570281124536</v>
      </c>
    </row>
    <row r="303" spans="1:11" hidden="1">
      <c r="A303" s="5" t="s">
        <v>9</v>
      </c>
      <c r="B303" s="5"/>
      <c r="C303" s="5"/>
      <c r="D303" s="5"/>
      <c r="E303" s="6">
        <f>E301</f>
        <v>0</v>
      </c>
      <c r="F303" s="6"/>
      <c r="G303" s="5"/>
      <c r="H303" s="5"/>
      <c r="I303" s="5"/>
      <c r="J303" s="5"/>
      <c r="K303" s="5"/>
    </row>
    <row r="304" spans="1:11" hidden="1">
      <c r="A304" s="5" t="s">
        <v>10</v>
      </c>
      <c r="B304" s="5"/>
      <c r="C304" s="5"/>
      <c r="D304" s="5"/>
      <c r="E304" s="6">
        <f>E302+F302</f>
        <v>-174.74250000000029</v>
      </c>
      <c r="F304" s="6"/>
      <c r="G304" s="5"/>
      <c r="H304" s="5"/>
      <c r="I304" s="5"/>
      <c r="J304" s="5"/>
      <c r="K304" s="5"/>
    </row>
    <row r="305" spans="1:11" hidden="1">
      <c r="A305" s="5" t="s">
        <v>11</v>
      </c>
      <c r="B305" s="5"/>
      <c r="C305" s="5"/>
      <c r="D305" s="5"/>
      <c r="E305" s="6">
        <f>E303-E304</f>
        <v>174.74250000000029</v>
      </c>
      <c r="F305" s="6"/>
      <c r="G305" s="5"/>
      <c r="H305" s="5"/>
      <c r="I305" s="5"/>
      <c r="J305" s="5"/>
      <c r="K305" s="5"/>
    </row>
    <row r="306" spans="1:11" hidden="1"/>
    <row r="307" spans="1:11" hidden="1">
      <c r="A307" s="13">
        <v>44256</v>
      </c>
    </row>
    <row r="308" spans="1:11" hidden="1">
      <c r="A308" s="1" t="s">
        <v>1</v>
      </c>
      <c r="B308" s="1" t="s">
        <v>2</v>
      </c>
      <c r="C308" s="1" t="s">
        <v>3</v>
      </c>
      <c r="D308" s="1" t="s">
        <v>4</v>
      </c>
      <c r="E308" s="1" t="s">
        <v>5</v>
      </c>
      <c r="F308" s="1" t="s">
        <v>6</v>
      </c>
      <c r="G308" s="1" t="s">
        <v>12</v>
      </c>
      <c r="H308" s="1" t="s">
        <v>13</v>
      </c>
      <c r="I308" s="1" t="s">
        <v>14</v>
      </c>
      <c r="J308" s="1" t="s">
        <v>15</v>
      </c>
      <c r="K308" s="1" t="s">
        <v>16</v>
      </c>
    </row>
    <row r="309" spans="1:11" hidden="1">
      <c r="A309" s="5" t="s">
        <v>7</v>
      </c>
      <c r="B309" s="5">
        <f>C301</f>
        <v>151848</v>
      </c>
      <c r="C309" s="5">
        <v>152269</v>
      </c>
      <c r="D309" s="5">
        <f>C309-B309</f>
        <v>421</v>
      </c>
      <c r="E309" s="6"/>
      <c r="F309" s="6"/>
      <c r="G309" s="5" t="s">
        <v>17</v>
      </c>
      <c r="H309" s="5" t="s">
        <v>68</v>
      </c>
      <c r="I309" s="5">
        <v>30</v>
      </c>
      <c r="J309" s="5">
        <f>D309/I309</f>
        <v>14.033333333333333</v>
      </c>
      <c r="K309" s="6">
        <f>E311/D309</f>
        <v>0</v>
      </c>
    </row>
    <row r="310" spans="1:11" hidden="1">
      <c r="A310" s="5" t="s">
        <v>8</v>
      </c>
      <c r="B310" s="5">
        <f>C302</f>
        <v>151631</v>
      </c>
      <c r="C310" s="5">
        <v>151949</v>
      </c>
      <c r="D310" s="5">
        <f>C310-B310</f>
        <v>318</v>
      </c>
      <c r="E310" s="6">
        <f>2889.09*1.15</f>
        <v>3322.4535000000001</v>
      </c>
      <c r="F310" s="6">
        <f>901.68*1.15</f>
        <v>1036.9319999999998</v>
      </c>
      <c r="G310" s="5" t="s">
        <v>17</v>
      </c>
      <c r="H310" s="5" t="s">
        <v>69</v>
      </c>
      <c r="I310" s="5">
        <v>25</v>
      </c>
      <c r="J310" s="5">
        <f>D310/I310</f>
        <v>12.72</v>
      </c>
      <c r="K310" s="6">
        <f>E312/D310</f>
        <v>13.708759433962266</v>
      </c>
    </row>
    <row r="311" spans="1:11" hidden="1">
      <c r="A311" s="5" t="s">
        <v>9</v>
      </c>
      <c r="B311" s="5"/>
      <c r="C311" s="5"/>
      <c r="D311" s="5"/>
      <c r="E311" s="6">
        <f>E309</f>
        <v>0</v>
      </c>
      <c r="F311" s="6"/>
      <c r="G311" s="5"/>
      <c r="H311" s="5"/>
      <c r="I311" s="5"/>
      <c r="J311" s="5"/>
      <c r="K311" s="5"/>
    </row>
    <row r="312" spans="1:11" hidden="1">
      <c r="A312" s="5" t="s">
        <v>10</v>
      </c>
      <c r="B312" s="5"/>
      <c r="C312" s="5"/>
      <c r="D312" s="5"/>
      <c r="E312" s="6">
        <f>E310+F310</f>
        <v>4359.3855000000003</v>
      </c>
      <c r="F312" s="6"/>
      <c r="G312" s="5"/>
      <c r="H312" s="5"/>
      <c r="I312" s="5"/>
      <c r="J312" s="5"/>
      <c r="K312" s="5"/>
    </row>
    <row r="313" spans="1:11" hidden="1">
      <c r="A313" s="5" t="s">
        <v>11</v>
      </c>
      <c r="B313" s="5"/>
      <c r="C313" s="5"/>
      <c r="D313" s="5"/>
      <c r="E313" s="6">
        <f>E311-E312</f>
        <v>-4359.3855000000003</v>
      </c>
      <c r="F313" s="6"/>
      <c r="G313" s="5"/>
      <c r="H313" s="5"/>
      <c r="I313" s="5"/>
      <c r="J313" s="5"/>
      <c r="K313" s="5"/>
    </row>
    <row r="314" spans="1:11" hidden="1"/>
    <row r="315" spans="1:11" hidden="1">
      <c r="A315" s="13">
        <v>44287</v>
      </c>
    </row>
    <row r="316" spans="1:11" hidden="1">
      <c r="A316" s="1" t="s">
        <v>1</v>
      </c>
      <c r="B316" s="1" t="s">
        <v>2</v>
      </c>
      <c r="C316" s="1" t="s">
        <v>3</v>
      </c>
      <c r="D316" s="1" t="s">
        <v>4</v>
      </c>
      <c r="E316" s="1" t="s">
        <v>5</v>
      </c>
      <c r="F316" s="1" t="s">
        <v>6</v>
      </c>
      <c r="G316" s="1" t="s">
        <v>12</v>
      </c>
      <c r="H316" s="1" t="s">
        <v>13</v>
      </c>
      <c r="I316" s="1" t="s">
        <v>14</v>
      </c>
      <c r="J316" s="1" t="s">
        <v>15</v>
      </c>
      <c r="K316" s="1" t="s">
        <v>16</v>
      </c>
    </row>
    <row r="317" spans="1:11" hidden="1">
      <c r="A317" s="5" t="s">
        <v>7</v>
      </c>
      <c r="B317" s="5">
        <f>C309</f>
        <v>152269</v>
      </c>
      <c r="C317" s="5">
        <v>152608</v>
      </c>
      <c r="D317" s="5">
        <f>C317-B317</f>
        <v>339</v>
      </c>
      <c r="E317" s="6"/>
      <c r="F317" s="6"/>
      <c r="G317" s="5" t="s">
        <v>17</v>
      </c>
      <c r="H317" s="5" t="s">
        <v>70</v>
      </c>
      <c r="I317" s="5">
        <v>29</v>
      </c>
      <c r="J317" s="5">
        <f>D317/I317</f>
        <v>11.689655172413794</v>
      </c>
      <c r="K317" s="6">
        <f>E319/D317</f>
        <v>0</v>
      </c>
    </row>
    <row r="318" spans="1:11" hidden="1">
      <c r="A318" s="5" t="s">
        <v>8</v>
      </c>
      <c r="B318" s="5">
        <f>C310</f>
        <v>151949</v>
      </c>
      <c r="C318" s="5">
        <v>152383</v>
      </c>
      <c r="D318" s="5">
        <f>C318-B318</f>
        <v>434</v>
      </c>
      <c r="E318" s="6">
        <f>3959.26*1.15</f>
        <v>4553.1490000000003</v>
      </c>
      <c r="F318" s="6">
        <f>901.68*1.15</f>
        <v>1036.9319999999998</v>
      </c>
      <c r="G318" s="5" t="s">
        <v>17</v>
      </c>
      <c r="H318" s="5" t="s">
        <v>71</v>
      </c>
      <c r="I318" s="5">
        <v>34</v>
      </c>
      <c r="J318" s="5">
        <f>D318/I318</f>
        <v>12.764705882352942</v>
      </c>
      <c r="K318" s="6">
        <f>E320/D318</f>
        <v>12.880370967741936</v>
      </c>
    </row>
    <row r="319" spans="1:11" hidden="1">
      <c r="A319" s="5" t="s">
        <v>9</v>
      </c>
      <c r="B319" s="5"/>
      <c r="C319" s="5"/>
      <c r="D319" s="5"/>
      <c r="E319" s="6">
        <f>E317</f>
        <v>0</v>
      </c>
      <c r="F319" s="6"/>
      <c r="G319" s="5"/>
      <c r="H319" s="5"/>
      <c r="I319" s="5"/>
      <c r="J319" s="5"/>
      <c r="K319" s="5"/>
    </row>
    <row r="320" spans="1:11" hidden="1">
      <c r="A320" s="5" t="s">
        <v>10</v>
      </c>
      <c r="B320" s="5"/>
      <c r="C320" s="5"/>
      <c r="D320" s="5"/>
      <c r="E320" s="6">
        <f>E318+F318</f>
        <v>5590.0810000000001</v>
      </c>
      <c r="F320" s="6"/>
      <c r="G320" s="5"/>
      <c r="H320" s="5"/>
      <c r="I320" s="5"/>
      <c r="J320" s="5"/>
      <c r="K320" s="5"/>
    </row>
    <row r="321" spans="1:11" hidden="1">
      <c r="A321" s="5" t="s">
        <v>11</v>
      </c>
      <c r="B321" s="5"/>
      <c r="C321" s="5"/>
      <c r="D321" s="5"/>
      <c r="E321" s="6">
        <f>E319-E320</f>
        <v>-5590.0810000000001</v>
      </c>
      <c r="F321" s="6"/>
      <c r="G321" s="5"/>
      <c r="H321" s="5"/>
      <c r="I321" s="5"/>
      <c r="J321" s="5"/>
      <c r="K321" s="5"/>
    </row>
    <row r="322" spans="1:11" hidden="1"/>
    <row r="323" spans="1:11" hidden="1">
      <c r="A323" s="13">
        <v>44317</v>
      </c>
    </row>
    <row r="324" spans="1:11" hidden="1">
      <c r="A324" s="1" t="s">
        <v>1</v>
      </c>
      <c r="B324" s="1" t="s">
        <v>2</v>
      </c>
      <c r="C324" s="1" t="s">
        <v>3</v>
      </c>
      <c r="D324" s="1" t="s">
        <v>4</v>
      </c>
      <c r="E324" s="1" t="s">
        <v>5</v>
      </c>
      <c r="F324" s="1" t="s">
        <v>6</v>
      </c>
      <c r="G324" s="1" t="s">
        <v>12</v>
      </c>
      <c r="H324" s="1" t="s">
        <v>13</v>
      </c>
      <c r="I324" s="1" t="s">
        <v>14</v>
      </c>
      <c r="J324" s="1" t="s">
        <v>15</v>
      </c>
      <c r="K324" s="1" t="s">
        <v>16</v>
      </c>
    </row>
    <row r="325" spans="1:11" hidden="1">
      <c r="A325" s="5" t="s">
        <v>7</v>
      </c>
      <c r="B325" s="5">
        <f>C317</f>
        <v>152608</v>
      </c>
      <c r="C325" s="5">
        <v>153086</v>
      </c>
      <c r="D325" s="5">
        <f>C325-B325</f>
        <v>478</v>
      </c>
      <c r="E325" s="6"/>
      <c r="F325" s="6"/>
      <c r="G325" s="5" t="s">
        <v>17</v>
      </c>
      <c r="H325" s="5" t="s">
        <v>72</v>
      </c>
      <c r="I325" s="5">
        <v>31</v>
      </c>
      <c r="J325" s="5">
        <f>D325/I325</f>
        <v>15.419354838709678</v>
      </c>
      <c r="K325" s="6">
        <f>E327/D325</f>
        <v>0</v>
      </c>
    </row>
    <row r="326" spans="1:11" hidden="1">
      <c r="A326" s="5" t="s">
        <v>8</v>
      </c>
      <c r="B326" s="5">
        <f>C318</f>
        <v>152383</v>
      </c>
      <c r="C326" s="5">
        <v>152728</v>
      </c>
      <c r="D326" s="5">
        <f>C326-B326</f>
        <v>345</v>
      </c>
      <c r="E326" s="6">
        <f>3151.12*1.15</f>
        <v>3623.7879999999996</v>
      </c>
      <c r="F326" s="6">
        <f>901.68*1.15</f>
        <v>1036.9319999999998</v>
      </c>
      <c r="G326" s="5" t="s">
        <v>17</v>
      </c>
      <c r="H326" s="5" t="s">
        <v>73</v>
      </c>
      <c r="I326" s="5">
        <v>27</v>
      </c>
      <c r="J326" s="5">
        <f>D326/I326</f>
        <v>12.777777777777779</v>
      </c>
      <c r="K326" s="6">
        <f>E328/D326</f>
        <v>13.509333333333332</v>
      </c>
    </row>
    <row r="327" spans="1:11" hidden="1">
      <c r="A327" s="5" t="s">
        <v>9</v>
      </c>
      <c r="B327" s="5"/>
      <c r="C327" s="5"/>
      <c r="D327" s="5"/>
      <c r="E327" s="6">
        <f>E325</f>
        <v>0</v>
      </c>
      <c r="F327" s="6"/>
      <c r="G327" s="5"/>
      <c r="H327" s="5"/>
      <c r="I327" s="5"/>
      <c r="J327" s="5"/>
      <c r="K327" s="5"/>
    </row>
    <row r="328" spans="1:11" hidden="1">
      <c r="A328" s="5" t="s">
        <v>10</v>
      </c>
      <c r="B328" s="5"/>
      <c r="C328" s="5"/>
      <c r="D328" s="5"/>
      <c r="E328" s="6">
        <f>E326+F326</f>
        <v>4660.7199999999993</v>
      </c>
      <c r="F328" s="6"/>
      <c r="G328" s="5"/>
      <c r="H328" s="5"/>
      <c r="I328" s="5"/>
      <c r="J328" s="5"/>
      <c r="K328" s="5"/>
    </row>
    <row r="329" spans="1:11" hidden="1">
      <c r="A329" s="5" t="s">
        <v>11</v>
      </c>
      <c r="B329" s="5"/>
      <c r="C329" s="5"/>
      <c r="D329" s="5"/>
      <c r="E329" s="6">
        <f>E327-E328</f>
        <v>-4660.7199999999993</v>
      </c>
      <c r="F329" s="6"/>
      <c r="G329" s="5"/>
      <c r="H329" s="5"/>
      <c r="I329" s="5"/>
      <c r="J329" s="5"/>
      <c r="K329" s="5"/>
    </row>
    <row r="330" spans="1:11" hidden="1"/>
    <row r="331" spans="1:11" hidden="1">
      <c r="A331" s="13">
        <v>44348</v>
      </c>
    </row>
    <row r="332" spans="1:11" hidden="1">
      <c r="A332" s="1" t="s">
        <v>1</v>
      </c>
      <c r="B332" s="1" t="s">
        <v>2</v>
      </c>
      <c r="C332" s="1" t="s">
        <v>3</v>
      </c>
      <c r="D332" s="1" t="s">
        <v>4</v>
      </c>
      <c r="E332" s="1" t="s">
        <v>5</v>
      </c>
      <c r="F332" s="1" t="s">
        <v>6</v>
      </c>
      <c r="G332" s="1" t="s">
        <v>12</v>
      </c>
      <c r="H332" s="1" t="s">
        <v>13</v>
      </c>
      <c r="I332" s="1" t="s">
        <v>14</v>
      </c>
      <c r="J332" s="1" t="s">
        <v>15</v>
      </c>
      <c r="K332" s="1" t="s">
        <v>16</v>
      </c>
    </row>
    <row r="333" spans="1:11" hidden="1">
      <c r="A333" s="5" t="s">
        <v>7</v>
      </c>
      <c r="B333" s="5">
        <f>C325</f>
        <v>153086</v>
      </c>
      <c r="C333" s="5">
        <v>153469</v>
      </c>
      <c r="D333" s="5">
        <f>C333-B333</f>
        <v>383</v>
      </c>
      <c r="E333" s="6"/>
      <c r="F333" s="6"/>
      <c r="G333" s="5" t="s">
        <v>17</v>
      </c>
      <c r="H333" s="5" t="s">
        <v>74</v>
      </c>
      <c r="I333" s="5">
        <v>36</v>
      </c>
      <c r="J333" s="5">
        <f>D333/I333</f>
        <v>10.638888888888889</v>
      </c>
      <c r="K333" s="6">
        <f>E335/D333</f>
        <v>0</v>
      </c>
    </row>
    <row r="334" spans="1:11" hidden="1">
      <c r="A334" s="5" t="s">
        <v>8</v>
      </c>
      <c r="B334" s="5">
        <f>C326</f>
        <v>152728</v>
      </c>
      <c r="C334" s="5">
        <v>153177</v>
      </c>
      <c r="D334" s="5">
        <f>C334-B334</f>
        <v>449</v>
      </c>
      <c r="E334" s="6">
        <f>4939.3*1.15</f>
        <v>5680.1949999999997</v>
      </c>
      <c r="F334" s="6">
        <f>962.88*1.15</f>
        <v>1107.3119999999999</v>
      </c>
      <c r="G334" s="5" t="s">
        <v>17</v>
      </c>
      <c r="H334" s="5" t="s">
        <v>75</v>
      </c>
      <c r="I334" s="5">
        <v>29</v>
      </c>
      <c r="J334" s="5">
        <f>D334/I334</f>
        <v>15.482758620689655</v>
      </c>
      <c r="K334" s="6">
        <f>E336/D334</f>
        <v>15.116942093541201</v>
      </c>
    </row>
    <row r="335" spans="1:11" hidden="1">
      <c r="A335" s="5" t="s">
        <v>9</v>
      </c>
      <c r="B335" s="5"/>
      <c r="C335" s="5"/>
      <c r="D335" s="5"/>
      <c r="E335" s="6">
        <f>E333</f>
        <v>0</v>
      </c>
      <c r="F335" s="6"/>
      <c r="G335" s="5"/>
      <c r="H335" s="5"/>
      <c r="I335" s="5"/>
      <c r="J335" s="5"/>
      <c r="K335" s="5"/>
    </row>
    <row r="336" spans="1:11" hidden="1">
      <c r="A336" s="5" t="s">
        <v>10</v>
      </c>
      <c r="B336" s="5"/>
      <c r="C336" s="5"/>
      <c r="D336" s="5"/>
      <c r="E336" s="6">
        <f>E334+F334</f>
        <v>6787.5069999999996</v>
      </c>
      <c r="F336" s="6"/>
      <c r="G336" s="5"/>
      <c r="H336" s="5"/>
      <c r="I336" s="5"/>
      <c r="J336" s="5"/>
      <c r="K336" s="5"/>
    </row>
    <row r="337" spans="1:11" hidden="1">
      <c r="A337" s="5" t="s">
        <v>11</v>
      </c>
      <c r="B337" s="5"/>
      <c r="C337" s="5"/>
      <c r="D337" s="5"/>
      <c r="E337" s="6">
        <f>E335-E336</f>
        <v>-6787.5069999999996</v>
      </c>
      <c r="F337" s="6"/>
      <c r="G337" s="5"/>
      <c r="H337" s="5"/>
      <c r="I337" s="5"/>
      <c r="J337" s="5"/>
      <c r="K337" s="5"/>
    </row>
    <row r="338" spans="1:11" hidden="1"/>
    <row r="339" spans="1:11" hidden="1">
      <c r="A339" s="13">
        <v>44378</v>
      </c>
    </row>
    <row r="340" spans="1:11" hidden="1">
      <c r="A340" s="1" t="s">
        <v>1</v>
      </c>
      <c r="B340" s="1" t="s">
        <v>2</v>
      </c>
      <c r="C340" s="1" t="s">
        <v>3</v>
      </c>
      <c r="D340" s="1" t="s">
        <v>4</v>
      </c>
      <c r="E340" s="1" t="s">
        <v>5</v>
      </c>
      <c r="F340" s="1" t="s">
        <v>6</v>
      </c>
      <c r="G340" s="1" t="s">
        <v>12</v>
      </c>
      <c r="H340" s="1" t="s">
        <v>13</v>
      </c>
      <c r="I340" s="1" t="s">
        <v>14</v>
      </c>
      <c r="J340" s="1" t="s">
        <v>15</v>
      </c>
      <c r="K340" s="1" t="s">
        <v>16</v>
      </c>
    </row>
    <row r="341" spans="1:11" hidden="1">
      <c r="A341" s="5" t="s">
        <v>7</v>
      </c>
      <c r="B341" s="5">
        <f>C333</f>
        <v>153469</v>
      </c>
      <c r="C341" s="5">
        <v>153898</v>
      </c>
      <c r="D341" s="5">
        <f>C341-B341</f>
        <v>429</v>
      </c>
      <c r="E341" s="6"/>
      <c r="F341" s="6"/>
      <c r="G341" s="5" t="s">
        <v>17</v>
      </c>
      <c r="H341" s="5" t="s">
        <v>76</v>
      </c>
      <c r="I341" s="5">
        <v>29</v>
      </c>
      <c r="J341" s="5">
        <f>D341/I341</f>
        <v>14.793103448275861</v>
      </c>
      <c r="K341" s="6">
        <f>E343/D341</f>
        <v>0</v>
      </c>
    </row>
    <row r="342" spans="1:11" hidden="1">
      <c r="A342" s="5" t="s">
        <v>8</v>
      </c>
      <c r="B342" s="5">
        <f>C334</f>
        <v>153177</v>
      </c>
      <c r="C342" s="5">
        <v>153637</v>
      </c>
      <c r="D342" s="5">
        <f>C342-B342</f>
        <v>460</v>
      </c>
      <c r="E342" s="6">
        <f>(2101.8+1659.07)*1.15</f>
        <v>4325.0004999999992</v>
      </c>
      <c r="F342" s="6">
        <f>962.88*1.15</f>
        <v>1107.3119999999999</v>
      </c>
      <c r="G342" s="5" t="s">
        <v>17</v>
      </c>
      <c r="H342" s="5" t="s">
        <v>77</v>
      </c>
      <c r="I342" s="5">
        <v>40</v>
      </c>
      <c r="J342" s="5">
        <f>D342/I342</f>
        <v>11.5</v>
      </c>
      <c r="K342" s="6">
        <f>E344/D342</f>
        <v>11.809374999999998</v>
      </c>
    </row>
    <row r="343" spans="1:11" hidden="1">
      <c r="A343" s="5" t="s">
        <v>9</v>
      </c>
      <c r="B343" s="5"/>
      <c r="C343" s="5"/>
      <c r="D343" s="5"/>
      <c r="E343" s="6">
        <f>E341</f>
        <v>0</v>
      </c>
      <c r="F343" s="6"/>
      <c r="G343" s="5"/>
      <c r="H343" s="5"/>
      <c r="I343" s="5"/>
      <c r="J343" s="5"/>
      <c r="K343" s="5"/>
    </row>
    <row r="344" spans="1:11" hidden="1">
      <c r="A344" s="5" t="s">
        <v>10</v>
      </c>
      <c r="B344" s="5"/>
      <c r="C344" s="5"/>
      <c r="D344" s="5"/>
      <c r="E344" s="6">
        <f>E342+F342</f>
        <v>5432.3124999999991</v>
      </c>
      <c r="F344" s="6"/>
      <c r="G344" s="5"/>
      <c r="H344" s="5"/>
      <c r="I344" s="5"/>
      <c r="J344" s="5"/>
      <c r="K344" s="5"/>
    </row>
    <row r="345" spans="1:11" hidden="1">
      <c r="A345" s="5" t="s">
        <v>11</v>
      </c>
      <c r="B345" s="5"/>
      <c r="C345" s="5"/>
      <c r="D345" s="5"/>
      <c r="E345" s="6">
        <f>E343-E344</f>
        <v>-5432.3124999999991</v>
      </c>
      <c r="F345" s="6"/>
      <c r="G345" s="5"/>
      <c r="H345" s="5"/>
      <c r="I345" s="5"/>
      <c r="J345" s="5"/>
      <c r="K345" s="5"/>
    </row>
    <row r="346" spans="1:11" hidden="1"/>
    <row r="347" spans="1:11" hidden="1">
      <c r="A347" s="13">
        <v>44409</v>
      </c>
    </row>
    <row r="348" spans="1:11" hidden="1">
      <c r="A348" s="1" t="s">
        <v>1</v>
      </c>
      <c r="B348" s="1" t="s">
        <v>2</v>
      </c>
      <c r="C348" s="1" t="s">
        <v>3</v>
      </c>
      <c r="D348" s="1" t="s">
        <v>4</v>
      </c>
      <c r="E348" s="1" t="s">
        <v>5</v>
      </c>
      <c r="F348" s="1" t="s">
        <v>6</v>
      </c>
      <c r="G348" s="1" t="s">
        <v>12</v>
      </c>
      <c r="H348" s="1" t="s">
        <v>13</v>
      </c>
      <c r="I348" s="1" t="s">
        <v>14</v>
      </c>
      <c r="J348" s="1" t="s">
        <v>15</v>
      </c>
      <c r="K348" s="1" t="s">
        <v>16</v>
      </c>
    </row>
    <row r="349" spans="1:11" hidden="1">
      <c r="A349" s="5" t="s">
        <v>7</v>
      </c>
      <c r="B349" s="5">
        <f>C341</f>
        <v>153898</v>
      </c>
      <c r="C349" s="5">
        <v>154345</v>
      </c>
      <c r="D349" s="5">
        <f>C349-B349</f>
        <v>447</v>
      </c>
      <c r="E349" s="6"/>
      <c r="F349" s="6"/>
      <c r="G349" s="5" t="s">
        <v>17</v>
      </c>
      <c r="H349" s="5" t="s">
        <v>78</v>
      </c>
      <c r="I349" s="5">
        <v>28</v>
      </c>
      <c r="J349" s="5">
        <f>D349/I349</f>
        <v>15.964285714285714</v>
      </c>
      <c r="K349" s="6">
        <f>E351/D349</f>
        <v>0</v>
      </c>
    </row>
    <row r="350" spans="1:11" hidden="1">
      <c r="A350" s="5" t="s">
        <v>8</v>
      </c>
      <c r="B350" s="5">
        <f>C342</f>
        <v>153637</v>
      </c>
      <c r="C350" s="5">
        <v>154019</v>
      </c>
      <c r="D350" s="5">
        <f>C350-B350</f>
        <v>382</v>
      </c>
      <c r="E350" s="6">
        <f>4440.36*1.15</f>
        <v>5106.4139999999989</v>
      </c>
      <c r="F350" s="6">
        <f>962.88*1.15</f>
        <v>1107.3119999999999</v>
      </c>
      <c r="G350" s="5" t="s">
        <v>17</v>
      </c>
      <c r="H350" s="5" t="s">
        <v>79</v>
      </c>
      <c r="I350" s="5">
        <v>25</v>
      </c>
      <c r="J350" s="5">
        <f>D350/I350</f>
        <v>15.28</v>
      </c>
      <c r="K350" s="6">
        <f>E352/D350</f>
        <v>16.26629842931937</v>
      </c>
    </row>
    <row r="351" spans="1:11" hidden="1">
      <c r="A351" s="5" t="s">
        <v>9</v>
      </c>
      <c r="B351" s="5"/>
      <c r="C351" s="5"/>
      <c r="D351" s="5"/>
      <c r="E351" s="6">
        <f>E349</f>
        <v>0</v>
      </c>
      <c r="F351" s="6"/>
      <c r="G351" s="5"/>
      <c r="H351" s="5"/>
      <c r="I351" s="5"/>
      <c r="J351" s="5"/>
      <c r="K351" s="5"/>
    </row>
    <row r="352" spans="1:11" hidden="1">
      <c r="A352" s="5" t="s">
        <v>10</v>
      </c>
      <c r="B352" s="5"/>
      <c r="C352" s="5"/>
      <c r="D352" s="5"/>
      <c r="E352" s="6">
        <f>E350+F350</f>
        <v>6213.7259999999987</v>
      </c>
      <c r="F352" s="6"/>
      <c r="G352" s="5"/>
      <c r="H352" s="5"/>
      <c r="I352" s="5"/>
      <c r="J352" s="5"/>
      <c r="K352" s="5"/>
    </row>
    <row r="353" spans="1:11" hidden="1">
      <c r="A353" s="5" t="s">
        <v>11</v>
      </c>
      <c r="B353" s="5"/>
      <c r="C353" s="5"/>
      <c r="D353" s="5"/>
      <c r="E353" s="6">
        <f>E351-E352</f>
        <v>-6213.7259999999987</v>
      </c>
      <c r="F353" s="6"/>
      <c r="G353" s="5"/>
      <c r="H353" s="5"/>
      <c r="I353" s="5"/>
      <c r="J353" s="5"/>
      <c r="K353" s="5"/>
    </row>
    <row r="354" spans="1:11" hidden="1"/>
    <row r="355" spans="1:11" hidden="1">
      <c r="A355" s="13">
        <v>44440</v>
      </c>
    </row>
    <row r="356" spans="1:11" hidden="1">
      <c r="A356" s="1" t="s">
        <v>1</v>
      </c>
      <c r="B356" s="1" t="s">
        <v>2</v>
      </c>
      <c r="C356" s="1" t="s">
        <v>3</v>
      </c>
      <c r="D356" s="1" t="s">
        <v>4</v>
      </c>
      <c r="E356" s="1" t="s">
        <v>5</v>
      </c>
      <c r="F356" s="1" t="s">
        <v>6</v>
      </c>
      <c r="G356" s="1" t="s">
        <v>12</v>
      </c>
      <c r="H356" s="1" t="s">
        <v>13</v>
      </c>
      <c r="I356" s="1" t="s">
        <v>14</v>
      </c>
      <c r="J356" s="1" t="s">
        <v>15</v>
      </c>
      <c r="K356" s="1" t="s">
        <v>16</v>
      </c>
    </row>
    <row r="357" spans="1:11" hidden="1">
      <c r="A357" s="5" t="s">
        <v>7</v>
      </c>
      <c r="B357" s="5">
        <f>C349</f>
        <v>154345</v>
      </c>
      <c r="C357" s="5">
        <v>154795</v>
      </c>
      <c r="D357" s="5">
        <f>C357-B357</f>
        <v>450</v>
      </c>
      <c r="E357" s="6"/>
      <c r="F357" s="6"/>
      <c r="G357" s="5" t="s">
        <v>17</v>
      </c>
      <c r="H357" s="5" t="s">
        <v>80</v>
      </c>
      <c r="I357" s="5">
        <v>30</v>
      </c>
      <c r="J357" s="5">
        <f>D357/I357</f>
        <v>15</v>
      </c>
      <c r="K357" s="6">
        <f>E359/D357</f>
        <v>0</v>
      </c>
    </row>
    <row r="358" spans="1:11" hidden="1">
      <c r="A358" s="5" t="s">
        <v>8</v>
      </c>
      <c r="B358" s="5">
        <f>C350</f>
        <v>154019</v>
      </c>
      <c r="C358" s="5">
        <v>154741</v>
      </c>
      <c r="D358" s="5">
        <f>C358-B358</f>
        <v>722</v>
      </c>
      <c r="E358" s="6">
        <f>7421.26*1.15</f>
        <v>8534.4489999999987</v>
      </c>
      <c r="F358" s="6">
        <f>962.88*1.15</f>
        <v>1107.3119999999999</v>
      </c>
      <c r="G358" s="5" t="s">
        <v>12</v>
      </c>
      <c r="H358" s="5" t="s">
        <v>81</v>
      </c>
      <c r="I358" s="5">
        <v>54</v>
      </c>
      <c r="J358" s="5">
        <f>D358/I358</f>
        <v>13.37037037037037</v>
      </c>
      <c r="K358" s="6">
        <f>E360/D358</f>
        <v>13.354239612188364</v>
      </c>
    </row>
    <row r="359" spans="1:11" hidden="1">
      <c r="A359" s="5" t="s">
        <v>9</v>
      </c>
      <c r="B359" s="5"/>
      <c r="C359" s="5"/>
      <c r="D359" s="5"/>
      <c r="E359" s="6">
        <f>E357</f>
        <v>0</v>
      </c>
      <c r="F359" s="6"/>
      <c r="G359" s="5"/>
      <c r="H359" s="5"/>
      <c r="I359" s="5"/>
      <c r="J359" s="5"/>
      <c r="K359" s="5"/>
    </row>
    <row r="360" spans="1:11" hidden="1">
      <c r="A360" s="5" t="s">
        <v>10</v>
      </c>
      <c r="B360" s="5"/>
      <c r="C360" s="5"/>
      <c r="D360" s="5"/>
      <c r="E360" s="6">
        <f>E358+F358</f>
        <v>9641.7609999999986</v>
      </c>
      <c r="F360" s="6"/>
      <c r="G360" s="5"/>
      <c r="H360" s="5"/>
      <c r="I360" s="5"/>
      <c r="J360" s="5"/>
      <c r="K360" s="5"/>
    </row>
    <row r="361" spans="1:11" hidden="1">
      <c r="A361" s="5" t="s">
        <v>11</v>
      </c>
      <c r="B361" s="5"/>
      <c r="C361" s="5"/>
      <c r="D361" s="5"/>
      <c r="E361" s="6">
        <f>E359-E360</f>
        <v>-9641.7609999999986</v>
      </c>
      <c r="F361" s="6"/>
      <c r="G361" s="5"/>
      <c r="H361" s="5"/>
      <c r="I361" s="5"/>
      <c r="J361" s="5"/>
      <c r="K361" s="5"/>
    </row>
    <row r="362" spans="1:11" hidden="1"/>
    <row r="363" spans="1:11" hidden="1">
      <c r="A363" s="13">
        <v>44470</v>
      </c>
    </row>
    <row r="364" spans="1:11" hidden="1">
      <c r="A364" s="1" t="s">
        <v>1</v>
      </c>
      <c r="B364" s="1" t="s">
        <v>2</v>
      </c>
      <c r="C364" s="1" t="s">
        <v>3</v>
      </c>
      <c r="D364" s="1" t="s">
        <v>4</v>
      </c>
      <c r="E364" s="1" t="s">
        <v>5</v>
      </c>
      <c r="F364" s="1" t="s">
        <v>6</v>
      </c>
      <c r="G364" s="1" t="s">
        <v>12</v>
      </c>
      <c r="H364" s="1" t="s">
        <v>13</v>
      </c>
      <c r="I364" s="1" t="s">
        <v>14</v>
      </c>
      <c r="J364" s="1" t="s">
        <v>15</v>
      </c>
      <c r="K364" s="1" t="s">
        <v>16</v>
      </c>
    </row>
    <row r="365" spans="1:11" hidden="1">
      <c r="A365" s="5" t="s">
        <v>7</v>
      </c>
      <c r="B365" s="5">
        <f>C357</f>
        <v>154795</v>
      </c>
      <c r="C365" s="5">
        <v>155253</v>
      </c>
      <c r="D365" s="5">
        <f>C365-B365</f>
        <v>458</v>
      </c>
      <c r="E365" s="6"/>
      <c r="F365" s="6"/>
      <c r="G365" s="5" t="s">
        <v>17</v>
      </c>
      <c r="H365" s="5" t="s">
        <v>82</v>
      </c>
      <c r="I365" s="5">
        <v>33</v>
      </c>
      <c r="J365" s="5">
        <f>D365/I365</f>
        <v>13.878787878787879</v>
      </c>
      <c r="K365" s="6">
        <f>E367/D365</f>
        <v>0</v>
      </c>
    </row>
    <row r="366" spans="1:11" hidden="1">
      <c r="A366" s="5" t="s">
        <v>8</v>
      </c>
      <c r="B366" s="5">
        <f>C358</f>
        <v>154741</v>
      </c>
      <c r="C366" s="5">
        <v>154828</v>
      </c>
      <c r="D366" s="5">
        <f>C366-B366</f>
        <v>87</v>
      </c>
      <c r="E366" s="6">
        <f>(8666.44-4893.18-2528.08)*1.15</f>
        <v>1431.9570000000003</v>
      </c>
      <c r="F366" s="6">
        <f>962.88*1.15</f>
        <v>1107.3119999999999</v>
      </c>
      <c r="G366" s="5" t="s">
        <v>17</v>
      </c>
      <c r="H366" s="5" t="s">
        <v>83</v>
      </c>
      <c r="I366" s="5">
        <v>58</v>
      </c>
      <c r="J366" s="5">
        <f>D366/I366</f>
        <v>1.5</v>
      </c>
      <c r="K366" s="6">
        <f>E368/D366</f>
        <v>29.187000000000001</v>
      </c>
    </row>
    <row r="367" spans="1:11" hidden="1">
      <c r="A367" s="5" t="s">
        <v>9</v>
      </c>
      <c r="B367" s="5"/>
      <c r="C367" s="5"/>
      <c r="D367" s="5"/>
      <c r="E367" s="6">
        <f>E365</f>
        <v>0</v>
      </c>
      <c r="F367" s="6"/>
      <c r="G367" s="5"/>
      <c r="H367" s="5"/>
      <c r="I367" s="5"/>
      <c r="J367" s="5"/>
      <c r="K367" s="5"/>
    </row>
    <row r="368" spans="1:11" hidden="1">
      <c r="A368" s="5" t="s">
        <v>10</v>
      </c>
      <c r="B368" s="5"/>
      <c r="C368" s="5"/>
      <c r="D368" s="5"/>
      <c r="E368" s="6">
        <f>E366+F366</f>
        <v>2539.2690000000002</v>
      </c>
      <c r="F368" s="6"/>
      <c r="G368" s="5"/>
      <c r="H368" s="5"/>
      <c r="I368" s="5"/>
      <c r="J368" s="5"/>
      <c r="K368" s="5"/>
    </row>
    <row r="369" spans="1:11" hidden="1">
      <c r="A369" s="5" t="s">
        <v>11</v>
      </c>
      <c r="B369" s="5"/>
      <c r="C369" s="5"/>
      <c r="D369" s="5"/>
      <c r="E369" s="6">
        <f>E367-E368</f>
        <v>-2539.2690000000002</v>
      </c>
      <c r="F369" s="6"/>
      <c r="G369" s="5"/>
      <c r="H369" s="5"/>
      <c r="I369" s="5"/>
      <c r="J369" s="5"/>
      <c r="K369" s="5"/>
    </row>
    <row r="370" spans="1:11" hidden="1"/>
    <row r="371" spans="1:11" hidden="1">
      <c r="A371" s="13">
        <v>44501</v>
      </c>
    </row>
    <row r="372" spans="1:11" hidden="1">
      <c r="A372" s="1" t="s">
        <v>1</v>
      </c>
      <c r="B372" s="1" t="s">
        <v>2</v>
      </c>
      <c r="C372" s="1" t="s">
        <v>3</v>
      </c>
      <c r="D372" s="1" t="s">
        <v>4</v>
      </c>
      <c r="E372" s="1" t="s">
        <v>5</v>
      </c>
      <c r="F372" s="1" t="s">
        <v>6</v>
      </c>
      <c r="G372" s="1" t="s">
        <v>12</v>
      </c>
      <c r="H372" s="1" t="s">
        <v>13</v>
      </c>
      <c r="I372" s="1" t="s">
        <v>14</v>
      </c>
      <c r="J372" s="1" t="s">
        <v>15</v>
      </c>
      <c r="K372" s="1" t="s">
        <v>16</v>
      </c>
    </row>
    <row r="373" spans="1:11" hidden="1">
      <c r="A373" s="5" t="s">
        <v>7</v>
      </c>
      <c r="B373" s="5">
        <f>C365</f>
        <v>155253</v>
      </c>
      <c r="C373" s="5">
        <v>155607</v>
      </c>
      <c r="D373" s="5">
        <f>C373-B373</f>
        <v>354</v>
      </c>
      <c r="E373" s="6">
        <f>2555.28*1.15</f>
        <v>2938.5720000000001</v>
      </c>
      <c r="F373" s="6">
        <f>962.88*1.15</f>
        <v>1107.3119999999999</v>
      </c>
      <c r="G373" s="5" t="s">
        <v>17</v>
      </c>
      <c r="H373" s="5" t="s">
        <v>84</v>
      </c>
      <c r="I373" s="5">
        <v>28</v>
      </c>
      <c r="J373" s="5">
        <f>D373/I373</f>
        <v>12.642857142857142</v>
      </c>
      <c r="K373" s="6">
        <f>E375/D373</f>
        <v>11.429050847457628</v>
      </c>
    </row>
    <row r="374" spans="1:11" hidden="1">
      <c r="A374" s="5" t="s">
        <v>8</v>
      </c>
      <c r="B374" s="5">
        <f>C366</f>
        <v>154828</v>
      </c>
      <c r="C374" s="5">
        <v>164152</v>
      </c>
      <c r="D374" s="5">
        <f>C374-B374</f>
        <v>9324</v>
      </c>
      <c r="E374" s="6">
        <f>520013.54*1.15</f>
        <v>598015.57099999988</v>
      </c>
      <c r="F374" s="6">
        <f>962.88*1.15</f>
        <v>1107.3119999999999</v>
      </c>
      <c r="G374" s="5" t="s">
        <v>17</v>
      </c>
      <c r="H374" s="5" t="s">
        <v>85</v>
      </c>
      <c r="I374" s="5">
        <v>32</v>
      </c>
      <c r="J374" s="5">
        <f>D374/I374</f>
        <v>291.375</v>
      </c>
      <c r="K374" s="6">
        <f>E376/D374</f>
        <v>64.255993457743443</v>
      </c>
    </row>
    <row r="375" spans="1:11" hidden="1">
      <c r="A375" s="5" t="s">
        <v>9</v>
      </c>
      <c r="B375" s="5"/>
      <c r="C375" s="5"/>
      <c r="D375" s="5"/>
      <c r="E375" s="6">
        <f>E373+F373</f>
        <v>4045.884</v>
      </c>
      <c r="F375" s="6"/>
      <c r="G375" s="5"/>
      <c r="H375" s="5"/>
      <c r="I375" s="5"/>
      <c r="J375" s="5"/>
      <c r="K375" s="5"/>
    </row>
    <row r="376" spans="1:11" hidden="1">
      <c r="A376" s="5" t="s">
        <v>10</v>
      </c>
      <c r="B376" s="5"/>
      <c r="C376" s="5"/>
      <c r="D376" s="5"/>
      <c r="E376" s="6">
        <f>E374+F374</f>
        <v>599122.88299999991</v>
      </c>
      <c r="F376" s="6"/>
      <c r="G376" s="5"/>
      <c r="H376" s="5"/>
      <c r="I376" s="5"/>
      <c r="J376" s="5"/>
      <c r="K376" s="5"/>
    </row>
    <row r="377" spans="1:11" hidden="1">
      <c r="A377" s="5" t="s">
        <v>11</v>
      </c>
      <c r="B377" s="5"/>
      <c r="C377" s="5"/>
      <c r="D377" s="5"/>
      <c r="E377" s="6">
        <f>E375-E376</f>
        <v>-595076.99899999995</v>
      </c>
      <c r="F377" s="6"/>
      <c r="G377" s="5"/>
      <c r="H377" s="5"/>
      <c r="I377" s="5"/>
      <c r="J377" s="5"/>
      <c r="K377" s="5"/>
    </row>
    <row r="378" spans="1:11" hidden="1"/>
    <row r="379" spans="1:11" hidden="1">
      <c r="A379" s="13">
        <v>44531</v>
      </c>
    </row>
    <row r="380" spans="1:11" hidden="1">
      <c r="A380" s="1" t="s">
        <v>1</v>
      </c>
      <c r="B380" s="1" t="s">
        <v>2</v>
      </c>
      <c r="C380" s="1" t="s">
        <v>3</v>
      </c>
      <c r="D380" s="1" t="s">
        <v>4</v>
      </c>
      <c r="E380" s="1" t="s">
        <v>5</v>
      </c>
      <c r="F380" s="1" t="s">
        <v>6</v>
      </c>
      <c r="G380" s="1" t="s">
        <v>12</v>
      </c>
      <c r="H380" s="1" t="s">
        <v>13</v>
      </c>
      <c r="I380" s="1" t="s">
        <v>14</v>
      </c>
      <c r="J380" s="1" t="s">
        <v>15</v>
      </c>
      <c r="K380" s="1" t="s">
        <v>16</v>
      </c>
    </row>
    <row r="381" spans="1:11" hidden="1">
      <c r="A381" s="5" t="s">
        <v>7</v>
      </c>
      <c r="B381" s="5">
        <f>C373</f>
        <v>155607</v>
      </c>
      <c r="C381" s="5">
        <v>155950</v>
      </c>
      <c r="D381" s="5">
        <f>C381-B381</f>
        <v>343</v>
      </c>
      <c r="E381" s="6">
        <f>2332.2*1.15</f>
        <v>2682.0299999999997</v>
      </c>
      <c r="F381" s="6">
        <f>962.88*1.15</f>
        <v>1107.3119999999999</v>
      </c>
      <c r="G381" s="5" t="s">
        <v>17</v>
      </c>
      <c r="H381" s="5" t="s">
        <v>86</v>
      </c>
      <c r="I381" s="5">
        <v>31</v>
      </c>
      <c r="J381" s="5">
        <f>D381/I381</f>
        <v>11.064516129032258</v>
      </c>
      <c r="K381" s="6">
        <f>E383/D381</f>
        <v>11.047644314868803</v>
      </c>
    </row>
    <row r="382" spans="1:11" hidden="1">
      <c r="A382" s="5" t="s">
        <v>8</v>
      </c>
      <c r="B382" s="5">
        <f>C374</f>
        <v>164152</v>
      </c>
      <c r="C382" s="5">
        <v>164543</v>
      </c>
      <c r="D382" s="5">
        <f>C382-B382</f>
        <v>391</v>
      </c>
      <c r="E382" s="6">
        <f>4193.3*1.15</f>
        <v>4822.2950000000001</v>
      </c>
      <c r="F382" s="6">
        <f>962.88*1.15</f>
        <v>1107.3119999999999</v>
      </c>
      <c r="G382" s="5" t="s">
        <v>17</v>
      </c>
      <c r="H382" s="5" t="s">
        <v>87</v>
      </c>
      <c r="I382" s="5">
        <v>28</v>
      </c>
      <c r="J382" s="5">
        <f>D382/I382</f>
        <v>13.964285714285714</v>
      </c>
      <c r="K382" s="6">
        <f>E384/D382</f>
        <v>15.165235294117647</v>
      </c>
    </row>
    <row r="383" spans="1:11" hidden="1">
      <c r="A383" s="5" t="s">
        <v>9</v>
      </c>
      <c r="B383" s="5"/>
      <c r="C383" s="5"/>
      <c r="D383" s="5"/>
      <c r="E383" s="6">
        <f>E381+F381</f>
        <v>3789.3419999999996</v>
      </c>
      <c r="F383" s="6"/>
      <c r="G383" s="5"/>
      <c r="H383" s="5"/>
      <c r="I383" s="5"/>
      <c r="J383" s="5"/>
      <c r="K383" s="5"/>
    </row>
    <row r="384" spans="1:11" hidden="1">
      <c r="A384" s="5" t="s">
        <v>10</v>
      </c>
      <c r="B384" s="5"/>
      <c r="C384" s="5"/>
      <c r="D384" s="5"/>
      <c r="E384" s="6">
        <f>E382+F382</f>
        <v>5929.607</v>
      </c>
      <c r="F384" s="6"/>
      <c r="G384" s="5"/>
      <c r="H384" s="5"/>
      <c r="I384" s="5"/>
      <c r="J384" s="5"/>
      <c r="K384" s="5"/>
    </row>
    <row r="385" spans="1:11" hidden="1">
      <c r="A385" s="5" t="s">
        <v>11</v>
      </c>
      <c r="B385" s="5"/>
      <c r="C385" s="5"/>
      <c r="D385" s="5"/>
      <c r="E385" s="6">
        <f>E383-E384</f>
        <v>-2140.2650000000003</v>
      </c>
      <c r="F385" s="6"/>
      <c r="G385" s="5"/>
      <c r="H385" s="5"/>
      <c r="I385" s="5"/>
      <c r="J385" s="5"/>
      <c r="K385" s="5"/>
    </row>
    <row r="387" spans="1:11">
      <c r="A387" s="13">
        <v>44562</v>
      </c>
    </row>
    <row r="388" spans="1:11">
      <c r="A388" s="1" t="s">
        <v>1</v>
      </c>
      <c r="B388" s="1" t="s">
        <v>2</v>
      </c>
      <c r="C388" s="1" t="s">
        <v>3</v>
      </c>
      <c r="D388" s="1" t="s">
        <v>4</v>
      </c>
      <c r="E388" s="1" t="s">
        <v>5</v>
      </c>
      <c r="F388" s="1" t="s">
        <v>6</v>
      </c>
      <c r="G388" s="1" t="s">
        <v>12</v>
      </c>
      <c r="H388" s="1" t="s">
        <v>13</v>
      </c>
      <c r="I388" s="1" t="s">
        <v>14</v>
      </c>
      <c r="J388" s="1" t="s">
        <v>15</v>
      </c>
      <c r="K388" s="1" t="s">
        <v>16</v>
      </c>
    </row>
    <row r="389" spans="1:11">
      <c r="A389" s="5" t="s">
        <v>7</v>
      </c>
      <c r="B389" s="5">
        <f>C381</f>
        <v>155950</v>
      </c>
      <c r="C389" s="5">
        <v>156311</v>
      </c>
      <c r="D389" s="5">
        <f>C389-B389</f>
        <v>361</v>
      </c>
      <c r="E389" s="6">
        <f>2697.24*1.15</f>
        <v>3101.8259999999996</v>
      </c>
      <c r="F389" s="6">
        <f>962.88*1.15</f>
        <v>1107.3119999999999</v>
      </c>
      <c r="G389" s="5" t="s">
        <v>17</v>
      </c>
      <c r="H389" s="5" t="s">
        <v>88</v>
      </c>
      <c r="I389" s="5">
        <v>31</v>
      </c>
      <c r="J389" s="5">
        <f>D389/I389</f>
        <v>11.64516129032258</v>
      </c>
      <c r="K389" s="6">
        <f>E391/D389</f>
        <v>11.659662049861494</v>
      </c>
    </row>
    <row r="390" spans="1:11">
      <c r="A390" s="5" t="s">
        <v>8</v>
      </c>
      <c r="B390" s="5">
        <v>155264</v>
      </c>
      <c r="C390" s="5">
        <v>156143</v>
      </c>
      <c r="D390" s="5">
        <f>C390-B390</f>
        <v>879</v>
      </c>
      <c r="E390" s="6">
        <f>(8397.99-1139.74-2537.21)*1.15</f>
        <v>5429.1959999999999</v>
      </c>
      <c r="F390" s="6">
        <f>962.88*1.15</f>
        <v>1107.3119999999999</v>
      </c>
      <c r="G390" s="5" t="s">
        <v>17</v>
      </c>
      <c r="H390" s="5" t="s">
        <v>89</v>
      </c>
      <c r="I390" s="5">
        <v>70</v>
      </c>
      <c r="J390" s="5">
        <f>D390/I390</f>
        <v>12.557142857142857</v>
      </c>
      <c r="K390" s="6">
        <f>E392/D390</f>
        <v>7.4363003412969277</v>
      </c>
    </row>
    <row r="391" spans="1:11">
      <c r="A391" s="5" t="s">
        <v>9</v>
      </c>
      <c r="B391" s="5"/>
      <c r="C391" s="5"/>
      <c r="D391" s="5"/>
      <c r="E391" s="6">
        <f>E389+F389</f>
        <v>4209.137999999999</v>
      </c>
      <c r="F391" s="6"/>
      <c r="G391" s="5"/>
      <c r="H391" s="5"/>
      <c r="I391" s="5"/>
      <c r="J391" s="5"/>
      <c r="K391" s="5"/>
    </row>
    <row r="392" spans="1:11">
      <c r="A392" s="5" t="s">
        <v>10</v>
      </c>
      <c r="B392" s="5"/>
      <c r="C392" s="5"/>
      <c r="D392" s="5"/>
      <c r="E392" s="6">
        <f>E390+F390</f>
        <v>6536.5079999999998</v>
      </c>
      <c r="F392" s="6"/>
      <c r="G392" s="5"/>
      <c r="H392" s="5"/>
      <c r="I392" s="5"/>
      <c r="J392" s="5"/>
      <c r="K392" s="5"/>
    </row>
    <row r="393" spans="1:11">
      <c r="A393" s="5" t="s">
        <v>11</v>
      </c>
      <c r="B393" s="5"/>
      <c r="C393" s="5"/>
      <c r="D393" s="5"/>
      <c r="E393" s="6">
        <f>E391-E392</f>
        <v>-2327.3700000000008</v>
      </c>
      <c r="F393" s="6"/>
      <c r="G393" s="5"/>
      <c r="H393" s="5"/>
      <c r="I393" s="5"/>
      <c r="J393" s="5"/>
      <c r="K393" s="5"/>
    </row>
    <row r="395" spans="1:11">
      <c r="A395" s="13">
        <v>44593</v>
      </c>
    </row>
    <row r="396" spans="1:11">
      <c r="A396" s="1" t="s">
        <v>1</v>
      </c>
      <c r="B396" s="1" t="s">
        <v>2</v>
      </c>
      <c r="C396" s="1" t="s">
        <v>3</v>
      </c>
      <c r="D396" s="1" t="s">
        <v>4</v>
      </c>
      <c r="E396" s="1" t="s">
        <v>5</v>
      </c>
      <c r="F396" s="1" t="s">
        <v>6</v>
      </c>
      <c r="G396" s="1" t="s">
        <v>12</v>
      </c>
      <c r="H396" s="1" t="s">
        <v>13</v>
      </c>
      <c r="I396" s="1" t="s">
        <v>14</v>
      </c>
      <c r="J396" s="1" t="s">
        <v>15</v>
      </c>
      <c r="K396" s="1" t="s">
        <v>16</v>
      </c>
    </row>
    <row r="397" spans="1:11">
      <c r="A397" s="5" t="s">
        <v>7</v>
      </c>
      <c r="B397" s="5">
        <f>C389</f>
        <v>156311</v>
      </c>
      <c r="C397" s="5">
        <v>156928</v>
      </c>
      <c r="D397" s="5">
        <f>C397-B397</f>
        <v>617</v>
      </c>
      <c r="E397" s="6">
        <f>8499.82*1.15</f>
        <v>9774.7929999999997</v>
      </c>
      <c r="F397" s="6">
        <f>962.88*1.15</f>
        <v>1107.3119999999999</v>
      </c>
      <c r="G397" s="5" t="s">
        <v>17</v>
      </c>
      <c r="H397" s="5" t="s">
        <v>90</v>
      </c>
      <c r="I397" s="5">
        <v>28</v>
      </c>
      <c r="J397" s="5">
        <f>D397/I397</f>
        <v>22.035714285714285</v>
      </c>
      <c r="K397" s="6">
        <f>E399/D397</f>
        <v>17.637123176661262</v>
      </c>
    </row>
    <row r="398" spans="1:11">
      <c r="A398" s="5" t="s">
        <v>8</v>
      </c>
      <c r="B398" s="5">
        <f>C390</f>
        <v>156143</v>
      </c>
      <c r="C398" s="5">
        <v>156348</v>
      </c>
      <c r="D398" s="5">
        <f>C398-B398</f>
        <v>205</v>
      </c>
      <c r="E398" s="6">
        <f>2006.04*1.15</f>
        <v>2306.9459999999999</v>
      </c>
      <c r="F398" s="6">
        <f>962.88*1.15</f>
        <v>1107.3119999999999</v>
      </c>
      <c r="G398" s="5" t="s">
        <v>17</v>
      </c>
      <c r="H398" s="5" t="s">
        <v>91</v>
      </c>
      <c r="I398" s="5">
        <v>16</v>
      </c>
      <c r="J398" s="5">
        <f>D398/I398</f>
        <v>12.8125</v>
      </c>
      <c r="K398" s="6">
        <f>E400/D398</f>
        <v>16.654917073170729</v>
      </c>
    </row>
    <row r="399" spans="1:11">
      <c r="A399" s="5" t="s">
        <v>9</v>
      </c>
      <c r="B399" s="5"/>
      <c r="C399" s="5"/>
      <c r="D399" s="5"/>
      <c r="E399" s="6">
        <f>E397+F397</f>
        <v>10882.105</v>
      </c>
      <c r="F399" s="6"/>
      <c r="G399" s="5"/>
      <c r="H399" s="5"/>
      <c r="I399" s="5"/>
      <c r="J399" s="5"/>
      <c r="K399" s="5"/>
    </row>
    <row r="400" spans="1:11">
      <c r="A400" s="5" t="s">
        <v>10</v>
      </c>
      <c r="B400" s="5"/>
      <c r="C400" s="5"/>
      <c r="D400" s="5"/>
      <c r="E400" s="6">
        <f>E398+F398</f>
        <v>3414.2579999999998</v>
      </c>
      <c r="F400" s="6"/>
      <c r="G400" s="5"/>
      <c r="H400" s="5"/>
      <c r="I400" s="5"/>
      <c r="J400" s="5"/>
      <c r="K400" s="5"/>
    </row>
    <row r="401" spans="1:11">
      <c r="A401" s="5" t="s">
        <v>11</v>
      </c>
      <c r="B401" s="5"/>
      <c r="C401" s="5"/>
      <c r="D401" s="5"/>
      <c r="E401" s="6">
        <f>E399-E400</f>
        <v>7467.8469999999998</v>
      </c>
      <c r="F401" s="6"/>
      <c r="G401" s="5"/>
      <c r="H401" s="5"/>
      <c r="I401" s="5"/>
      <c r="J401" s="5"/>
      <c r="K401" s="5"/>
    </row>
    <row r="403" spans="1:11">
      <c r="A403" s="13">
        <v>44621</v>
      </c>
    </row>
    <row r="404" spans="1:11">
      <c r="A404" s="1" t="s">
        <v>1</v>
      </c>
      <c r="B404" s="1" t="s">
        <v>2</v>
      </c>
      <c r="C404" s="1" t="s">
        <v>3</v>
      </c>
      <c r="D404" s="1" t="s">
        <v>4</v>
      </c>
      <c r="E404" s="1" t="s">
        <v>5</v>
      </c>
      <c r="F404" s="1" t="s">
        <v>6</v>
      </c>
      <c r="G404" s="1" t="s">
        <v>12</v>
      </c>
      <c r="H404" s="1" t="s">
        <v>13</v>
      </c>
      <c r="I404" s="1" t="s">
        <v>14</v>
      </c>
      <c r="J404" s="1" t="s">
        <v>15</v>
      </c>
      <c r="K404" s="1" t="s">
        <v>16</v>
      </c>
    </row>
    <row r="405" spans="1:11">
      <c r="A405" s="5" t="s">
        <v>7</v>
      </c>
      <c r="B405" s="5">
        <f>C397</f>
        <v>156928</v>
      </c>
      <c r="C405" s="5">
        <v>157129</v>
      </c>
      <c r="D405" s="5">
        <f>C405-B405</f>
        <v>201</v>
      </c>
      <c r="E405" s="6">
        <v>0</v>
      </c>
      <c r="F405" s="6">
        <f>962.88*1.15</f>
        <v>1107.3119999999999</v>
      </c>
      <c r="G405" s="5" t="s">
        <v>17</v>
      </c>
      <c r="H405" s="5" t="s">
        <v>92</v>
      </c>
      <c r="I405" s="5">
        <v>31</v>
      </c>
      <c r="J405" s="5">
        <f>D405/I405</f>
        <v>6.4838709677419351</v>
      </c>
      <c r="K405" s="6">
        <f>E407/D405</f>
        <v>5.5090149253731342</v>
      </c>
    </row>
    <row r="406" spans="1:11">
      <c r="A406" s="5" t="s">
        <v>8</v>
      </c>
      <c r="B406" s="5">
        <f>C398</f>
        <v>156348</v>
      </c>
      <c r="C406" s="5">
        <v>156826</v>
      </c>
      <c r="D406" s="5">
        <f>C406-B406</f>
        <v>478</v>
      </c>
      <c r="E406" s="6">
        <f>5305.76*1.15</f>
        <v>6101.6239999999998</v>
      </c>
      <c r="F406" s="6">
        <f>962.88*1.15</f>
        <v>1107.3119999999999</v>
      </c>
      <c r="G406" s="5" t="s">
        <v>17</v>
      </c>
      <c r="H406" s="5" t="s">
        <v>93</v>
      </c>
      <c r="I406" s="5">
        <v>33</v>
      </c>
      <c r="J406" s="5">
        <f>D406/I406</f>
        <v>14.484848484848484</v>
      </c>
      <c r="K406" s="6">
        <f>E408/D406</f>
        <v>15.081456066945606</v>
      </c>
    </row>
    <row r="407" spans="1:11">
      <c r="A407" s="5" t="s">
        <v>9</v>
      </c>
      <c r="B407" s="5"/>
      <c r="C407" s="5"/>
      <c r="D407" s="5"/>
      <c r="E407" s="6">
        <f>E405+F405</f>
        <v>1107.3119999999999</v>
      </c>
      <c r="F407" s="6"/>
      <c r="G407" s="5"/>
      <c r="H407" s="5"/>
      <c r="I407" s="5"/>
      <c r="J407" s="5"/>
      <c r="K407" s="5"/>
    </row>
    <row r="408" spans="1:11">
      <c r="A408" s="5" t="s">
        <v>10</v>
      </c>
      <c r="B408" s="5"/>
      <c r="C408" s="5"/>
      <c r="D408" s="5"/>
      <c r="E408" s="6">
        <f>E406+F406</f>
        <v>7208.9359999999997</v>
      </c>
      <c r="F408" s="6"/>
      <c r="G408" s="5"/>
      <c r="H408" s="5"/>
      <c r="I408" s="5"/>
      <c r="J408" s="5"/>
      <c r="K408" s="5"/>
    </row>
    <row r="409" spans="1:11">
      <c r="A409" s="5" t="s">
        <v>11</v>
      </c>
      <c r="B409" s="5"/>
      <c r="C409" s="5"/>
      <c r="D409" s="5"/>
      <c r="E409" s="6">
        <f>E407-E408</f>
        <v>-6101.6239999999998</v>
      </c>
      <c r="F409" s="6"/>
      <c r="G409" s="5"/>
      <c r="H409" s="5"/>
      <c r="I409" s="5"/>
      <c r="J409" s="5"/>
      <c r="K409" s="5"/>
    </row>
    <row r="411" spans="1:11">
      <c r="A411" s="13">
        <v>44652</v>
      </c>
    </row>
    <row r="412" spans="1:11">
      <c r="A412" s="1" t="s">
        <v>1</v>
      </c>
      <c r="B412" s="1" t="s">
        <v>2</v>
      </c>
      <c r="C412" s="1" t="s">
        <v>3</v>
      </c>
      <c r="D412" s="1" t="s">
        <v>4</v>
      </c>
      <c r="E412" s="1" t="s">
        <v>5</v>
      </c>
      <c r="F412" s="1" t="s">
        <v>6</v>
      </c>
      <c r="G412" s="1" t="s">
        <v>12</v>
      </c>
      <c r="H412" s="1" t="s">
        <v>13</v>
      </c>
      <c r="I412" s="1" t="s">
        <v>14</v>
      </c>
      <c r="J412" s="1" t="s">
        <v>15</v>
      </c>
      <c r="K412" s="1" t="s">
        <v>16</v>
      </c>
    </row>
    <row r="413" spans="1:11">
      <c r="A413" s="5" t="s">
        <v>7</v>
      </c>
      <c r="B413" s="5">
        <f>C405</f>
        <v>157129</v>
      </c>
      <c r="C413" s="5">
        <v>157552</v>
      </c>
      <c r="D413" s="5">
        <f>C413-B413</f>
        <v>423</v>
      </c>
      <c r="E413" s="6">
        <f>3992.87*1.15</f>
        <v>4591.8004999999994</v>
      </c>
      <c r="F413" s="6">
        <f>962.88*1.15</f>
        <v>1107.3119999999999</v>
      </c>
      <c r="G413" s="5" t="s">
        <v>17</v>
      </c>
      <c r="H413" s="5" t="s">
        <v>94</v>
      </c>
      <c r="I413" s="5">
        <v>30</v>
      </c>
      <c r="J413" s="5">
        <f>D413/I413</f>
        <v>14.1</v>
      </c>
      <c r="K413" s="6">
        <f>E415/D413</f>
        <v>13.473079196217492</v>
      </c>
    </row>
    <row r="414" spans="1:11">
      <c r="A414" s="5" t="s">
        <v>8</v>
      </c>
      <c r="B414" s="5">
        <f>C406</f>
        <v>156826</v>
      </c>
      <c r="C414" s="5">
        <v>157231</v>
      </c>
      <c r="D414" s="5">
        <f>C414-B414</f>
        <v>405</v>
      </c>
      <c r="E414" s="6">
        <f>4197.94*1.15</f>
        <v>4827.6309999999994</v>
      </c>
      <c r="F414" s="6">
        <f>962.88*1.15</f>
        <v>1107.3119999999999</v>
      </c>
      <c r="G414" s="5" t="s">
        <v>17</v>
      </c>
      <c r="H414" s="5" t="s">
        <v>95</v>
      </c>
      <c r="I414" s="5">
        <v>30</v>
      </c>
      <c r="J414" s="5">
        <f>D414/I414</f>
        <v>13.5</v>
      </c>
      <c r="K414" s="6">
        <f>E416/D414</f>
        <v>14.654180246913578</v>
      </c>
    </row>
    <row r="415" spans="1:11">
      <c r="A415" s="5" t="s">
        <v>9</v>
      </c>
      <c r="B415" s="5"/>
      <c r="C415" s="5"/>
      <c r="D415" s="5"/>
      <c r="E415" s="6">
        <f>E413+F413</f>
        <v>5699.1124999999993</v>
      </c>
      <c r="F415" s="6"/>
      <c r="G415" s="5"/>
      <c r="H415" s="5"/>
      <c r="I415" s="5"/>
      <c r="J415" s="5"/>
      <c r="K415" s="5"/>
    </row>
    <row r="416" spans="1:11">
      <c r="A416" s="5" t="s">
        <v>10</v>
      </c>
      <c r="B416" s="5"/>
      <c r="C416" s="5"/>
      <c r="D416" s="5"/>
      <c r="E416" s="6">
        <f>E414+F414</f>
        <v>5934.9429999999993</v>
      </c>
      <c r="F416" s="6"/>
      <c r="G416" s="5"/>
      <c r="H416" s="5"/>
      <c r="I416" s="5"/>
      <c r="J416" s="5"/>
      <c r="K416" s="5"/>
    </row>
    <row r="417" spans="1:11">
      <c r="A417" s="5" t="s">
        <v>11</v>
      </c>
      <c r="B417" s="5"/>
      <c r="C417" s="5"/>
      <c r="D417" s="5"/>
      <c r="E417" s="6">
        <f>E415-E416</f>
        <v>-235.83050000000003</v>
      </c>
      <c r="F417" s="6"/>
      <c r="G417" s="5"/>
      <c r="H417" s="5"/>
      <c r="I417" s="5"/>
      <c r="J417" s="5"/>
      <c r="K417" s="5"/>
    </row>
    <row r="419" spans="1:11">
      <c r="A419" s="13">
        <v>44682</v>
      </c>
    </row>
    <row r="420" spans="1:11">
      <c r="A420" s="1" t="s">
        <v>1</v>
      </c>
      <c r="B420" s="1" t="s">
        <v>2</v>
      </c>
      <c r="C420" s="1" t="s">
        <v>3</v>
      </c>
      <c r="D420" s="1" t="s">
        <v>4</v>
      </c>
      <c r="E420" s="1" t="s">
        <v>5</v>
      </c>
      <c r="F420" s="1" t="s">
        <v>6</v>
      </c>
      <c r="G420" s="1" t="s">
        <v>12</v>
      </c>
      <c r="H420" s="1" t="s">
        <v>13</v>
      </c>
      <c r="I420" s="1" t="s">
        <v>14</v>
      </c>
      <c r="J420" s="1" t="s">
        <v>15</v>
      </c>
      <c r="K420" s="1" t="s">
        <v>16</v>
      </c>
    </row>
    <row r="421" spans="1:11">
      <c r="A421" s="5" t="s">
        <v>7</v>
      </c>
      <c r="B421" s="5">
        <f>C413</f>
        <v>157552</v>
      </c>
      <c r="C421" s="5">
        <v>158002</v>
      </c>
      <c r="D421" s="5">
        <f>C421-B421</f>
        <v>450</v>
      </c>
      <c r="E421" s="6">
        <f>4564.46*1.15</f>
        <v>5249.1289999999999</v>
      </c>
      <c r="F421" s="6">
        <f>962.88*1.15</f>
        <v>1107.3119999999999</v>
      </c>
      <c r="G421" s="5" t="s">
        <v>17</v>
      </c>
      <c r="H421" s="5" t="s">
        <v>96</v>
      </c>
      <c r="I421" s="5">
        <v>31</v>
      </c>
      <c r="J421" s="5">
        <f>D421/I421</f>
        <v>14.516129032258064</v>
      </c>
      <c r="K421" s="6">
        <f>E423/D421</f>
        <v>14.125424444444445</v>
      </c>
    </row>
    <row r="422" spans="1:11">
      <c r="A422" s="5" t="s">
        <v>8</v>
      </c>
      <c r="B422" s="5">
        <f>C414</f>
        <v>157231</v>
      </c>
      <c r="C422" s="5">
        <v>157648</v>
      </c>
      <c r="D422" s="5">
        <f>C422-B422</f>
        <v>417</v>
      </c>
      <c r="E422" s="6">
        <f>4743.72*1.15</f>
        <v>5455.2780000000002</v>
      </c>
      <c r="F422" s="6">
        <f>962.88*1.15</f>
        <v>1107.3119999999999</v>
      </c>
      <c r="G422" s="5" t="s">
        <v>17</v>
      </c>
      <c r="H422" s="5" t="s">
        <v>97</v>
      </c>
      <c r="I422" s="5">
        <v>28</v>
      </c>
      <c r="J422" s="5">
        <f>D422/I422</f>
        <v>14.892857142857142</v>
      </c>
      <c r="K422" s="6">
        <f>E424/D422</f>
        <v>15.737625899280577</v>
      </c>
    </row>
    <row r="423" spans="1:11">
      <c r="A423" s="5" t="s">
        <v>9</v>
      </c>
      <c r="B423" s="5"/>
      <c r="C423" s="5"/>
      <c r="D423" s="5"/>
      <c r="E423" s="6">
        <f>E421+F421</f>
        <v>6356.4409999999998</v>
      </c>
      <c r="F423" s="6"/>
      <c r="G423" s="5"/>
      <c r="H423" s="5"/>
      <c r="I423" s="5"/>
      <c r="J423" s="5"/>
      <c r="K423" s="5"/>
    </row>
    <row r="424" spans="1:11">
      <c r="A424" s="5" t="s">
        <v>10</v>
      </c>
      <c r="B424" s="5"/>
      <c r="C424" s="5"/>
      <c r="D424" s="5"/>
      <c r="E424" s="6">
        <f>E422+F422</f>
        <v>6562.59</v>
      </c>
      <c r="F424" s="6"/>
      <c r="G424" s="5"/>
      <c r="H424" s="5"/>
      <c r="I424" s="5"/>
      <c r="J424" s="5"/>
      <c r="K424" s="5"/>
    </row>
    <row r="425" spans="1:11">
      <c r="A425" s="5" t="s">
        <v>11</v>
      </c>
      <c r="B425" s="5"/>
      <c r="C425" s="5"/>
      <c r="D425" s="5"/>
      <c r="E425" s="6">
        <f>E423-E424</f>
        <v>-206.14900000000034</v>
      </c>
      <c r="F425" s="6"/>
      <c r="G425" s="5"/>
      <c r="H425" s="5"/>
      <c r="I425" s="5"/>
      <c r="J425" s="5"/>
      <c r="K425" s="5"/>
    </row>
    <row r="427" spans="1:11">
      <c r="A427" s="13">
        <v>44713</v>
      </c>
    </row>
    <row r="428" spans="1:11">
      <c r="A428" s="1" t="s">
        <v>1</v>
      </c>
      <c r="B428" s="1" t="s">
        <v>2</v>
      </c>
      <c r="C428" s="1" t="s">
        <v>3</v>
      </c>
      <c r="D428" s="1" t="s">
        <v>4</v>
      </c>
      <c r="E428" s="1" t="s">
        <v>5</v>
      </c>
      <c r="F428" s="1" t="s">
        <v>6</v>
      </c>
      <c r="G428" s="1" t="s">
        <v>12</v>
      </c>
      <c r="H428" s="1" t="s">
        <v>13</v>
      </c>
      <c r="I428" s="1" t="s">
        <v>14</v>
      </c>
      <c r="J428" s="1" t="s">
        <v>15</v>
      </c>
      <c r="K428" s="1" t="s">
        <v>16</v>
      </c>
    </row>
    <row r="429" spans="1:11">
      <c r="A429" s="5" t="s">
        <v>7</v>
      </c>
      <c r="B429" s="5">
        <f>C421</f>
        <v>158002</v>
      </c>
      <c r="C429" s="5">
        <v>158473</v>
      </c>
      <c r="D429" s="5">
        <f>C429-B429</f>
        <v>471</v>
      </c>
      <c r="E429" s="6">
        <f>5009.03*1.15</f>
        <v>5760.3844999999992</v>
      </c>
      <c r="F429" s="6">
        <f>1056.72*1.15</f>
        <v>1215.2279999999998</v>
      </c>
      <c r="G429" s="5" t="s">
        <v>17</v>
      </c>
      <c r="H429" s="5" t="s">
        <v>98</v>
      </c>
      <c r="I429" s="5">
        <v>34</v>
      </c>
      <c r="J429" s="5">
        <f>D429/I429</f>
        <v>13.852941176470589</v>
      </c>
      <c r="K429" s="6">
        <f>E431/D429</f>
        <v>14.810217622080678</v>
      </c>
    </row>
    <row r="430" spans="1:11">
      <c r="A430" s="5" t="s">
        <v>8</v>
      </c>
      <c r="B430" s="5">
        <f>C422</f>
        <v>157648</v>
      </c>
      <c r="C430" s="5">
        <v>158078</v>
      </c>
      <c r="D430" s="5">
        <f>C430-B430</f>
        <v>430</v>
      </c>
      <c r="E430" s="6">
        <f>4435.47*1.15</f>
        <v>5100.7905000000001</v>
      </c>
      <c r="F430" s="6">
        <f>1056.72*1.15</f>
        <v>1215.2279999999998</v>
      </c>
      <c r="G430" s="5" t="s">
        <v>17</v>
      </c>
      <c r="H430" s="5" t="s">
        <v>99</v>
      </c>
      <c r="I430" s="5">
        <v>32</v>
      </c>
      <c r="J430" s="5">
        <f>D430/I430</f>
        <v>13.4375</v>
      </c>
      <c r="K430" s="6">
        <f>E432/D430</f>
        <v>14.688415116279071</v>
      </c>
    </row>
    <row r="431" spans="1:11">
      <c r="A431" s="5" t="s">
        <v>9</v>
      </c>
      <c r="B431" s="5"/>
      <c r="C431" s="5"/>
      <c r="D431" s="5"/>
      <c r="E431" s="6">
        <f>E429+F429</f>
        <v>6975.6124999999993</v>
      </c>
      <c r="F431" s="6"/>
      <c r="G431" s="5"/>
      <c r="H431" s="5"/>
      <c r="I431" s="5"/>
      <c r="J431" s="5"/>
      <c r="K431" s="5"/>
    </row>
    <row r="432" spans="1:11">
      <c r="A432" s="5" t="s">
        <v>10</v>
      </c>
      <c r="B432" s="5"/>
      <c r="C432" s="5"/>
      <c r="D432" s="5"/>
      <c r="E432" s="6">
        <f>E430+F430</f>
        <v>6316.0185000000001</v>
      </c>
      <c r="F432" s="6"/>
      <c r="G432" s="5"/>
      <c r="H432" s="5"/>
      <c r="I432" s="5"/>
      <c r="J432" s="5"/>
      <c r="K432" s="5"/>
    </row>
    <row r="433" spans="1:11">
      <c r="A433" s="5" t="s">
        <v>11</v>
      </c>
      <c r="B433" s="5"/>
      <c r="C433" s="5"/>
      <c r="D433" s="5"/>
      <c r="E433" s="6">
        <f>E431-E432</f>
        <v>659.59399999999914</v>
      </c>
      <c r="F433" s="6"/>
      <c r="G433" s="5"/>
      <c r="H433" s="5"/>
      <c r="I433" s="5"/>
      <c r="J433" s="5"/>
      <c r="K433" s="5"/>
    </row>
    <row r="435" spans="1:11">
      <c r="A435" s="13">
        <v>44743</v>
      </c>
    </row>
    <row r="436" spans="1:11">
      <c r="A436" s="1" t="s">
        <v>1</v>
      </c>
      <c r="B436" s="1" t="s">
        <v>2</v>
      </c>
      <c r="C436" s="1" t="s">
        <v>3</v>
      </c>
      <c r="D436" s="1" t="s">
        <v>4</v>
      </c>
      <c r="E436" s="1" t="s">
        <v>5</v>
      </c>
      <c r="F436" s="1" t="s">
        <v>6</v>
      </c>
      <c r="G436" s="1" t="s">
        <v>12</v>
      </c>
      <c r="H436" s="1" t="s">
        <v>13</v>
      </c>
      <c r="I436" s="1" t="s">
        <v>14</v>
      </c>
      <c r="J436" s="1" t="s">
        <v>15</v>
      </c>
      <c r="K436" s="1" t="s">
        <v>16</v>
      </c>
    </row>
    <row r="437" spans="1:11">
      <c r="A437" s="5" t="s">
        <v>7</v>
      </c>
      <c r="B437" s="5">
        <f>C429</f>
        <v>158473</v>
      </c>
      <c r="C437" s="5">
        <v>158855</v>
      </c>
      <c r="D437" s="5">
        <f>C437-B437</f>
        <v>382</v>
      </c>
      <c r="E437" s="6">
        <f>3429.98*1.15</f>
        <v>3944.4769999999999</v>
      </c>
      <c r="F437" s="6">
        <f>1056.72*1.15</f>
        <v>1215.2279999999998</v>
      </c>
      <c r="G437" s="5" t="s">
        <v>17</v>
      </c>
      <c r="H437" s="5" t="s">
        <v>100</v>
      </c>
      <c r="I437" s="5">
        <v>27</v>
      </c>
      <c r="J437" s="5">
        <f>D437/I437</f>
        <v>14.148148148148149</v>
      </c>
      <c r="K437" s="6">
        <f>E439/D437</f>
        <v>13.507081151832461</v>
      </c>
    </row>
    <row r="438" spans="1:11">
      <c r="A438" s="5" t="s">
        <v>8</v>
      </c>
      <c r="B438" s="5">
        <f>C430</f>
        <v>158078</v>
      </c>
      <c r="C438" s="5">
        <v>158522</v>
      </c>
      <c r="D438" s="5">
        <f>C438-B438</f>
        <v>444</v>
      </c>
      <c r="E438" s="6">
        <f>(3335.27+1372.7)*1.15</f>
        <v>5414.1655000000001</v>
      </c>
      <c r="F438" s="6">
        <f>1056.72*1.15</f>
        <v>1215.2279999999998</v>
      </c>
      <c r="G438" s="5" t="s">
        <v>17</v>
      </c>
      <c r="H438" s="5" t="s">
        <v>101</v>
      </c>
      <c r="I438" s="5">
        <v>33</v>
      </c>
      <c r="J438" s="5">
        <f>D438/I438</f>
        <v>13.454545454545455</v>
      </c>
      <c r="K438" s="6">
        <f>E440/D438</f>
        <v>14.931066441441441</v>
      </c>
    </row>
    <row r="439" spans="1:11">
      <c r="A439" s="5" t="s">
        <v>9</v>
      </c>
      <c r="B439" s="5"/>
      <c r="C439" s="5"/>
      <c r="D439" s="5"/>
      <c r="E439" s="6">
        <f>E437+F437</f>
        <v>5159.7049999999999</v>
      </c>
      <c r="F439" s="6"/>
      <c r="G439" s="5"/>
      <c r="H439" s="5"/>
      <c r="I439" s="5"/>
      <c r="J439" s="5"/>
      <c r="K439" s="5"/>
    </row>
    <row r="440" spans="1:11">
      <c r="A440" s="5" t="s">
        <v>10</v>
      </c>
      <c r="B440" s="5"/>
      <c r="C440" s="5"/>
      <c r="D440" s="5"/>
      <c r="E440" s="6">
        <f>E438+F438</f>
        <v>6629.3935000000001</v>
      </c>
      <c r="F440" s="6"/>
      <c r="G440" s="5"/>
      <c r="H440" s="5"/>
      <c r="I440" s="5"/>
      <c r="J440" s="5"/>
      <c r="K440" s="5"/>
    </row>
    <row r="441" spans="1:11">
      <c r="A441" s="5" t="s">
        <v>11</v>
      </c>
      <c r="B441" s="5"/>
      <c r="C441" s="5"/>
      <c r="D441" s="5"/>
      <c r="E441" s="6">
        <f>E439-E440</f>
        <v>-1469.6885000000002</v>
      </c>
      <c r="F441" s="6"/>
      <c r="G441" s="5"/>
      <c r="H441" s="5"/>
      <c r="I441" s="5"/>
      <c r="J441" s="5"/>
      <c r="K441" s="5"/>
    </row>
    <row r="443" spans="1:11">
      <c r="A443" s="13">
        <v>44774</v>
      </c>
    </row>
    <row r="444" spans="1:11">
      <c r="A444" s="1" t="s">
        <v>1</v>
      </c>
      <c r="B444" s="1" t="s">
        <v>2</v>
      </c>
      <c r="C444" s="1" t="s">
        <v>3</v>
      </c>
      <c r="D444" s="1" t="s">
        <v>4</v>
      </c>
      <c r="E444" s="1" t="s">
        <v>5</v>
      </c>
      <c r="F444" s="1" t="s">
        <v>6</v>
      </c>
      <c r="G444" s="1" t="s">
        <v>12</v>
      </c>
      <c r="H444" s="1" t="s">
        <v>13</v>
      </c>
      <c r="I444" s="1" t="s">
        <v>14</v>
      </c>
      <c r="J444" s="1" t="s">
        <v>15</v>
      </c>
      <c r="K444" s="1" t="s">
        <v>16</v>
      </c>
    </row>
    <row r="445" spans="1:11">
      <c r="A445" s="5" t="s">
        <v>7</v>
      </c>
      <c r="B445" s="5">
        <f>C437</f>
        <v>158855</v>
      </c>
      <c r="C445" s="5">
        <v>159281</v>
      </c>
      <c r="D445" s="5">
        <f>C445-B445</f>
        <v>426</v>
      </c>
      <c r="E445" s="6">
        <f>4452.1*1.15</f>
        <v>5119.915</v>
      </c>
      <c r="F445" s="6">
        <f>1056.72*1.15</f>
        <v>1215.2279999999998</v>
      </c>
      <c r="G445" s="5" t="s">
        <v>17</v>
      </c>
      <c r="H445" s="5" t="s">
        <v>102</v>
      </c>
      <c r="I445" s="5">
        <v>31</v>
      </c>
      <c r="J445" s="5">
        <f>D445/I445</f>
        <v>13.741935483870968</v>
      </c>
      <c r="K445" s="6">
        <f>E447/D445</f>
        <v>14.871227699530516</v>
      </c>
    </row>
    <row r="446" spans="1:11">
      <c r="A446" s="5" t="s">
        <v>8</v>
      </c>
      <c r="B446" s="5">
        <f>C438</f>
        <v>158522</v>
      </c>
      <c r="C446" s="5">
        <v>158993</v>
      </c>
      <c r="D446" s="5">
        <f>C446-B446</f>
        <v>471</v>
      </c>
      <c r="E446" s="6">
        <f>5660.4*1.15</f>
        <v>6509.4599999999991</v>
      </c>
      <c r="F446" s="6">
        <f>1056.72*1.15</f>
        <v>1215.2279999999998</v>
      </c>
      <c r="G446" s="5" t="s">
        <v>17</v>
      </c>
      <c r="H446" s="5" t="s">
        <v>103</v>
      </c>
      <c r="I446" s="5">
        <v>33</v>
      </c>
      <c r="J446" s="5">
        <f>D446/I446</f>
        <v>14.272727272727273</v>
      </c>
      <c r="K446" s="6">
        <f>E448/D446</f>
        <v>16.400611464968151</v>
      </c>
    </row>
    <row r="447" spans="1:11">
      <c r="A447" s="5" t="s">
        <v>9</v>
      </c>
      <c r="B447" s="5"/>
      <c r="C447" s="5"/>
      <c r="D447" s="5"/>
      <c r="E447" s="6">
        <f>E445+F445</f>
        <v>6335.143</v>
      </c>
      <c r="F447" s="6"/>
      <c r="G447" s="5"/>
      <c r="H447" s="5"/>
      <c r="I447" s="5"/>
      <c r="J447" s="5"/>
      <c r="K447" s="5"/>
    </row>
    <row r="448" spans="1:11">
      <c r="A448" s="5" t="s">
        <v>10</v>
      </c>
      <c r="B448" s="5"/>
      <c r="C448" s="5"/>
      <c r="D448" s="5"/>
      <c r="E448" s="6">
        <f>E446+F446</f>
        <v>7724.6879999999992</v>
      </c>
      <c r="F448" s="6"/>
      <c r="G448" s="5"/>
      <c r="H448" s="5"/>
      <c r="I448" s="5"/>
      <c r="J448" s="5"/>
      <c r="K448" s="5"/>
    </row>
    <row r="449" spans="1:11">
      <c r="A449" s="5" t="s">
        <v>11</v>
      </c>
      <c r="B449" s="5"/>
      <c r="C449" s="5"/>
      <c r="D449" s="5"/>
      <c r="E449" s="6">
        <f>E447-E448</f>
        <v>-1389.5449999999992</v>
      </c>
      <c r="F449" s="6"/>
      <c r="G449" s="5"/>
      <c r="H449" s="5"/>
      <c r="I449" s="5"/>
      <c r="J449" s="5"/>
      <c r="K449" s="5"/>
    </row>
    <row r="451" spans="1:11">
      <c r="A451" s="13">
        <v>44805</v>
      </c>
    </row>
    <row r="452" spans="1:11">
      <c r="A452" s="1" t="s">
        <v>1</v>
      </c>
      <c r="B452" s="1" t="s">
        <v>2</v>
      </c>
      <c r="C452" s="1" t="s">
        <v>3</v>
      </c>
      <c r="D452" s="1" t="s">
        <v>4</v>
      </c>
      <c r="E452" s="1" t="s">
        <v>5</v>
      </c>
      <c r="F452" s="1" t="s">
        <v>6</v>
      </c>
      <c r="G452" s="1" t="s">
        <v>12</v>
      </c>
      <c r="H452" s="1" t="s">
        <v>13</v>
      </c>
      <c r="I452" s="1" t="s">
        <v>14</v>
      </c>
      <c r="J452" s="1" t="s">
        <v>15</v>
      </c>
      <c r="K452" s="1" t="s">
        <v>16</v>
      </c>
    </row>
    <row r="453" spans="1:11">
      <c r="A453" s="5" t="s">
        <v>7</v>
      </c>
      <c r="B453" s="5">
        <f>C445</f>
        <v>159281</v>
      </c>
      <c r="C453" s="5">
        <v>159719</v>
      </c>
      <c r="D453" s="5">
        <f>C453-B453</f>
        <v>438</v>
      </c>
      <c r="E453" s="6">
        <f>4730.86*1.15</f>
        <v>5440.4889999999996</v>
      </c>
      <c r="F453" s="6">
        <f>1056.72*1.15</f>
        <v>1215.2279999999998</v>
      </c>
      <c r="G453" s="5" t="s">
        <v>17</v>
      </c>
      <c r="H453" s="5" t="s">
        <v>104</v>
      </c>
      <c r="I453" s="5">
        <v>30</v>
      </c>
      <c r="J453" s="5">
        <f>D453/I453</f>
        <v>14.6</v>
      </c>
      <c r="K453" s="6">
        <f>E455/D453</f>
        <v>15.195700913242009</v>
      </c>
    </row>
    <row r="454" spans="1:11">
      <c r="A454" s="5" t="s">
        <v>8</v>
      </c>
      <c r="B454" s="5">
        <f>C446</f>
        <v>158993</v>
      </c>
      <c r="C454" s="5">
        <v>159378</v>
      </c>
      <c r="D454" s="5">
        <f>C454-B454</f>
        <v>385</v>
      </c>
      <c r="E454" s="6">
        <f>4622.81*1.15</f>
        <v>5316.2314999999999</v>
      </c>
      <c r="F454" s="6">
        <f>1056.72*1.15</f>
        <v>1215.2279999999998</v>
      </c>
      <c r="G454" s="5" t="s">
        <v>17</v>
      </c>
      <c r="H454" s="5" t="s">
        <v>105</v>
      </c>
      <c r="I454" s="5">
        <v>27</v>
      </c>
      <c r="J454" s="5">
        <f>D454/I454</f>
        <v>14.25925925925926</v>
      </c>
      <c r="K454" s="6">
        <f>E456/D454</f>
        <v>16.964829870129869</v>
      </c>
    </row>
    <row r="455" spans="1:11">
      <c r="A455" s="5" t="s">
        <v>9</v>
      </c>
      <c r="B455" s="5"/>
      <c r="C455" s="5"/>
      <c r="D455" s="5"/>
      <c r="E455" s="6">
        <f>E453+F453</f>
        <v>6655.7169999999996</v>
      </c>
      <c r="F455" s="6"/>
      <c r="G455" s="5"/>
      <c r="H455" s="5"/>
      <c r="I455" s="5"/>
      <c r="J455" s="5"/>
      <c r="K455" s="5"/>
    </row>
    <row r="456" spans="1:11">
      <c r="A456" s="5" t="s">
        <v>10</v>
      </c>
      <c r="B456" s="5"/>
      <c r="C456" s="5"/>
      <c r="D456" s="5"/>
      <c r="E456" s="6">
        <f>E454+F454</f>
        <v>6531.4594999999999</v>
      </c>
      <c r="F456" s="6"/>
      <c r="G456" s="5"/>
      <c r="H456" s="5"/>
      <c r="I456" s="5"/>
      <c r="J456" s="5"/>
      <c r="K456" s="5"/>
    </row>
    <row r="457" spans="1:11">
      <c r="A457" s="5" t="s">
        <v>11</v>
      </c>
      <c r="B457" s="5"/>
      <c r="C457" s="5"/>
      <c r="D457" s="5"/>
      <c r="E457" s="6">
        <f>E455-E456</f>
        <v>124.25749999999971</v>
      </c>
      <c r="F457" s="6"/>
      <c r="G457" s="5"/>
      <c r="H457" s="5"/>
      <c r="I457" s="5"/>
      <c r="J457" s="5"/>
      <c r="K457" s="5"/>
    </row>
    <row r="459" spans="1:11">
      <c r="A459" s="13">
        <v>44835</v>
      </c>
    </row>
    <row r="460" spans="1:11">
      <c r="A460" s="1" t="s">
        <v>1</v>
      </c>
      <c r="B460" s="1" t="s">
        <v>2</v>
      </c>
      <c r="C460" s="1" t="s">
        <v>3</v>
      </c>
      <c r="D460" s="1" t="s">
        <v>4</v>
      </c>
      <c r="E460" s="1" t="s">
        <v>5</v>
      </c>
      <c r="F460" s="1" t="s">
        <v>6</v>
      </c>
      <c r="G460" s="1" t="s">
        <v>12</v>
      </c>
      <c r="H460" s="1" t="s">
        <v>13</v>
      </c>
      <c r="I460" s="1" t="s">
        <v>14</v>
      </c>
      <c r="J460" s="1" t="s">
        <v>15</v>
      </c>
      <c r="K460" s="1" t="s">
        <v>16</v>
      </c>
    </row>
    <row r="461" spans="1:11">
      <c r="A461" s="5" t="s">
        <v>7</v>
      </c>
      <c r="B461" s="5">
        <f>C453</f>
        <v>159719</v>
      </c>
      <c r="C461" s="5">
        <v>160081</v>
      </c>
      <c r="D461" s="5">
        <f>C461-B461</f>
        <v>362</v>
      </c>
      <c r="E461" s="6">
        <f>2982.84*1.15</f>
        <v>3430.2660000000001</v>
      </c>
      <c r="F461" s="6">
        <f>1056.72*1.15</f>
        <v>1215.2279999999998</v>
      </c>
      <c r="G461" s="5" t="s">
        <v>17</v>
      </c>
      <c r="H461" s="5" t="s">
        <v>106</v>
      </c>
      <c r="I461" s="5">
        <v>31</v>
      </c>
      <c r="J461" s="5">
        <f>D461/I461</f>
        <v>11.67741935483871</v>
      </c>
      <c r="K461" s="6">
        <f>E463/D461</f>
        <v>12.83285635359116</v>
      </c>
    </row>
    <row r="462" spans="1:11">
      <c r="A462" s="5" t="s">
        <v>8</v>
      </c>
      <c r="B462" s="5">
        <f>C454</f>
        <v>159378</v>
      </c>
      <c r="C462" s="5">
        <v>159824</v>
      </c>
      <c r="D462" s="5">
        <f>C462-B462</f>
        <v>446</v>
      </c>
      <c r="E462" s="6">
        <f>5399.73*1.15</f>
        <v>6209.6894999999986</v>
      </c>
      <c r="F462" s="6">
        <f>1056.72*1.15</f>
        <v>1215.2279999999998</v>
      </c>
      <c r="G462" s="5" t="s">
        <v>17</v>
      </c>
      <c r="H462" s="5" t="s">
        <v>107</v>
      </c>
      <c r="I462" s="5">
        <v>31</v>
      </c>
      <c r="J462" s="5">
        <f>D462/I462</f>
        <v>14.387096774193548</v>
      </c>
      <c r="K462" s="6">
        <f>E464/D462</f>
        <v>16.647797085201791</v>
      </c>
    </row>
    <row r="463" spans="1:11">
      <c r="A463" s="5" t="s">
        <v>9</v>
      </c>
      <c r="B463" s="5"/>
      <c r="C463" s="5"/>
      <c r="D463" s="5"/>
      <c r="E463" s="6">
        <f>E461+F461</f>
        <v>4645.4939999999997</v>
      </c>
      <c r="F463" s="6"/>
      <c r="G463" s="5"/>
      <c r="H463" s="5"/>
      <c r="I463" s="5"/>
      <c r="J463" s="5"/>
      <c r="K463" s="5"/>
    </row>
    <row r="464" spans="1:11">
      <c r="A464" s="5" t="s">
        <v>10</v>
      </c>
      <c r="B464" s="5"/>
      <c r="C464" s="5"/>
      <c r="D464" s="5"/>
      <c r="E464" s="6">
        <f>E462+F462</f>
        <v>7424.9174999999987</v>
      </c>
      <c r="F464" s="6"/>
      <c r="G464" s="5"/>
      <c r="H464" s="5"/>
      <c r="I464" s="5"/>
      <c r="J464" s="5"/>
      <c r="K464" s="5"/>
    </row>
    <row r="465" spans="1:11">
      <c r="A465" s="5" t="s">
        <v>11</v>
      </c>
      <c r="B465" s="5"/>
      <c r="C465" s="5"/>
      <c r="D465" s="5"/>
      <c r="E465" s="6">
        <f>E463-E464</f>
        <v>-2779.423499999999</v>
      </c>
      <c r="F465" s="6"/>
      <c r="G465" s="5"/>
      <c r="H465" s="5"/>
      <c r="I465" s="5"/>
      <c r="J465" s="5"/>
      <c r="K465" s="5"/>
    </row>
    <row r="467" spans="1:11">
      <c r="A467" s="13">
        <v>44866</v>
      </c>
    </row>
    <row r="468" spans="1:11">
      <c r="A468" s="1" t="s">
        <v>1</v>
      </c>
      <c r="B468" s="1" t="s">
        <v>2</v>
      </c>
      <c r="C468" s="1" t="s">
        <v>3</v>
      </c>
      <c r="D468" s="1" t="s">
        <v>4</v>
      </c>
      <c r="E468" s="1" t="s">
        <v>5</v>
      </c>
      <c r="F468" s="1" t="s">
        <v>6</v>
      </c>
      <c r="G468" s="1" t="s">
        <v>12</v>
      </c>
      <c r="H468" s="1" t="s">
        <v>13</v>
      </c>
      <c r="I468" s="1" t="s">
        <v>14</v>
      </c>
      <c r="J468" s="1" t="s">
        <v>15</v>
      </c>
      <c r="K468" s="1" t="s">
        <v>16</v>
      </c>
    </row>
    <row r="469" spans="1:11">
      <c r="A469" s="5" t="s">
        <v>7</v>
      </c>
      <c r="B469" s="5">
        <f>C461</f>
        <v>160081</v>
      </c>
      <c r="C469" s="5">
        <v>160474</v>
      </c>
      <c r="D469" s="5">
        <f>C469-B469</f>
        <v>393</v>
      </c>
      <c r="E469" s="6">
        <f>3685.51*1.15</f>
        <v>4238.3365000000003</v>
      </c>
      <c r="F469" s="6">
        <f>1056.72*1.15</f>
        <v>1215.2279999999998</v>
      </c>
      <c r="G469" s="5" t="s">
        <v>17</v>
      </c>
      <c r="H469" s="5" t="s">
        <v>108</v>
      </c>
      <c r="I469" s="5">
        <v>33</v>
      </c>
      <c r="J469" s="5">
        <f>D469/I469</f>
        <v>11.909090909090908</v>
      </c>
      <c r="K469" s="6">
        <f>E471/D469</f>
        <v>13.87675445292621</v>
      </c>
    </row>
    <row r="470" spans="1:11">
      <c r="A470" s="5" t="s">
        <v>8</v>
      </c>
      <c r="B470" s="5">
        <f>C462</f>
        <v>159824</v>
      </c>
      <c r="C470" s="5">
        <v>160159</v>
      </c>
      <c r="D470" s="5">
        <f>C470-B470</f>
        <v>335</v>
      </c>
      <c r="E470" s="6">
        <f>2832.14*1.15</f>
        <v>3256.9609999999998</v>
      </c>
      <c r="F470" s="6">
        <f>1056.72*1.15</f>
        <v>1215.2279999999998</v>
      </c>
      <c r="G470" s="5" t="s">
        <v>17</v>
      </c>
      <c r="H470" s="5" t="s">
        <v>109</v>
      </c>
      <c r="I470" s="5">
        <v>31</v>
      </c>
      <c r="J470" s="5">
        <f>D470/I470</f>
        <v>10.806451612903226</v>
      </c>
      <c r="K470" s="6">
        <f>E472/D470</f>
        <v>13.34981791044776</v>
      </c>
    </row>
    <row r="471" spans="1:11">
      <c r="A471" s="5" t="s">
        <v>9</v>
      </c>
      <c r="B471" s="5"/>
      <c r="C471" s="5"/>
      <c r="D471" s="5"/>
      <c r="E471" s="6">
        <f>E469+F469</f>
        <v>5453.5645000000004</v>
      </c>
      <c r="F471" s="6"/>
      <c r="G471" s="5"/>
      <c r="H471" s="5"/>
      <c r="I471" s="5"/>
      <c r="J471" s="5"/>
      <c r="K471" s="5"/>
    </row>
    <row r="472" spans="1:11">
      <c r="A472" s="5" t="s">
        <v>10</v>
      </c>
      <c r="B472" s="5"/>
      <c r="C472" s="5"/>
      <c r="D472" s="5"/>
      <c r="E472" s="6">
        <f>E470+F470</f>
        <v>4472.1889999999994</v>
      </c>
      <c r="F472" s="6"/>
      <c r="G472" s="5"/>
      <c r="H472" s="5"/>
      <c r="I472" s="5"/>
      <c r="J472" s="5"/>
      <c r="K472" s="5"/>
    </row>
    <row r="473" spans="1:11">
      <c r="A473" s="5" t="s">
        <v>11</v>
      </c>
      <c r="B473" s="5"/>
      <c r="C473" s="5"/>
      <c r="D473" s="5"/>
      <c r="E473" s="6">
        <f>E471-E472</f>
        <v>981.37550000000101</v>
      </c>
      <c r="F473" s="6"/>
      <c r="G473" s="5"/>
      <c r="H473" s="5"/>
      <c r="I473" s="5"/>
      <c r="J473" s="5"/>
      <c r="K473" s="5"/>
    </row>
    <row r="475" spans="1:11">
      <c r="A475" s="13">
        <v>44896</v>
      </c>
    </row>
    <row r="476" spans="1:11">
      <c r="A476" s="1" t="s">
        <v>1</v>
      </c>
      <c r="B476" s="1" t="s">
        <v>2</v>
      </c>
      <c r="C476" s="1" t="s">
        <v>3</v>
      </c>
      <c r="D476" s="1" t="s">
        <v>4</v>
      </c>
      <c r="E476" s="1" t="s">
        <v>5</v>
      </c>
      <c r="F476" s="1" t="s">
        <v>6</v>
      </c>
      <c r="G476" s="1" t="s">
        <v>12</v>
      </c>
      <c r="H476" s="1" t="s">
        <v>13</v>
      </c>
      <c r="I476" s="1" t="s">
        <v>14</v>
      </c>
      <c r="J476" s="1" t="s">
        <v>15</v>
      </c>
      <c r="K476" s="1" t="s">
        <v>16</v>
      </c>
    </row>
    <row r="477" spans="1:11">
      <c r="A477" s="5" t="s">
        <v>7</v>
      </c>
      <c r="B477" s="5">
        <f>C469</f>
        <v>160474</v>
      </c>
      <c r="C477" s="5">
        <v>160952</v>
      </c>
      <c r="D477" s="5">
        <f>C477-B477</f>
        <v>478</v>
      </c>
      <c r="E477" s="6">
        <f>5660.06*1.15</f>
        <v>6509.0689999999995</v>
      </c>
      <c r="F477" s="6">
        <f>1056.72*1.15</f>
        <v>1215.2279999999998</v>
      </c>
      <c r="G477" s="5" t="s">
        <v>17</v>
      </c>
      <c r="H477" s="5" t="s">
        <v>110</v>
      </c>
      <c r="I477" s="5">
        <v>28</v>
      </c>
      <c r="J477" s="5">
        <f>D477/I477</f>
        <v>17.071428571428573</v>
      </c>
      <c r="K477" s="6">
        <f>E479/D477</f>
        <v>16.159617154811716</v>
      </c>
    </row>
    <row r="478" spans="1:11">
      <c r="A478" s="5" t="s">
        <v>8</v>
      </c>
      <c r="B478" s="5">
        <f>C470</f>
        <v>160159</v>
      </c>
      <c r="C478" s="5">
        <v>160504</v>
      </c>
      <c r="D478" s="5">
        <f>C478-B478</f>
        <v>345</v>
      </c>
      <c r="E478" s="6">
        <f>3373.53*1.15</f>
        <v>3879.5594999999998</v>
      </c>
      <c r="F478" s="6">
        <f>1056.72*1.15</f>
        <v>1215.2279999999998</v>
      </c>
      <c r="G478" s="5" t="s">
        <v>17</v>
      </c>
      <c r="H478" s="5" t="s">
        <v>111</v>
      </c>
      <c r="I478" s="5">
        <v>29</v>
      </c>
      <c r="J478" s="5">
        <f>D478/I478</f>
        <v>11.896551724137931</v>
      </c>
      <c r="K478" s="6">
        <f>E480/D478</f>
        <v>14.767499999999998</v>
      </c>
    </row>
    <row r="479" spans="1:11">
      <c r="A479" s="5" t="s">
        <v>9</v>
      </c>
      <c r="B479" s="5"/>
      <c r="C479" s="5"/>
      <c r="D479" s="5"/>
      <c r="E479" s="6">
        <f>E477+F477</f>
        <v>7724.2969999999996</v>
      </c>
      <c r="F479" s="6"/>
      <c r="G479" s="5"/>
      <c r="H479" s="5"/>
      <c r="I479" s="5"/>
      <c r="J479" s="5"/>
      <c r="K479" s="5"/>
    </row>
    <row r="480" spans="1:11">
      <c r="A480" s="5" t="s">
        <v>10</v>
      </c>
      <c r="B480" s="5"/>
      <c r="C480" s="5"/>
      <c r="D480" s="5"/>
      <c r="E480" s="6">
        <f>E478+F478</f>
        <v>5094.7874999999995</v>
      </c>
      <c r="F480" s="6"/>
      <c r="G480" s="5"/>
      <c r="H480" s="5"/>
      <c r="I480" s="5"/>
      <c r="J480" s="5"/>
      <c r="K480" s="5"/>
    </row>
    <row r="481" spans="1:11">
      <c r="A481" s="5" t="s">
        <v>11</v>
      </c>
      <c r="B481" s="5"/>
      <c r="C481" s="5"/>
      <c r="D481" s="5"/>
      <c r="E481" s="6">
        <f>E479-E480</f>
        <v>2629.5095000000001</v>
      </c>
      <c r="F481" s="6"/>
      <c r="G481" s="5"/>
      <c r="H481" s="5"/>
      <c r="I481" s="5"/>
      <c r="J481" s="5"/>
      <c r="K481" s="5"/>
    </row>
  </sheetData>
  <pageMargins left="0.25" right="0.25" top="0.75" bottom="0.75" header="0.3" footer="0.3"/>
  <pageSetup paperSize="9" scale="77" fitToHeight="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76C9-0F78-4835-88B3-E37E385F2EB6}">
  <dimension ref="A1:AF21"/>
  <sheetViews>
    <sheetView workbookViewId="0">
      <selection activeCell="AE25" sqref="AE25"/>
    </sheetView>
  </sheetViews>
  <sheetFormatPr defaultRowHeight="15"/>
  <cols>
    <col min="14" max="14" width="11.5703125" hidden="1" customWidth="1"/>
    <col min="15" max="15" width="12.5703125" hidden="1" customWidth="1"/>
    <col min="16" max="16" width="17.42578125" hidden="1" customWidth="1"/>
    <col min="18" max="18" width="11.5703125" hidden="1" customWidth="1"/>
    <col min="19" max="19" width="12.5703125" hidden="1" customWidth="1"/>
    <col min="20" max="20" width="17.42578125" hidden="1" customWidth="1"/>
    <col min="22" max="22" width="10.7109375" hidden="1" customWidth="1"/>
    <col min="23" max="23" width="12.7109375" hidden="1" customWidth="1"/>
    <col min="24" max="24" width="19.42578125" hidden="1" customWidth="1"/>
    <col min="26" max="26" width="12" hidden="1" customWidth="1"/>
    <col min="27" max="27" width="13.28515625" hidden="1" customWidth="1"/>
    <col min="28" max="28" width="47.5703125" hidden="1" customWidth="1"/>
    <col min="30" max="31" width="12" bestFit="1" customWidth="1"/>
    <col min="32" max="32" width="17.42578125" bestFit="1" customWidth="1"/>
  </cols>
  <sheetData>
    <row r="1" spans="1:32" ht="18.75">
      <c r="A1" s="3" t="s">
        <v>112</v>
      </c>
    </row>
    <row r="2" spans="1:32">
      <c r="N2" t="s">
        <v>113</v>
      </c>
      <c r="O2" t="s">
        <v>114</v>
      </c>
      <c r="P2" t="s">
        <v>115</v>
      </c>
      <c r="R2" t="s">
        <v>113</v>
      </c>
      <c r="S2" t="s">
        <v>114</v>
      </c>
      <c r="T2" t="s">
        <v>115</v>
      </c>
      <c r="V2" t="s">
        <v>113</v>
      </c>
      <c r="W2" t="s">
        <v>114</v>
      </c>
      <c r="X2" t="s">
        <v>115</v>
      </c>
      <c r="Z2" t="s">
        <v>113</v>
      </c>
      <c r="AA2" t="s">
        <v>114</v>
      </c>
      <c r="AB2" t="s">
        <v>115</v>
      </c>
      <c r="AD2" t="s">
        <v>113</v>
      </c>
      <c r="AE2" t="s">
        <v>114</v>
      </c>
      <c r="AF2" t="s">
        <v>115</v>
      </c>
    </row>
    <row r="3" spans="1:32">
      <c r="M3" s="4">
        <v>43466</v>
      </c>
      <c r="N3" s="7">
        <v>6500</v>
      </c>
      <c r="O3" s="7">
        <v>7813.3644999999997</v>
      </c>
      <c r="P3" s="11" t="s">
        <v>116</v>
      </c>
      <c r="Q3" s="4">
        <v>43739</v>
      </c>
      <c r="R3" s="7">
        <v>6500</v>
      </c>
      <c r="S3" s="7">
        <v>6346.5164999999997</v>
      </c>
      <c r="T3" s="12" t="s">
        <v>116</v>
      </c>
      <c r="U3" s="4">
        <v>44105</v>
      </c>
      <c r="V3" s="7"/>
      <c r="W3" s="7">
        <v>6633.5334999999986</v>
      </c>
      <c r="X3" s="12" t="s">
        <v>116</v>
      </c>
      <c r="Y3" s="4">
        <v>44470</v>
      </c>
      <c r="Z3" s="7">
        <v>0</v>
      </c>
      <c r="AA3" s="7">
        <v>2539.2690000000002</v>
      </c>
      <c r="AB3" s="12" t="s">
        <v>116</v>
      </c>
      <c r="AC3" s="4">
        <v>44835</v>
      </c>
      <c r="AD3" s="7">
        <v>4645.4939999999997</v>
      </c>
      <c r="AE3" s="7">
        <v>7424.9174999999987</v>
      </c>
      <c r="AF3" s="12" t="s">
        <v>116</v>
      </c>
    </row>
    <row r="4" spans="1:32">
      <c r="M4" s="4">
        <v>43497</v>
      </c>
      <c r="N4" s="7">
        <v>6500</v>
      </c>
      <c r="O4" s="7">
        <v>11221.883999999998</v>
      </c>
      <c r="P4" s="11" t="s">
        <v>117</v>
      </c>
      <c r="Q4" s="4">
        <v>43770</v>
      </c>
      <c r="R4" s="7">
        <v>6500</v>
      </c>
      <c r="S4" s="7">
        <v>6769.2449999999999</v>
      </c>
      <c r="T4" s="12" t="s">
        <v>116</v>
      </c>
      <c r="U4" s="4">
        <v>44136</v>
      </c>
      <c r="V4" s="7"/>
      <c r="W4" s="7">
        <v>5744.6064999999999</v>
      </c>
      <c r="X4" s="12" t="s">
        <v>116</v>
      </c>
      <c r="Y4" s="4">
        <v>44501</v>
      </c>
      <c r="Z4" s="7">
        <v>4045.884</v>
      </c>
      <c r="AA4" s="7">
        <f>(12074.81+962.88)*1.15</f>
        <v>14993.343499999997</v>
      </c>
      <c r="AB4" s="17" t="s">
        <v>118</v>
      </c>
      <c r="AC4" s="4">
        <v>44866</v>
      </c>
      <c r="AD4" s="7">
        <v>5453.5645000000004</v>
      </c>
      <c r="AE4" s="7">
        <v>4472.1889999999994</v>
      </c>
      <c r="AF4" s="12" t="s">
        <v>116</v>
      </c>
    </row>
    <row r="5" spans="1:32">
      <c r="M5" s="4">
        <v>43525</v>
      </c>
      <c r="N5" s="7">
        <v>6500</v>
      </c>
      <c r="O5" s="7">
        <v>6822.26</v>
      </c>
      <c r="P5" s="11" t="s">
        <v>117</v>
      </c>
      <c r="Q5" s="4">
        <v>43800</v>
      </c>
      <c r="R5" s="7">
        <v>6500</v>
      </c>
      <c r="S5" s="7">
        <v>5514.8939999999993</v>
      </c>
      <c r="T5" s="12" t="s">
        <v>116</v>
      </c>
      <c r="U5" s="4">
        <v>44166</v>
      </c>
      <c r="V5" s="7"/>
      <c r="W5" s="7">
        <v>5081.0794999999998</v>
      </c>
      <c r="X5" s="12" t="s">
        <v>116</v>
      </c>
      <c r="Y5" s="4">
        <v>44531</v>
      </c>
      <c r="Z5" s="7">
        <v>3789.3419999999996</v>
      </c>
      <c r="AA5" s="7">
        <f>(2606.55+962.88)*1.15</f>
        <v>4104.8445000000002</v>
      </c>
      <c r="AB5" s="17" t="s">
        <v>119</v>
      </c>
      <c r="AC5" s="4">
        <v>44896</v>
      </c>
      <c r="AD5" s="7">
        <v>7724.2969999999996</v>
      </c>
      <c r="AE5" s="16">
        <v>5094.7874999999995</v>
      </c>
      <c r="AF5" s="12" t="s">
        <v>116</v>
      </c>
    </row>
    <row r="6" spans="1:32">
      <c r="M6" s="4">
        <v>43556</v>
      </c>
      <c r="N6" s="7">
        <v>6500</v>
      </c>
      <c r="O6" s="7">
        <v>44119.72</v>
      </c>
      <c r="P6" s="11" t="s">
        <v>116</v>
      </c>
      <c r="Q6" s="4">
        <v>43831</v>
      </c>
      <c r="R6" s="7"/>
      <c r="S6" s="7">
        <v>4929.785499999999</v>
      </c>
      <c r="T6" s="11" t="s">
        <v>116</v>
      </c>
      <c r="U6" s="4">
        <v>44197</v>
      </c>
      <c r="V6" s="7"/>
      <c r="W6" s="7">
        <v>9225.1389999999992</v>
      </c>
      <c r="X6" s="11" t="s">
        <v>117</v>
      </c>
      <c r="Y6" s="4">
        <v>44562</v>
      </c>
      <c r="Z6" s="16">
        <v>4209.137999999999</v>
      </c>
      <c r="AA6" s="16">
        <v>6536.5079999999998</v>
      </c>
      <c r="AB6" s="12" t="s">
        <v>116</v>
      </c>
      <c r="AC6" s="4">
        <v>44927</v>
      </c>
      <c r="AD6" s="16"/>
      <c r="AE6" s="16"/>
      <c r="AF6" s="12"/>
    </row>
    <row r="7" spans="1:32">
      <c r="M7" s="4">
        <v>43586</v>
      </c>
      <c r="N7" s="7">
        <v>6500</v>
      </c>
      <c r="O7" s="7">
        <v>7745.7329999999993</v>
      </c>
      <c r="P7" s="11" t="s">
        <v>116</v>
      </c>
      <c r="Q7" s="4">
        <v>43862</v>
      </c>
      <c r="R7" s="7"/>
      <c r="S7" s="7">
        <v>6392.7349999999988</v>
      </c>
      <c r="T7" s="11" t="s">
        <v>116</v>
      </c>
      <c r="U7" s="4">
        <v>44228</v>
      </c>
      <c r="V7" s="7"/>
      <c r="W7" s="7">
        <v>0</v>
      </c>
      <c r="X7" s="11" t="s">
        <v>120</v>
      </c>
      <c r="Y7" s="4">
        <v>44593</v>
      </c>
      <c r="Z7" s="16">
        <v>10882.105</v>
      </c>
      <c r="AA7" s="16">
        <v>3414.2579999999998</v>
      </c>
      <c r="AB7" s="12" t="s">
        <v>116</v>
      </c>
      <c r="AC7" s="4">
        <v>44958</v>
      </c>
      <c r="AD7" s="16"/>
      <c r="AE7" s="16"/>
      <c r="AF7" s="12"/>
    </row>
    <row r="8" spans="1:32">
      <c r="M8" s="4">
        <v>43617</v>
      </c>
      <c r="N8" s="7">
        <v>6500</v>
      </c>
      <c r="O8" s="7">
        <v>7216.3419999999996</v>
      </c>
      <c r="P8" s="11" t="s">
        <v>116</v>
      </c>
      <c r="Q8" s="4">
        <v>43891</v>
      </c>
      <c r="R8" s="7"/>
      <c r="S8" s="7">
        <v>5371.0864999999994</v>
      </c>
      <c r="T8" s="11" t="s">
        <v>116</v>
      </c>
      <c r="U8" s="4">
        <v>44256</v>
      </c>
      <c r="V8" s="7">
        <v>0</v>
      </c>
      <c r="W8" s="7">
        <v>4359.3855000000003</v>
      </c>
      <c r="X8" s="11" t="s">
        <v>116</v>
      </c>
      <c r="Y8" s="4">
        <v>44621</v>
      </c>
      <c r="Z8" s="16">
        <v>1107.3119999999999</v>
      </c>
      <c r="AA8" s="16">
        <v>7208.9359999999997</v>
      </c>
      <c r="AB8" s="12" t="s">
        <v>116</v>
      </c>
      <c r="AC8" s="4">
        <v>44986</v>
      </c>
      <c r="AD8" s="16"/>
      <c r="AE8" s="16"/>
      <c r="AF8" s="12"/>
    </row>
    <row r="9" spans="1:32">
      <c r="M9" s="4">
        <v>43647</v>
      </c>
      <c r="N9" s="7">
        <v>6500</v>
      </c>
      <c r="O9" s="7">
        <v>5809.6044999999995</v>
      </c>
      <c r="P9" s="11" t="s">
        <v>116</v>
      </c>
      <c r="Q9" s="4">
        <v>43922</v>
      </c>
      <c r="R9" s="7"/>
      <c r="S9" s="7">
        <v>16256.204499999998</v>
      </c>
      <c r="T9" s="11" t="s">
        <v>117</v>
      </c>
      <c r="U9" s="4">
        <v>44287</v>
      </c>
      <c r="V9" s="7">
        <v>0</v>
      </c>
      <c r="W9" s="7">
        <v>5590.0810000000001</v>
      </c>
      <c r="X9" s="11" t="s">
        <v>116</v>
      </c>
      <c r="Y9" s="4">
        <v>44652</v>
      </c>
      <c r="Z9" s="16">
        <v>5699.1124999999993</v>
      </c>
      <c r="AA9" s="16">
        <v>5934.9429999999993</v>
      </c>
      <c r="AB9" s="12" t="s">
        <v>116</v>
      </c>
      <c r="AC9" s="4">
        <v>45017</v>
      </c>
      <c r="AD9" s="16"/>
      <c r="AE9" s="16"/>
      <c r="AF9" s="12"/>
    </row>
    <row r="10" spans="1:32">
      <c r="M10" s="4">
        <v>43678</v>
      </c>
      <c r="N10" s="7">
        <v>6500</v>
      </c>
      <c r="O10" s="7">
        <v>6926.473</v>
      </c>
      <c r="P10" s="11" t="s">
        <v>116</v>
      </c>
      <c r="Q10" s="4">
        <v>43952</v>
      </c>
      <c r="R10" s="7"/>
      <c r="S10" s="7">
        <v>0</v>
      </c>
      <c r="T10" s="11" t="s">
        <v>121</v>
      </c>
      <c r="U10" s="4">
        <v>44317</v>
      </c>
      <c r="V10" s="7">
        <v>0</v>
      </c>
      <c r="W10" s="7">
        <v>4660.7199999999993</v>
      </c>
      <c r="X10" s="11" t="s">
        <v>116</v>
      </c>
      <c r="Y10" s="4">
        <v>44682</v>
      </c>
      <c r="Z10" s="16">
        <v>6356.4409999999998</v>
      </c>
      <c r="AA10" s="16">
        <v>6562.59</v>
      </c>
      <c r="AB10" s="12" t="s">
        <v>116</v>
      </c>
      <c r="AC10" s="4">
        <v>45047</v>
      </c>
      <c r="AD10" s="16"/>
      <c r="AE10" s="16"/>
      <c r="AF10" s="12"/>
    </row>
    <row r="11" spans="1:32">
      <c r="M11" s="4">
        <v>43709</v>
      </c>
      <c r="N11" s="7">
        <v>6500</v>
      </c>
      <c r="O11" s="7">
        <v>5625.52</v>
      </c>
      <c r="P11" s="11" t="s">
        <v>116</v>
      </c>
      <c r="Q11" s="4">
        <v>43983</v>
      </c>
      <c r="S11" s="7">
        <v>7191.2834999999986</v>
      </c>
      <c r="T11" s="11" t="s">
        <v>116</v>
      </c>
      <c r="U11" s="4">
        <v>44348</v>
      </c>
      <c r="V11" s="7">
        <v>0</v>
      </c>
      <c r="W11" s="7">
        <v>6787.5069999999996</v>
      </c>
      <c r="X11" s="11" t="s">
        <v>116</v>
      </c>
      <c r="Y11" s="4">
        <v>44713</v>
      </c>
      <c r="Z11" s="16">
        <v>6975.6124999999993</v>
      </c>
      <c r="AA11" s="16">
        <v>6316.0185000000001</v>
      </c>
      <c r="AB11" s="12" t="s">
        <v>116</v>
      </c>
      <c r="AC11" s="4">
        <v>45078</v>
      </c>
      <c r="AD11" s="16"/>
      <c r="AE11" s="16"/>
      <c r="AF11" s="12"/>
    </row>
    <row r="12" spans="1:32">
      <c r="M12" s="4"/>
      <c r="N12" s="7"/>
      <c r="O12" s="7"/>
      <c r="P12" s="12"/>
      <c r="Q12" s="4">
        <v>44013</v>
      </c>
      <c r="R12" s="7"/>
      <c r="S12" s="7">
        <v>7729.5409999999993</v>
      </c>
      <c r="T12" s="11" t="s">
        <v>117</v>
      </c>
      <c r="U12" s="4">
        <v>44378</v>
      </c>
      <c r="V12" s="7">
        <v>0</v>
      </c>
      <c r="W12" s="7">
        <v>5432.3124999999991</v>
      </c>
      <c r="X12" s="11" t="s">
        <v>116</v>
      </c>
      <c r="Y12" s="4">
        <v>44743</v>
      </c>
      <c r="Z12" s="16">
        <v>5159.7049999999999</v>
      </c>
      <c r="AA12" s="16">
        <v>6629.3935000000001</v>
      </c>
      <c r="AB12" s="12" t="s">
        <v>116</v>
      </c>
      <c r="AC12" s="4">
        <v>45108</v>
      </c>
      <c r="AD12" s="16"/>
      <c r="AE12" s="16"/>
      <c r="AF12" s="12"/>
    </row>
    <row r="13" spans="1:32">
      <c r="M13" s="4"/>
      <c r="N13" s="7"/>
      <c r="O13" s="7"/>
      <c r="P13" s="12"/>
      <c r="Q13" s="4">
        <v>44044</v>
      </c>
      <c r="R13" s="7"/>
      <c r="S13" s="7">
        <v>4372.0239999999985</v>
      </c>
      <c r="T13" s="11" t="s">
        <v>116</v>
      </c>
      <c r="U13" s="4">
        <v>44409</v>
      </c>
      <c r="V13" s="7">
        <v>0</v>
      </c>
      <c r="W13" s="7">
        <v>6213.7259999999987</v>
      </c>
      <c r="X13" s="11" t="s">
        <v>116</v>
      </c>
      <c r="Y13" s="4">
        <v>44774</v>
      </c>
      <c r="Z13" s="16">
        <v>6335.143</v>
      </c>
      <c r="AA13" s="16">
        <v>7724.6879999999992</v>
      </c>
      <c r="AB13" s="12" t="s">
        <v>116</v>
      </c>
      <c r="AC13" s="4">
        <v>45139</v>
      </c>
      <c r="AD13" s="16"/>
      <c r="AE13" s="16"/>
      <c r="AF13" s="12"/>
    </row>
    <row r="14" spans="1:32">
      <c r="M14" s="4"/>
      <c r="N14" s="7"/>
      <c r="O14" s="7"/>
      <c r="P14" s="12"/>
      <c r="Q14" s="4">
        <v>44075</v>
      </c>
      <c r="R14" s="7"/>
      <c r="S14" s="7">
        <v>7717.1094999999996</v>
      </c>
      <c r="T14" s="11" t="s">
        <v>116</v>
      </c>
      <c r="U14" s="4">
        <v>44440</v>
      </c>
      <c r="V14" s="7">
        <v>0</v>
      </c>
      <c r="W14" s="7">
        <v>9641.7609999999986</v>
      </c>
      <c r="X14" s="11" t="s">
        <v>117</v>
      </c>
      <c r="Y14" s="4">
        <v>44805</v>
      </c>
      <c r="Z14" s="16">
        <v>6655.7169999999996</v>
      </c>
      <c r="AA14" s="16">
        <v>6531.4594999999999</v>
      </c>
      <c r="AB14" s="12" t="s">
        <v>116</v>
      </c>
      <c r="AC14" s="4">
        <v>45170</v>
      </c>
      <c r="AD14" s="16"/>
      <c r="AE14" s="16"/>
      <c r="AF14" s="12"/>
    </row>
    <row r="15" spans="1:32">
      <c r="N15" s="8">
        <f>SUM(N3:N14)</f>
        <v>58500</v>
      </c>
      <c r="O15" s="8">
        <f>SUM(O3:O14)</f>
        <v>103300.901</v>
      </c>
      <c r="P15" s="8">
        <f>N15-O15</f>
        <v>-44800.900999999998</v>
      </c>
      <c r="R15" s="8">
        <f>SUM(R3:R14)</f>
        <v>19500</v>
      </c>
      <c r="S15" s="8">
        <f>SUM(S3:S14)</f>
        <v>78590.425000000003</v>
      </c>
      <c r="T15" s="8">
        <f>R15-S15</f>
        <v>-59090.425000000003</v>
      </c>
      <c r="V15" s="8">
        <f>SUM(V3:V14)</f>
        <v>0</v>
      </c>
      <c r="W15" s="8">
        <f>SUM(W3:W14)</f>
        <v>69369.85149999999</v>
      </c>
      <c r="X15" s="8">
        <f>V15-W15</f>
        <v>-69369.85149999999</v>
      </c>
      <c r="Z15" s="8">
        <f>SUM(Z3:Z14)</f>
        <v>61215.511999999995</v>
      </c>
      <c r="AA15" s="8">
        <f>SUM(AA3:AA14)</f>
        <v>78496.251499999984</v>
      </c>
      <c r="AB15" s="8">
        <f>Z15-AA15</f>
        <v>-17280.739499999989</v>
      </c>
      <c r="AD15" s="8">
        <f>SUM(AD3:AD14)</f>
        <v>17823.355499999998</v>
      </c>
      <c r="AE15" s="8">
        <f>SUM(AE3:AE14)</f>
        <v>16991.893999999997</v>
      </c>
      <c r="AF15" s="8">
        <f>AD15-AE15</f>
        <v>831.46150000000125</v>
      </c>
    </row>
    <row r="17" spans="13:13" ht="21">
      <c r="M17" s="9" t="s">
        <v>122</v>
      </c>
    </row>
    <row r="18" spans="13:13">
      <c r="M18" t="s">
        <v>123</v>
      </c>
    </row>
    <row r="19" spans="13:13">
      <c r="M19" t="s">
        <v>124</v>
      </c>
    </row>
    <row r="20" spans="13:13">
      <c r="M20" t="s">
        <v>125</v>
      </c>
    </row>
    <row r="21" spans="13:13">
      <c r="M21" t="s">
        <v>126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2F2C-A19F-494D-95E7-AF48B4A5304A}">
  <dimension ref="A1:Y35"/>
  <sheetViews>
    <sheetView workbookViewId="0">
      <selection activeCell="Y18" sqref="Y18"/>
    </sheetView>
  </sheetViews>
  <sheetFormatPr defaultRowHeight="15"/>
  <cols>
    <col min="12" max="13" width="9.140625" hidden="1" customWidth="1"/>
    <col min="15" max="16" width="9.140625" hidden="1" customWidth="1"/>
    <col min="18" max="19" width="9.140625" hidden="1" customWidth="1"/>
    <col min="21" max="22" width="9.28515625" hidden="1" customWidth="1"/>
  </cols>
  <sheetData>
    <row r="1" spans="1:25" ht="18.75">
      <c r="A1" s="3" t="s">
        <v>127</v>
      </c>
    </row>
    <row r="2" spans="1:25">
      <c r="L2" t="s">
        <v>113</v>
      </c>
      <c r="M2" t="s">
        <v>114</v>
      </c>
      <c r="O2" t="s">
        <v>113</v>
      </c>
      <c r="P2" t="s">
        <v>114</v>
      </c>
      <c r="R2" t="s">
        <v>113</v>
      </c>
      <c r="S2" t="s">
        <v>114</v>
      </c>
      <c r="U2" t="s">
        <v>113</v>
      </c>
      <c r="V2" t="s">
        <v>114</v>
      </c>
      <c r="X2" t="s">
        <v>113</v>
      </c>
      <c r="Y2" t="s">
        <v>114</v>
      </c>
    </row>
    <row r="3" spans="1:25">
      <c r="K3" s="4">
        <v>43466</v>
      </c>
      <c r="L3">
        <v>573</v>
      </c>
      <c r="M3">
        <v>559</v>
      </c>
      <c r="N3" s="4">
        <v>43739</v>
      </c>
      <c r="O3">
        <v>441</v>
      </c>
      <c r="P3">
        <v>429</v>
      </c>
      <c r="Q3" s="4">
        <v>44105</v>
      </c>
      <c r="R3">
        <v>413</v>
      </c>
      <c r="S3">
        <v>466</v>
      </c>
      <c r="T3" s="4">
        <v>44470</v>
      </c>
      <c r="U3">
        <v>458</v>
      </c>
      <c r="V3">
        <v>87</v>
      </c>
      <c r="W3" s="4">
        <v>44835</v>
      </c>
      <c r="X3">
        <v>362</v>
      </c>
      <c r="Y3">
        <v>446</v>
      </c>
    </row>
    <row r="4" spans="1:25">
      <c r="K4" s="4">
        <v>43497</v>
      </c>
      <c r="L4">
        <v>1081</v>
      </c>
      <c r="M4">
        <v>851</v>
      </c>
      <c r="N4" s="4">
        <v>43770</v>
      </c>
      <c r="O4">
        <v>409</v>
      </c>
      <c r="P4">
        <v>461</v>
      </c>
      <c r="Q4" s="4">
        <v>44136</v>
      </c>
      <c r="R4">
        <v>390</v>
      </c>
      <c r="S4">
        <v>427</v>
      </c>
      <c r="T4" s="4">
        <v>44501</v>
      </c>
      <c r="U4">
        <v>354</v>
      </c>
      <c r="V4">
        <v>970</v>
      </c>
      <c r="W4" s="4">
        <v>44866</v>
      </c>
      <c r="X4">
        <v>393</v>
      </c>
      <c r="Y4">
        <v>335</v>
      </c>
    </row>
    <row r="5" spans="1:25">
      <c r="K5" s="4">
        <v>43525</v>
      </c>
      <c r="L5">
        <v>1127</v>
      </c>
      <c r="M5">
        <v>485</v>
      </c>
      <c r="N5" s="4">
        <v>43800</v>
      </c>
      <c r="O5">
        <v>384</v>
      </c>
      <c r="P5">
        <v>390</v>
      </c>
      <c r="Q5" s="4">
        <v>44166</v>
      </c>
      <c r="R5">
        <v>354</v>
      </c>
      <c r="S5">
        <v>391</v>
      </c>
      <c r="T5" s="4">
        <v>44531</v>
      </c>
      <c r="U5">
        <v>343</v>
      </c>
      <c r="V5">
        <v>243</v>
      </c>
      <c r="W5" s="4">
        <v>44896</v>
      </c>
      <c r="X5">
        <v>478</v>
      </c>
      <c r="Y5">
        <v>345</v>
      </c>
    </row>
    <row r="6" spans="1:25">
      <c r="K6" s="4">
        <v>43556</v>
      </c>
      <c r="L6">
        <v>0</v>
      </c>
      <c r="M6">
        <v>1511</v>
      </c>
      <c r="N6" s="4">
        <v>43831</v>
      </c>
      <c r="O6">
        <v>345</v>
      </c>
      <c r="P6">
        <v>364</v>
      </c>
      <c r="Q6" s="4">
        <v>44197</v>
      </c>
      <c r="R6">
        <v>380</v>
      </c>
      <c r="S6">
        <v>731</v>
      </c>
      <c r="T6" s="4">
        <v>44562</v>
      </c>
      <c r="U6">
        <v>361</v>
      </c>
      <c r="V6">
        <v>879</v>
      </c>
      <c r="W6" s="4">
        <v>44927</v>
      </c>
    </row>
    <row r="7" spans="1:25">
      <c r="K7" s="4">
        <v>43586</v>
      </c>
      <c r="L7">
        <v>1069</v>
      </c>
      <c r="M7">
        <v>522</v>
      </c>
      <c r="N7" s="4">
        <v>43862</v>
      </c>
      <c r="O7">
        <v>411</v>
      </c>
      <c r="P7">
        <v>446</v>
      </c>
      <c r="Q7" s="4">
        <v>44228</v>
      </c>
      <c r="R7">
        <v>343</v>
      </c>
      <c r="S7">
        <v>747</v>
      </c>
      <c r="T7" s="4">
        <v>44593</v>
      </c>
      <c r="U7">
        <v>617</v>
      </c>
      <c r="V7">
        <v>205</v>
      </c>
      <c r="W7" s="4">
        <v>44958</v>
      </c>
    </row>
    <row r="8" spans="1:25">
      <c r="K8" s="4">
        <v>43617</v>
      </c>
      <c r="L8">
        <v>472</v>
      </c>
      <c r="M8">
        <v>506</v>
      </c>
      <c r="N8" s="4">
        <v>43891</v>
      </c>
      <c r="O8">
        <v>388</v>
      </c>
      <c r="P8">
        <v>363</v>
      </c>
      <c r="Q8" s="4">
        <v>44256</v>
      </c>
      <c r="R8">
        <v>421</v>
      </c>
      <c r="S8">
        <v>318</v>
      </c>
      <c r="T8" s="4">
        <v>44621</v>
      </c>
      <c r="U8">
        <v>201</v>
      </c>
      <c r="V8">
        <v>478</v>
      </c>
      <c r="W8" s="4">
        <v>44986</v>
      </c>
    </row>
    <row r="9" spans="1:25">
      <c r="K9" s="4">
        <v>43647</v>
      </c>
      <c r="L9">
        <v>396</v>
      </c>
      <c r="M9">
        <v>417</v>
      </c>
      <c r="N9" s="4">
        <v>43922</v>
      </c>
      <c r="O9">
        <v>334</v>
      </c>
      <c r="P9">
        <v>1059</v>
      </c>
      <c r="Q9" s="4">
        <v>44287</v>
      </c>
      <c r="R9">
        <v>339</v>
      </c>
      <c r="S9">
        <v>434</v>
      </c>
      <c r="T9" s="4">
        <v>44652</v>
      </c>
      <c r="U9">
        <v>423</v>
      </c>
      <c r="V9">
        <v>405</v>
      </c>
      <c r="W9" s="4">
        <v>45017</v>
      </c>
    </row>
    <row r="10" spans="1:25">
      <c r="K10" s="4">
        <v>43678</v>
      </c>
      <c r="L10">
        <v>459</v>
      </c>
      <c r="M10">
        <v>479</v>
      </c>
      <c r="N10" s="4">
        <v>43952</v>
      </c>
      <c r="O10">
        <v>370</v>
      </c>
      <c r="P10">
        <v>777</v>
      </c>
      <c r="Q10" s="4">
        <v>44317</v>
      </c>
      <c r="R10">
        <v>478</v>
      </c>
      <c r="S10">
        <v>345</v>
      </c>
      <c r="T10" s="4">
        <v>44682</v>
      </c>
      <c r="U10">
        <v>450</v>
      </c>
      <c r="V10">
        <v>417</v>
      </c>
      <c r="W10" s="4">
        <v>45047</v>
      </c>
    </row>
    <row r="11" spans="1:25">
      <c r="K11" s="4">
        <v>43709</v>
      </c>
      <c r="L11">
        <v>441</v>
      </c>
      <c r="M11">
        <v>357</v>
      </c>
      <c r="N11" s="4">
        <v>43983</v>
      </c>
      <c r="O11">
        <v>436</v>
      </c>
      <c r="P11">
        <v>509</v>
      </c>
      <c r="Q11" s="4">
        <v>44348</v>
      </c>
      <c r="R11">
        <v>383</v>
      </c>
      <c r="S11">
        <v>449</v>
      </c>
      <c r="T11" s="4">
        <v>44713</v>
      </c>
      <c r="U11">
        <v>471</v>
      </c>
      <c r="V11">
        <v>430</v>
      </c>
      <c r="W11" s="4">
        <v>45078</v>
      </c>
    </row>
    <row r="12" spans="1:25">
      <c r="N12" s="4">
        <v>44013</v>
      </c>
      <c r="O12">
        <v>529</v>
      </c>
      <c r="P12">
        <v>597</v>
      </c>
      <c r="Q12" s="4">
        <v>44378</v>
      </c>
      <c r="R12">
        <v>429</v>
      </c>
      <c r="S12">
        <v>460</v>
      </c>
      <c r="T12" s="4">
        <v>44743</v>
      </c>
      <c r="U12">
        <v>382</v>
      </c>
      <c r="V12">
        <v>444</v>
      </c>
      <c r="W12" s="4">
        <v>45108</v>
      </c>
    </row>
    <row r="13" spans="1:25">
      <c r="N13" s="4">
        <v>44044</v>
      </c>
      <c r="O13">
        <v>507</v>
      </c>
      <c r="P13">
        <v>802</v>
      </c>
      <c r="Q13" s="4">
        <v>44409</v>
      </c>
      <c r="R13">
        <v>447</v>
      </c>
      <c r="S13">
        <v>382</v>
      </c>
      <c r="T13" s="4">
        <v>44774</v>
      </c>
      <c r="U13">
        <v>426</v>
      </c>
      <c r="V13">
        <v>471</v>
      </c>
      <c r="W13" s="4">
        <v>45139</v>
      </c>
    </row>
    <row r="14" spans="1:25">
      <c r="N14" s="4">
        <v>44075</v>
      </c>
      <c r="O14">
        <v>436</v>
      </c>
      <c r="P14">
        <v>1254</v>
      </c>
      <c r="Q14" s="4">
        <v>44440</v>
      </c>
      <c r="R14">
        <v>450</v>
      </c>
      <c r="S14">
        <v>722</v>
      </c>
      <c r="T14" s="4">
        <v>44805</v>
      </c>
      <c r="U14">
        <v>438</v>
      </c>
      <c r="V14">
        <v>385</v>
      </c>
      <c r="W14" s="4">
        <v>45170</v>
      </c>
    </row>
    <row r="22" spans="11:25">
      <c r="K22" s="14" t="s">
        <v>128</v>
      </c>
    </row>
    <row r="23" spans="11:25">
      <c r="L23" t="s">
        <v>113</v>
      </c>
      <c r="M23" t="s">
        <v>114</v>
      </c>
      <c r="O23" t="s">
        <v>113</v>
      </c>
      <c r="P23" t="s">
        <v>114</v>
      </c>
      <c r="R23" t="s">
        <v>113</v>
      </c>
      <c r="S23" t="s">
        <v>114</v>
      </c>
      <c r="U23" t="s">
        <v>113</v>
      </c>
      <c r="V23" t="s">
        <v>114</v>
      </c>
      <c r="X23" t="s">
        <v>113</v>
      </c>
      <c r="Y23" t="s">
        <v>114</v>
      </c>
    </row>
    <row r="24" spans="11:25">
      <c r="K24" s="4">
        <v>43466</v>
      </c>
      <c r="L24" s="10">
        <v>19.100000000000001</v>
      </c>
      <c r="M24">
        <v>17</v>
      </c>
      <c r="N24" s="4">
        <v>43739</v>
      </c>
      <c r="O24" s="10">
        <v>14</v>
      </c>
      <c r="P24">
        <v>14</v>
      </c>
      <c r="Q24" s="4">
        <v>44105</v>
      </c>
      <c r="R24" s="10">
        <v>13.766666666666667</v>
      </c>
      <c r="S24" s="10">
        <v>14.5625</v>
      </c>
      <c r="T24" s="4">
        <v>44470</v>
      </c>
      <c r="U24" s="10">
        <v>13.878787878787879</v>
      </c>
      <c r="V24" s="10">
        <v>1.5</v>
      </c>
      <c r="W24" s="4">
        <v>44835</v>
      </c>
      <c r="X24" s="10">
        <v>12</v>
      </c>
      <c r="Y24" s="10">
        <v>14</v>
      </c>
    </row>
    <row r="25" spans="11:25">
      <c r="K25" s="4">
        <v>43497</v>
      </c>
      <c r="L25" s="10">
        <v>43.24</v>
      </c>
      <c r="M25">
        <v>16</v>
      </c>
      <c r="N25" s="4">
        <v>43770</v>
      </c>
      <c r="O25" s="10">
        <v>13</v>
      </c>
      <c r="P25">
        <v>14</v>
      </c>
      <c r="Q25" s="4">
        <v>44136</v>
      </c>
      <c r="R25" s="10">
        <v>12.580645161290322</v>
      </c>
      <c r="S25" s="10">
        <v>13.34375</v>
      </c>
      <c r="T25" s="4">
        <v>44501</v>
      </c>
      <c r="U25" s="10">
        <v>12.642857142857142</v>
      </c>
      <c r="V25" s="10">
        <v>33</v>
      </c>
      <c r="W25" s="4">
        <v>44866</v>
      </c>
      <c r="X25" s="10">
        <v>11.909090909090908</v>
      </c>
      <c r="Y25" s="10">
        <v>10.806451612903226</v>
      </c>
    </row>
    <row r="26" spans="11:25">
      <c r="K26" s="4">
        <v>43525</v>
      </c>
      <c r="L26" s="10">
        <v>37.56666666666667</v>
      </c>
      <c r="M26">
        <v>17</v>
      </c>
      <c r="N26" s="4">
        <v>43800</v>
      </c>
      <c r="O26" s="10">
        <v>11</v>
      </c>
      <c r="P26">
        <v>14</v>
      </c>
      <c r="Q26" s="4">
        <v>44166</v>
      </c>
      <c r="R26" s="10">
        <v>11.419354838709678</v>
      </c>
      <c r="S26" s="10">
        <v>12.612903225806452</v>
      </c>
      <c r="T26" s="4">
        <v>44531</v>
      </c>
      <c r="U26" s="10">
        <v>11</v>
      </c>
      <c r="V26" s="10">
        <v>14</v>
      </c>
      <c r="W26" s="4">
        <v>44896</v>
      </c>
      <c r="X26" s="10">
        <v>17.071428571428573</v>
      </c>
      <c r="Y26" s="10">
        <v>11.896551724137931</v>
      </c>
    </row>
    <row r="27" spans="11:25">
      <c r="K27" s="4">
        <v>43556</v>
      </c>
      <c r="L27" s="10">
        <v>0</v>
      </c>
      <c r="M27">
        <v>31</v>
      </c>
      <c r="N27" s="4">
        <v>43831</v>
      </c>
      <c r="O27">
        <v>13</v>
      </c>
      <c r="P27">
        <v>11</v>
      </c>
      <c r="Q27" s="4">
        <v>44197</v>
      </c>
      <c r="R27" s="10">
        <v>12.258064516129032</v>
      </c>
      <c r="S27" s="10">
        <v>13.537037037037036</v>
      </c>
      <c r="T27" s="4">
        <v>44562</v>
      </c>
      <c r="U27">
        <v>12</v>
      </c>
      <c r="V27">
        <v>13</v>
      </c>
      <c r="W27" s="4">
        <v>44927</v>
      </c>
      <c r="X27" s="10"/>
    </row>
    <row r="28" spans="11:25">
      <c r="K28" s="4">
        <v>43586</v>
      </c>
      <c r="L28" s="10">
        <v>34.483870967741936</v>
      </c>
      <c r="M28">
        <v>18</v>
      </c>
      <c r="N28" s="4">
        <v>43862</v>
      </c>
      <c r="O28" s="10">
        <v>14.172413793103448</v>
      </c>
      <c r="P28" s="10">
        <v>13.515151515151516</v>
      </c>
      <c r="Q28" s="4">
        <v>44228</v>
      </c>
      <c r="R28" s="10">
        <v>11.827586206896552</v>
      </c>
      <c r="S28" s="10">
        <v>13.833333333333334</v>
      </c>
      <c r="T28" s="4">
        <v>44593</v>
      </c>
      <c r="U28">
        <v>22</v>
      </c>
      <c r="V28">
        <v>13</v>
      </c>
      <c r="W28" s="4">
        <v>44958</v>
      </c>
    </row>
    <row r="29" spans="11:25">
      <c r="K29" s="4">
        <v>43617</v>
      </c>
      <c r="L29" s="10">
        <v>15.733333333333333</v>
      </c>
      <c r="M29">
        <v>17</v>
      </c>
      <c r="N29" s="4">
        <v>43891</v>
      </c>
      <c r="O29">
        <v>16</v>
      </c>
      <c r="P29">
        <v>13</v>
      </c>
      <c r="Q29" s="4">
        <v>44256</v>
      </c>
      <c r="R29" s="10">
        <v>14.033333333333333</v>
      </c>
      <c r="S29" s="10">
        <v>12.72</v>
      </c>
      <c r="T29" s="4">
        <v>44621</v>
      </c>
      <c r="U29" s="10">
        <v>6.4838709677419351</v>
      </c>
      <c r="V29" s="10">
        <v>14.484848484848484</v>
      </c>
      <c r="W29" s="4">
        <v>44986</v>
      </c>
      <c r="X29" s="10"/>
      <c r="Y29" s="10"/>
    </row>
    <row r="30" spans="11:25">
      <c r="K30" s="4">
        <v>43647</v>
      </c>
      <c r="L30" s="10">
        <v>12.774193548387096</v>
      </c>
      <c r="M30">
        <v>14</v>
      </c>
      <c r="N30" s="4">
        <v>43922</v>
      </c>
      <c r="O30">
        <v>10</v>
      </c>
      <c r="P30">
        <v>18</v>
      </c>
      <c r="Q30" s="4">
        <v>44287</v>
      </c>
      <c r="R30" s="10">
        <v>11.689655172413794</v>
      </c>
      <c r="S30" s="10">
        <v>12.764705882352942</v>
      </c>
      <c r="T30" s="4">
        <v>44652</v>
      </c>
      <c r="U30" s="10">
        <v>14</v>
      </c>
      <c r="V30" s="10">
        <v>14</v>
      </c>
      <c r="W30" s="4">
        <v>45017</v>
      </c>
      <c r="X30" s="10"/>
      <c r="Y30" s="10"/>
    </row>
    <row r="31" spans="11:25">
      <c r="K31" s="4">
        <v>43678</v>
      </c>
      <c r="L31" s="10">
        <v>14.806451612903226</v>
      </c>
      <c r="M31">
        <v>14</v>
      </c>
      <c r="N31" s="4">
        <v>43952</v>
      </c>
      <c r="O31">
        <v>11</v>
      </c>
      <c r="P31">
        <v>12</v>
      </c>
      <c r="Q31" s="4">
        <v>44317</v>
      </c>
      <c r="R31" s="10">
        <v>15.419354838709678</v>
      </c>
      <c r="S31" s="10">
        <v>12.777777777777779</v>
      </c>
      <c r="T31" s="4">
        <v>44682</v>
      </c>
      <c r="U31">
        <v>15</v>
      </c>
      <c r="V31">
        <v>15</v>
      </c>
      <c r="W31" s="4">
        <v>45047</v>
      </c>
    </row>
    <row r="32" spans="11:25">
      <c r="K32" s="4">
        <v>43709</v>
      </c>
      <c r="L32" s="10">
        <v>14</v>
      </c>
      <c r="M32">
        <v>16</v>
      </c>
      <c r="N32" s="4">
        <v>43983</v>
      </c>
      <c r="O32">
        <v>15</v>
      </c>
      <c r="P32" s="10">
        <v>13.394736842105264</v>
      </c>
      <c r="Q32" s="4">
        <v>44348</v>
      </c>
      <c r="R32" s="10">
        <v>10.638888888888889</v>
      </c>
      <c r="S32" s="10">
        <v>15.482758620689655</v>
      </c>
      <c r="T32" s="4">
        <v>44713</v>
      </c>
      <c r="U32">
        <v>14</v>
      </c>
      <c r="V32">
        <v>13</v>
      </c>
      <c r="W32" s="4">
        <v>45078</v>
      </c>
    </row>
    <row r="33" spans="14:25">
      <c r="N33" s="4">
        <v>44013</v>
      </c>
      <c r="O33" s="10">
        <v>17.06451612903226</v>
      </c>
      <c r="P33" s="10">
        <v>13.266666666666667</v>
      </c>
      <c r="Q33" s="4">
        <v>44378</v>
      </c>
      <c r="R33" s="10">
        <v>15</v>
      </c>
      <c r="S33" s="10">
        <v>12</v>
      </c>
      <c r="T33" s="4">
        <v>44743</v>
      </c>
      <c r="U33" s="10">
        <v>14.148148148148149</v>
      </c>
      <c r="V33" s="10">
        <v>13.454545454545455</v>
      </c>
      <c r="W33" s="4">
        <v>45108</v>
      </c>
      <c r="X33" s="10"/>
      <c r="Y33" s="10"/>
    </row>
    <row r="34" spans="14:25">
      <c r="N34" s="4">
        <v>44044</v>
      </c>
      <c r="O34">
        <v>16</v>
      </c>
      <c r="P34">
        <v>15</v>
      </c>
      <c r="Q34" s="4">
        <v>44409</v>
      </c>
      <c r="R34" s="10">
        <v>16</v>
      </c>
      <c r="S34" s="10">
        <v>15</v>
      </c>
      <c r="T34" s="4">
        <v>44774</v>
      </c>
      <c r="U34" s="10">
        <v>14</v>
      </c>
      <c r="V34" s="10">
        <v>14</v>
      </c>
      <c r="W34" s="4">
        <v>45139</v>
      </c>
      <c r="X34" s="10"/>
      <c r="Y34" s="10"/>
    </row>
    <row r="35" spans="14:25">
      <c r="N35" s="4">
        <v>44075</v>
      </c>
      <c r="O35">
        <v>15</v>
      </c>
      <c r="P35">
        <v>50</v>
      </c>
      <c r="Q35" s="4">
        <v>44440</v>
      </c>
      <c r="R35" s="10">
        <v>15</v>
      </c>
      <c r="S35" s="10">
        <v>13</v>
      </c>
      <c r="T35" s="4">
        <v>44805</v>
      </c>
      <c r="U35" s="10">
        <v>15</v>
      </c>
      <c r="V35" s="10">
        <v>14</v>
      </c>
      <c r="W35" s="4">
        <v>45170</v>
      </c>
      <c r="X35" s="10"/>
      <c r="Y35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CBC5-7755-465B-AF35-66989B4BD872}">
  <dimension ref="A1:X15"/>
  <sheetViews>
    <sheetView workbookViewId="0">
      <selection activeCell="X10" sqref="X10"/>
    </sheetView>
  </sheetViews>
  <sheetFormatPr defaultRowHeight="15"/>
  <cols>
    <col min="10" max="10" width="9.140625" customWidth="1"/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</cols>
  <sheetData>
    <row r="1" spans="1:24" ht="18.75">
      <c r="A1" s="3" t="s">
        <v>129</v>
      </c>
    </row>
    <row r="3" spans="1:24">
      <c r="K3" t="s">
        <v>113</v>
      </c>
      <c r="L3" t="s">
        <v>114</v>
      </c>
      <c r="N3" t="s">
        <v>113</v>
      </c>
      <c r="O3" t="s">
        <v>114</v>
      </c>
      <c r="Q3" t="s">
        <v>113</v>
      </c>
      <c r="R3" t="s">
        <v>114</v>
      </c>
      <c r="T3" t="s">
        <v>113</v>
      </c>
      <c r="U3" t="s">
        <v>114</v>
      </c>
      <c r="W3" t="s">
        <v>113</v>
      </c>
      <c r="X3" t="s">
        <v>114</v>
      </c>
    </row>
    <row r="4" spans="1:24">
      <c r="J4" s="4">
        <v>43466</v>
      </c>
      <c r="K4" s="7">
        <v>0</v>
      </c>
      <c r="L4" s="7">
        <v>13.977396243291592</v>
      </c>
      <c r="M4" s="4">
        <v>43739</v>
      </c>
      <c r="N4" s="7">
        <v>0</v>
      </c>
      <c r="O4" s="7">
        <v>14.793744755244754</v>
      </c>
      <c r="P4" s="4">
        <v>44105</v>
      </c>
      <c r="Q4" s="15">
        <v>0</v>
      </c>
      <c r="R4" s="15">
        <v>14.235050429184547</v>
      </c>
      <c r="S4" s="4">
        <v>44470</v>
      </c>
      <c r="T4" s="15">
        <v>0</v>
      </c>
      <c r="U4">
        <v>29.187000000000001</v>
      </c>
      <c r="V4" s="4">
        <v>44835</v>
      </c>
      <c r="W4" s="15">
        <v>12.83285635359116</v>
      </c>
      <c r="X4" s="16">
        <v>16.647797085201791</v>
      </c>
    </row>
    <row r="5" spans="1:24">
      <c r="J5" s="4">
        <v>43497</v>
      </c>
      <c r="K5" s="7">
        <v>0</v>
      </c>
      <c r="L5" s="7">
        <v>13.1867027027027</v>
      </c>
      <c r="M5" s="4">
        <v>43770</v>
      </c>
      <c r="N5" s="7">
        <v>0</v>
      </c>
      <c r="O5" s="7">
        <v>14.68</v>
      </c>
      <c r="P5" s="4">
        <v>44136</v>
      </c>
      <c r="Q5" s="15">
        <v>0</v>
      </c>
      <c r="R5" s="15">
        <v>13.45341100702576</v>
      </c>
      <c r="S5" s="4">
        <v>44501</v>
      </c>
      <c r="T5" s="16">
        <v>11.429050847457628</v>
      </c>
      <c r="U5" s="16">
        <v>64.255993457743443</v>
      </c>
      <c r="V5" s="4">
        <v>44866</v>
      </c>
      <c r="W5" s="16">
        <v>13.87675445292621</v>
      </c>
      <c r="X5" s="16">
        <v>13.34981791044776</v>
      </c>
    </row>
    <row r="6" spans="1:24">
      <c r="J6" s="4">
        <v>43525</v>
      </c>
      <c r="K6" s="7">
        <v>0</v>
      </c>
      <c r="L6" s="7">
        <v>14.066515463917526</v>
      </c>
      <c r="M6" s="4">
        <v>43800</v>
      </c>
      <c r="N6" s="7">
        <v>0</v>
      </c>
      <c r="O6" s="7">
        <v>14.14</v>
      </c>
      <c r="P6" s="4">
        <v>44166</v>
      </c>
      <c r="Q6" s="15">
        <v>0</v>
      </c>
      <c r="R6" s="15">
        <v>12.995088235294117</v>
      </c>
      <c r="S6" s="4">
        <v>44531</v>
      </c>
      <c r="T6" s="16">
        <v>11.047644314868803</v>
      </c>
      <c r="U6" s="16">
        <v>15.165235294117647</v>
      </c>
      <c r="V6" s="4">
        <v>44896</v>
      </c>
      <c r="W6" s="16">
        <v>16.159617154811716</v>
      </c>
      <c r="X6" s="15">
        <v>14.767499999999998</v>
      </c>
    </row>
    <row r="7" spans="1:24">
      <c r="J7" s="4">
        <v>43556</v>
      </c>
      <c r="K7" s="7">
        <v>0</v>
      </c>
      <c r="L7" s="7">
        <v>29.199020516214429</v>
      </c>
      <c r="M7" s="4">
        <v>43831</v>
      </c>
      <c r="N7" s="15">
        <v>0</v>
      </c>
      <c r="O7" s="15">
        <v>13.54</v>
      </c>
      <c r="P7" s="4">
        <v>44197</v>
      </c>
      <c r="Q7" s="15">
        <v>0</v>
      </c>
      <c r="R7" s="16">
        <v>12.619889192886456</v>
      </c>
      <c r="S7" s="4">
        <v>44562</v>
      </c>
      <c r="T7" s="15">
        <v>11.659662049861494</v>
      </c>
      <c r="U7" s="15">
        <v>7.4363003412969277</v>
      </c>
      <c r="V7" s="4">
        <v>44927</v>
      </c>
      <c r="W7" s="15"/>
      <c r="X7" s="15"/>
    </row>
    <row r="8" spans="1:24">
      <c r="J8" s="4">
        <v>43586</v>
      </c>
      <c r="K8" s="7">
        <v>0</v>
      </c>
      <c r="L8" s="7">
        <v>14.83856896551724</v>
      </c>
      <c r="M8" s="4">
        <v>43862</v>
      </c>
      <c r="N8" s="15">
        <v>0</v>
      </c>
      <c r="O8" s="15">
        <v>14.333486547085199</v>
      </c>
      <c r="P8" s="4">
        <v>44228</v>
      </c>
      <c r="Q8" s="15">
        <v>0</v>
      </c>
      <c r="R8" s="16">
        <v>0</v>
      </c>
      <c r="S8" s="4">
        <v>44593</v>
      </c>
      <c r="T8" s="15">
        <v>17.637123176661262</v>
      </c>
      <c r="U8" s="15">
        <v>16.654917073170729</v>
      </c>
      <c r="V8" s="4">
        <v>44958</v>
      </c>
      <c r="W8" s="15"/>
      <c r="X8" s="15"/>
    </row>
    <row r="9" spans="1:24">
      <c r="J9" s="4">
        <v>43617</v>
      </c>
      <c r="K9" s="7">
        <v>0</v>
      </c>
      <c r="L9" s="7">
        <v>14.261545454545454</v>
      </c>
      <c r="M9" s="4">
        <v>43891</v>
      </c>
      <c r="N9" s="15">
        <v>0</v>
      </c>
      <c r="O9" s="15">
        <v>14.8</v>
      </c>
      <c r="P9" s="4">
        <v>44256</v>
      </c>
      <c r="Q9" s="15">
        <v>0</v>
      </c>
      <c r="R9" s="16">
        <v>13.708759433962266</v>
      </c>
      <c r="S9" s="4">
        <v>44621</v>
      </c>
      <c r="T9" s="15">
        <v>5.5090149253731342</v>
      </c>
      <c r="U9" s="15">
        <v>15.081456066945606</v>
      </c>
      <c r="V9" s="4">
        <v>44986</v>
      </c>
      <c r="W9" s="15"/>
      <c r="X9" s="15"/>
    </row>
    <row r="10" spans="1:24">
      <c r="J10" s="4">
        <v>43647</v>
      </c>
      <c r="K10" s="7">
        <v>0</v>
      </c>
      <c r="L10" s="7">
        <v>13.931905275779375</v>
      </c>
      <c r="M10" s="4">
        <v>43922</v>
      </c>
      <c r="N10" s="15">
        <v>0</v>
      </c>
      <c r="O10" s="15">
        <v>15.35</v>
      </c>
      <c r="P10" s="4">
        <v>44287</v>
      </c>
      <c r="Q10" s="15">
        <v>0</v>
      </c>
      <c r="R10" s="16">
        <v>12.88</v>
      </c>
      <c r="S10" s="4">
        <v>44652</v>
      </c>
      <c r="T10" s="15">
        <v>13.473079196217492</v>
      </c>
      <c r="U10" s="15">
        <v>14.654180246913578</v>
      </c>
      <c r="V10" s="4">
        <v>45017</v>
      </c>
      <c r="W10" s="15"/>
      <c r="X10" s="15"/>
    </row>
    <row r="11" spans="1:24">
      <c r="J11" s="4">
        <v>43678</v>
      </c>
      <c r="K11" s="7">
        <v>0</v>
      </c>
      <c r="L11" s="7">
        <v>14.460277661795407</v>
      </c>
      <c r="M11" s="4">
        <v>43952</v>
      </c>
      <c r="N11" s="15">
        <v>0</v>
      </c>
      <c r="O11" s="15">
        <v>0</v>
      </c>
      <c r="P11" s="4">
        <v>44317</v>
      </c>
      <c r="Q11" s="15">
        <v>0</v>
      </c>
      <c r="R11" s="16">
        <v>13.51</v>
      </c>
      <c r="S11" s="4">
        <v>44682</v>
      </c>
      <c r="T11" s="15">
        <v>14.125424444444445</v>
      </c>
      <c r="U11" s="15">
        <v>15.737625899280577</v>
      </c>
      <c r="V11" s="4">
        <v>45047</v>
      </c>
      <c r="W11" s="15"/>
      <c r="X11" s="15"/>
    </row>
    <row r="12" spans="1:24">
      <c r="J12" s="4">
        <v>43709</v>
      </c>
      <c r="K12" s="7">
        <v>0</v>
      </c>
      <c r="L12" s="7">
        <v>15.76</v>
      </c>
      <c r="M12" s="4">
        <v>43983</v>
      </c>
      <c r="N12" s="15">
        <v>0</v>
      </c>
      <c r="O12" s="15">
        <v>14.128258349705302</v>
      </c>
      <c r="P12" s="4">
        <v>44348</v>
      </c>
      <c r="Q12" s="15">
        <v>0</v>
      </c>
      <c r="R12" s="16">
        <v>15.116942093541201</v>
      </c>
      <c r="S12" s="4">
        <v>44713</v>
      </c>
      <c r="T12" s="15">
        <v>14.810217622080678</v>
      </c>
      <c r="U12" s="15">
        <v>14.688415116279071</v>
      </c>
      <c r="V12" s="4">
        <v>45078</v>
      </c>
      <c r="W12" s="15"/>
      <c r="X12" s="15"/>
    </row>
    <row r="13" spans="1:24">
      <c r="J13" s="4"/>
      <c r="K13" s="7"/>
      <c r="L13" s="7"/>
      <c r="M13" s="4">
        <v>44013</v>
      </c>
      <c r="N13" s="15">
        <v>0</v>
      </c>
      <c r="O13" s="15">
        <v>12.94730485762144</v>
      </c>
      <c r="P13" s="4">
        <v>44378</v>
      </c>
      <c r="Q13" s="15">
        <v>0</v>
      </c>
      <c r="R13" s="16">
        <v>11.81</v>
      </c>
      <c r="S13" s="4">
        <v>44743</v>
      </c>
      <c r="T13" s="15">
        <v>13.507081151832461</v>
      </c>
      <c r="U13" s="15">
        <v>14.931066441441441</v>
      </c>
      <c r="V13" s="4">
        <v>45108</v>
      </c>
      <c r="W13" s="15"/>
      <c r="X13" s="15"/>
    </row>
    <row r="14" spans="1:24">
      <c r="J14" s="4"/>
      <c r="K14" s="7"/>
      <c r="L14" s="7"/>
      <c r="M14" s="4">
        <v>44044</v>
      </c>
      <c r="N14" s="15">
        <v>0</v>
      </c>
      <c r="O14" s="15">
        <v>5.45</v>
      </c>
      <c r="P14" s="4">
        <v>44409</v>
      </c>
      <c r="Q14" s="15">
        <v>0</v>
      </c>
      <c r="R14" s="16">
        <v>16.26629842931937</v>
      </c>
      <c r="S14" s="4">
        <v>44774</v>
      </c>
      <c r="T14" s="15">
        <v>14.871227699530516</v>
      </c>
      <c r="U14" s="15">
        <v>16.400611464968151</v>
      </c>
      <c r="V14" s="4">
        <v>45139</v>
      </c>
      <c r="W14" s="15"/>
      <c r="X14" s="15"/>
    </row>
    <row r="15" spans="1:24">
      <c r="J15" s="4"/>
      <c r="K15" s="7"/>
      <c r="L15" s="7"/>
      <c r="M15" s="4">
        <v>44075</v>
      </c>
      <c r="N15" s="15">
        <v>0</v>
      </c>
      <c r="O15" s="15">
        <v>6.15</v>
      </c>
      <c r="P15" s="4">
        <v>44440</v>
      </c>
      <c r="Q15" s="15">
        <v>0</v>
      </c>
      <c r="R15" s="16">
        <v>13.35</v>
      </c>
      <c r="S15" s="4">
        <v>44805</v>
      </c>
      <c r="T15" s="15">
        <v>15.195700913242009</v>
      </c>
      <c r="U15" s="16">
        <v>16.964829870129869</v>
      </c>
      <c r="V15" s="4">
        <v>45170</v>
      </c>
      <c r="W15" s="15"/>
      <c r="X15" s="16"/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Props1.xml><?xml version="1.0" encoding="utf-8"?>
<ds:datastoreItem xmlns:ds="http://schemas.openxmlformats.org/officeDocument/2006/customXml" ds:itemID="{5A09F030-8C92-4ADB-96A2-F871CE7DC0BD}"/>
</file>

<file path=customXml/itemProps2.xml><?xml version="1.0" encoding="utf-8"?>
<ds:datastoreItem xmlns:ds="http://schemas.openxmlformats.org/officeDocument/2006/customXml" ds:itemID="{ACEAD459-0BB2-463E-8A6C-15E2FAC7BD48}"/>
</file>

<file path=customXml/itemProps3.xml><?xml version="1.0" encoding="utf-8"?>
<ds:datastoreItem xmlns:ds="http://schemas.openxmlformats.org/officeDocument/2006/customXml" ds:itemID="{840990FE-6B8F-440F-98CE-70EE91E58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2019-06-12T10:02:38Z</dcterms:created>
  <dcterms:modified xsi:type="dcterms:W3CDTF">2023-01-23T12:08:17Z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