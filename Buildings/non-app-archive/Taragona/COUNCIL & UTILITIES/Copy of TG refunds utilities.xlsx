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TG/"/>
    </mc:Choice>
  </mc:AlternateContent>
  <xr:revisionPtr revIDLastSave="0" documentId="8_{B9B2DD9F-3303-45DE-B493-B911307B608E}" xr6:coauthVersionLast="31" xr6:coauthVersionMax="31" xr10:uidLastSave="{00000000-0000-0000-0000-000000000000}"/>
  <bookViews>
    <workbookView xWindow="0" yWindow="0" windowWidth="20490" windowHeight="6945" activeTab="3" xr2:uid="{C56DCC95-256F-49BE-B00F-710CFFD54CC4}"/>
  </bookViews>
  <sheets>
    <sheet name="Sheet1" sheetId="1" r:id="rId1"/>
    <sheet name="Jan 2018" sheetId="2" r:id="rId2"/>
    <sheet name="Feb 2018" sheetId="3" r:id="rId3"/>
    <sheet name="Totals" sheetId="5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C36" i="5"/>
  <c r="B36" i="5"/>
  <c r="C36" i="3"/>
  <c r="B36" i="3" l="1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B36" i="2"/>
  <c r="B36" i="1" l="1"/>
  <c r="C33" i="1" s="1"/>
  <c r="D33" i="1" s="1"/>
  <c r="E33" i="1" s="1"/>
  <c r="C31" i="1"/>
  <c r="D31" i="1" s="1"/>
  <c r="E31" i="1" s="1"/>
  <c r="C28" i="1"/>
  <c r="D28" i="1" s="1"/>
  <c r="E28" i="1" s="1"/>
  <c r="C25" i="1"/>
  <c r="D25" i="1" s="1"/>
  <c r="E25" i="1" s="1"/>
  <c r="C22" i="1"/>
  <c r="D22" i="1" s="1"/>
  <c r="E22" i="1" s="1"/>
  <c r="C21" i="1"/>
  <c r="D21" i="1" s="1"/>
  <c r="E21" i="1" s="1"/>
  <c r="C19" i="1"/>
  <c r="D19" i="1" s="1"/>
  <c r="E19" i="1" s="1"/>
  <c r="C18" i="1"/>
  <c r="D18" i="1" s="1"/>
  <c r="E18" i="1" s="1"/>
  <c r="C16" i="1"/>
  <c r="D16" i="1" s="1"/>
  <c r="E16" i="1" s="1"/>
  <c r="C15" i="1"/>
  <c r="D15" i="1" s="1"/>
  <c r="E15" i="1" s="1"/>
  <c r="C12" i="1"/>
  <c r="D12" i="1" s="1"/>
  <c r="E12" i="1" s="1"/>
  <c r="C11" i="1"/>
  <c r="D11" i="1" s="1"/>
  <c r="E11" i="1" s="1"/>
  <c r="C10" i="1"/>
  <c r="D10" i="1" s="1"/>
  <c r="E10" i="1" s="1"/>
  <c r="C9" i="1"/>
  <c r="D9" i="1" s="1"/>
  <c r="E9" i="1" s="1"/>
  <c r="D8" i="1"/>
  <c r="E8" i="1" s="1"/>
  <c r="C8" i="1"/>
  <c r="C7" i="1"/>
  <c r="D7" i="1" s="1"/>
  <c r="E7" i="1" s="1"/>
  <c r="C6" i="1"/>
  <c r="D6" i="1" s="1"/>
  <c r="E6" i="1" s="1"/>
  <c r="C5" i="1"/>
  <c r="D5" i="1" s="1"/>
  <c r="E5" i="1" s="1"/>
  <c r="C4" i="1"/>
  <c r="D4" i="1" s="1"/>
  <c r="E4" i="1" s="1"/>
  <c r="C3" i="1"/>
  <c r="D3" i="1" s="1"/>
  <c r="E3" i="1" s="1"/>
  <c r="C2" i="1"/>
  <c r="D2" i="1" s="1"/>
  <c r="E2" i="1" s="1"/>
  <c r="C32" i="1" l="1"/>
  <c r="D32" i="1" s="1"/>
  <c r="E32" i="1" s="1"/>
  <c r="C13" i="1"/>
  <c r="D13" i="1" s="1"/>
  <c r="E13" i="1" s="1"/>
  <c r="C20" i="1"/>
  <c r="D20" i="1" s="1"/>
  <c r="E20" i="1" s="1"/>
  <c r="C23" i="1"/>
  <c r="D23" i="1" s="1"/>
  <c r="E23" i="1" s="1"/>
  <c r="C26" i="1"/>
  <c r="D26" i="1" s="1"/>
  <c r="E26" i="1" s="1"/>
  <c r="C29" i="1"/>
  <c r="D29" i="1" s="1"/>
  <c r="E29" i="1" s="1"/>
  <c r="C14" i="1"/>
  <c r="D14" i="1" s="1"/>
  <c r="E14" i="1" s="1"/>
  <c r="C17" i="1"/>
  <c r="D17" i="1" s="1"/>
  <c r="E17" i="1" s="1"/>
  <c r="C24" i="1"/>
  <c r="D24" i="1" s="1"/>
  <c r="E24" i="1" s="1"/>
  <c r="C27" i="1"/>
  <c r="D27" i="1" s="1"/>
  <c r="E27" i="1" s="1"/>
  <c r="C30" i="1"/>
  <c r="D30" i="1" s="1"/>
  <c r="E30" i="1" s="1"/>
  <c r="C35" i="1"/>
  <c r="D35" i="1" s="1"/>
  <c r="E35" i="1" s="1"/>
  <c r="C34" i="1"/>
  <c r="D34" i="1" s="1"/>
  <c r="E34" i="1" s="1"/>
  <c r="E36" i="1" l="1"/>
  <c r="E37" i="1" s="1"/>
  <c r="D36" i="1"/>
  <c r="C36" i="1"/>
</calcChain>
</file>

<file path=xl/sharedStrings.xml><?xml version="1.0" encoding="utf-8"?>
<sst xmlns="http://schemas.openxmlformats.org/spreadsheetml/2006/main" count="89" uniqueCount="78">
  <si>
    <t>TG01</t>
  </si>
  <si>
    <t>Jacques Louis Henri Migault</t>
  </si>
  <si>
    <t>TG02</t>
  </si>
  <si>
    <t>Patricia Sheena Byrne</t>
  </si>
  <si>
    <t>TG03</t>
  </si>
  <si>
    <t>TWO ROMAN PROPERTIES CC</t>
  </si>
  <si>
    <t>TG04</t>
  </si>
  <si>
    <t>Eva-Ecaterina Schefler</t>
  </si>
  <si>
    <t>TG05</t>
  </si>
  <si>
    <t>Sharon Diane Hoffman</t>
  </si>
  <si>
    <t>TG06</t>
  </si>
  <si>
    <t>Zoltan-Levente Erdey</t>
  </si>
  <si>
    <t>TG07</t>
  </si>
  <si>
    <t>Candice Bronwin Springfield</t>
  </si>
  <si>
    <t>TG08</t>
  </si>
  <si>
    <t>Natasha Anthony Thandroyen &amp; Nanda Motaparthi</t>
  </si>
  <si>
    <t>TG09</t>
  </si>
  <si>
    <t>Farahway Investments CC</t>
  </si>
  <si>
    <t>TG10</t>
  </si>
  <si>
    <t>Fredricka Salomina Blignaut - ID 490208 0050 084</t>
  </si>
  <si>
    <t>TG11</t>
  </si>
  <si>
    <t>MUDATHIRO KATO LUBOWA</t>
  </si>
  <si>
    <t>TG12</t>
  </si>
  <si>
    <t>Janine Daniel</t>
  </si>
  <si>
    <t>TG13</t>
  </si>
  <si>
    <t>MA Angela Esteban</t>
  </si>
  <si>
    <t>TG14</t>
  </si>
  <si>
    <t>Cornelius Themba Xulu</t>
  </si>
  <si>
    <t>TG15</t>
  </si>
  <si>
    <t>TG16</t>
  </si>
  <si>
    <t>Susan van Wyk (Santa)</t>
  </si>
  <si>
    <t>TG17</t>
  </si>
  <si>
    <t>Rita Helen Rother</t>
  </si>
  <si>
    <t>TG18</t>
  </si>
  <si>
    <t>James Ralph Green</t>
  </si>
  <si>
    <t>TG19</t>
  </si>
  <si>
    <t>Joseph Mzukisi Holmes</t>
  </si>
  <si>
    <t>TG20</t>
  </si>
  <si>
    <t>Richard John Surr</t>
  </si>
  <si>
    <t>TG21</t>
  </si>
  <si>
    <t>Two Romans Properties CC</t>
  </si>
  <si>
    <t>TG22</t>
  </si>
  <si>
    <t>TG23</t>
  </si>
  <si>
    <t>Mbongiseni Justice Msomi (Deceased Estate)</t>
  </si>
  <si>
    <t>TG24</t>
  </si>
  <si>
    <t>TG25</t>
  </si>
  <si>
    <t>Samuel David Nell Shapiro &amp; Kelsey Leigh Aspeling</t>
  </si>
  <si>
    <t>TG26</t>
  </si>
  <si>
    <t>Charmaine Sinden</t>
  </si>
  <si>
    <t>TG27</t>
  </si>
  <si>
    <t>Janette Mary Bronchi</t>
  </si>
  <si>
    <t>TG28</t>
  </si>
  <si>
    <t>Gregory Brett Tucker</t>
  </si>
  <si>
    <t>TG29</t>
  </si>
  <si>
    <t>Luka &amp; Angelique Mraz</t>
  </si>
  <si>
    <t>TG30</t>
  </si>
  <si>
    <t>Karin Bettina Stander</t>
  </si>
  <si>
    <t>TG31</t>
  </si>
  <si>
    <t>Lynda Jaros</t>
  </si>
  <si>
    <t>TG32</t>
  </si>
  <si>
    <t>Wayne Llewellyn Davids</t>
  </si>
  <si>
    <t>TG33</t>
  </si>
  <si>
    <t>Arthur William Edwards</t>
  </si>
  <si>
    <t>TG34</t>
  </si>
  <si>
    <t>Lukasz Staszak</t>
  </si>
  <si>
    <t>Name</t>
  </si>
  <si>
    <t>levy</t>
  </si>
  <si>
    <t>PQ</t>
  </si>
  <si>
    <t>Rand value</t>
  </si>
  <si>
    <t>Column1</t>
  </si>
  <si>
    <t>Column2</t>
  </si>
  <si>
    <t>total</t>
  </si>
  <si>
    <t>Charged</t>
  </si>
  <si>
    <t>Diff.</t>
  </si>
  <si>
    <t>Unit</t>
  </si>
  <si>
    <t>Total</t>
  </si>
  <si>
    <t>Jan-18</t>
  </si>
  <si>
    <t>Feb-18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</si>
</sst>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&quot;R &quot;#,##0.00;&quot;R-&quot;#,##0.00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theme="1"/>
      <name val="Abad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indexed="64"/>
      </top>
      <bottom style="double">
        <color indexed="64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vertical="center" wrapText="1"/>
    </xf>
    <xf numFmtId="165" fontId="1" fillId="2" borderId="1" xfId="0" applyNumberFormat="1" applyFont="1" applyFill="1" applyBorder="1" applyAlignment="1" applyProtection="1">
      <alignment horizontal="right" vertical="center" wrapText="1"/>
    </xf>
    <xf numFmtId="166" fontId="1" fillId="2" borderId="1" xfId="0" applyNumberFormat="1" applyFont="1" applyFill="1" applyBorder="1" applyAlignment="1" applyProtection="1">
      <alignment horizontal="right" vertical="center" wrapText="1"/>
    </xf>
    <xf numFmtId="0" fontId="1" fillId="2" borderId="2" xfId="0" applyFont="1" applyFill="1" applyBorder="1" applyAlignment="1" applyProtection="1">
      <alignment vertical="center" wrapText="1"/>
    </xf>
    <xf numFmtId="165" fontId="1" fillId="2" borderId="2" xfId="0" applyNumberFormat="1" applyFont="1" applyFill="1" applyBorder="1" applyAlignment="1" applyProtection="1">
      <alignment horizontal="right" vertical="center" wrapText="1"/>
    </xf>
    <xf numFmtId="166" fontId="1" fillId="2" borderId="2" xfId="0" applyNumberFormat="1" applyFont="1" applyFill="1" applyBorder="1" applyAlignment="1" applyProtection="1">
      <alignment horizontal="right" vertical="center" wrapText="1"/>
    </xf>
    <xf numFmtId="165" fontId="1" fillId="2" borderId="3" xfId="0" applyNumberFormat="1" applyFont="1" applyFill="1" applyBorder="1" applyAlignment="1" applyProtection="1">
      <alignment horizontal="right" vertical="center" wrapText="1"/>
    </xf>
    <xf numFmtId="165" fontId="1" fillId="2" borderId="4" xfId="0" applyNumberFormat="1" applyFont="1" applyFill="1" applyBorder="1" applyAlignment="1" applyProtection="1">
      <alignment horizontal="right" vertical="center" wrapText="1"/>
    </xf>
    <xf numFmtId="166" fontId="1" fillId="2" borderId="4" xfId="0" applyNumberFormat="1" applyFont="1" applyFill="1" applyBorder="1" applyAlignment="1" applyProtection="1">
      <alignment horizontal="right" vertical="center" wrapText="1"/>
    </xf>
    <xf numFmtId="0" fontId="1" fillId="2" borderId="3" xfId="0" applyFont="1" applyFill="1" applyBorder="1" applyAlignment="1" applyProtection="1">
      <alignment vertical="center" wrapText="1"/>
    </xf>
    <xf numFmtId="165" fontId="1" fillId="2" borderId="5" xfId="0" applyNumberFormat="1" applyFont="1" applyFill="1" applyBorder="1" applyAlignment="1" applyProtection="1">
      <alignment horizontal="right" vertical="center" wrapText="1"/>
    </xf>
    <xf numFmtId="166" fontId="1" fillId="2" borderId="5" xfId="0" applyNumberFormat="1" applyFont="1" applyFill="1" applyBorder="1" applyAlignment="1" applyProtection="1">
      <alignment horizontal="right" vertical="center" wrapText="1"/>
    </xf>
    <xf numFmtId="0" fontId="2" fillId="3" borderId="0" xfId="0" applyFont="1" applyFill="1"/>
    <xf numFmtId="164" fontId="0" fillId="0" borderId="0" xfId="1" applyFont="1"/>
    <xf numFmtId="0" fontId="5" fillId="0" borderId="0" xfId="0" applyFont="1"/>
    <xf numFmtId="164" fontId="0" fillId="2" borderId="0" xfId="1" applyFont="1" applyFill="1"/>
    <xf numFmtId="0" fontId="5" fillId="2" borderId="0" xfId="0" applyFont="1" applyFill="1"/>
    <xf numFmtId="164" fontId="5" fillId="2" borderId="0" xfId="1" applyFont="1" applyFill="1"/>
    <xf numFmtId="2" fontId="0" fillId="0" borderId="0" xfId="0" applyNumberFormat="1"/>
    <xf numFmtId="2" fontId="5" fillId="2" borderId="0" xfId="0" applyNumberFormat="1" applyFont="1" applyFill="1"/>
    <xf numFmtId="2" fontId="4" fillId="2" borderId="0" xfId="0" applyNumberFormat="1" applyFont="1" applyFill="1"/>
    <xf numFmtId="2" fontId="6" fillId="2" borderId="0" xfId="0" applyNumberFormat="1" applyFont="1" applyFill="1"/>
    <xf numFmtId="2" fontId="0" fillId="0" borderId="0" xfId="1" applyNumberFormat="1" applyFont="1"/>
    <xf numFmtId="2" fontId="0" fillId="2" borderId="0" xfId="1" applyNumberFormat="1" applyFont="1" applyFill="1"/>
    <xf numFmtId="2" fontId="5" fillId="2" borderId="0" xfId="1" applyNumberFormat="1" applyFont="1" applyFill="1"/>
  </cellXfs>
  <cellStyles count="2">
    <cellStyle name="Comma" xfId="1" builtinId="3"/>
    <cellStyle name="Normal" xfId="0" builtinId="0"/>
  </cellStyles>
  <dxfs count="24">
    <dxf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&quot;R &quot;#,##0.00;&quot;R-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&quot;R &quot;#,##0.00;&quot;R-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0.00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&quot;R &quot;#,##0.00;&quot;R-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border outline="0">
        <bottom style="thin">
          <color rgb="FFD0D7E5"/>
        </bottom>
      </border>
    </dxf>
    <dxf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59B14-2E8E-4D69-961A-98C0254E4D30}" name="Table1" displayName="Table1" ref="A1:F37" totalsRowShown="0" headerRowDxfId="23" dataDxfId="22" tableBorderDxfId="21">
  <autoFilter ref="A1:F37" xr:uid="{2A34FE2A-91AE-4F69-89D1-479897137457}"/>
  <tableColumns count="6">
    <tableColumn id="1" xr3:uid="{1FE10A16-4E37-434A-908D-9AA5B5B40AB4}" name="Name" dataDxfId="20"/>
    <tableColumn id="2" xr3:uid="{72675A61-B27B-47CE-9A1D-19AE0AEC19E9}" name="levy" dataDxfId="19"/>
    <tableColumn id="3" xr3:uid="{C8D483DE-9F28-414B-AAF6-11C6E90284FF}" name="PQ" dataDxfId="18"/>
    <tableColumn id="4" xr3:uid="{7DF1742B-509C-4464-BC86-3F137A72D124}" name="Rand value" dataDxfId="17"/>
    <tableColumn id="5" xr3:uid="{591AF42B-314C-4A81-A2DB-1BF553A64503}" name="Column1" dataDxfId="16"/>
    <tableColumn id="6" xr3:uid="{A5B68A20-646B-4705-8759-681D2C0432D1}" name="Column2" dataDxfId="15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5334C-B0C7-4C16-96BB-C345D58BB45D}" name="Table2" displayName="Table2" ref="A1:D36" totalsRowShown="0" dataDxfId="14">
  <autoFilter ref="A1:D36" xr:uid="{D77CC1A2-5D95-4830-B037-E4DFC68F4B49}"/>
  <sortState ref="A2:D36">
    <sortCondition ref="A1:A36"/>
  </sortState>
  <tableColumns count="4">
    <tableColumn id="1" xr3:uid="{6877F2A7-FF61-4B90-BB45-20285319C7D1}" name="Unit" dataDxfId="13"/>
    <tableColumn id="2" xr3:uid="{3E0A0A1B-FCA0-41E7-BB0E-9723BE4E4345}" name="Charged" dataDxfId="12" dataCellStyle="Comma"/>
    <tableColumn id="3" xr3:uid="{BE77709C-7BE4-412A-998F-F28C5FA0996F}" name="PQ" dataDxfId="11" dataCellStyle="Comma"/>
    <tableColumn id="4" xr3:uid="{3625AA64-8EB5-4560-A445-A978EAB78DB5}" name="Diff." dataDxfId="10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FB0ACF-40F7-4337-BFBA-B6FA3FEDB336}" name="Table25" displayName="Table25" ref="A1:D36" totalsRowShown="0" dataDxfId="9">
  <autoFilter ref="A1:D36" xr:uid="{974E5BBB-51EF-4ABB-B1F8-F25887BCB681}"/>
  <sortState ref="A2:D36">
    <sortCondition ref="A1:A36"/>
  </sortState>
  <tableColumns count="4">
    <tableColumn id="1" xr3:uid="{88337C12-1057-4A9D-BD90-4B269F8F7C6D}" name="Unit" dataDxfId="8"/>
    <tableColumn id="2" xr3:uid="{4FB51B66-2894-41BC-8363-165FCBADC3FB}" name="Charged" dataDxfId="7" dataCellStyle="Comma"/>
    <tableColumn id="3" xr3:uid="{2BF26600-6AD5-45A5-B520-AE4E7C78FCDC}" name="PQ" dataDxfId="6" dataCellStyle="Comma"/>
    <tableColumn id="4" xr3:uid="{08A3FE18-8C5B-467C-BC2F-BC38BC34158F}" name="Diff." dataDxfId="5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2EFEFA-8364-487E-B6E3-92C8211C3819}" name="Table256" displayName="Table256" ref="A1:D36" totalsRowShown="0" dataDxfId="4">
  <autoFilter ref="A1:D36" xr:uid="{BFA8D84A-F451-4ACB-A266-68E17DC61430}"/>
  <sortState ref="A2:D36">
    <sortCondition ref="A1:A36"/>
  </sortState>
  <tableColumns count="4">
    <tableColumn id="1" xr3:uid="{B80358F0-C7A5-4ED8-9A78-019E9BA63D5A}" name="Unit" dataDxfId="3"/>
    <tableColumn id="2" xr3:uid="{B63A2148-F276-44E5-AC33-901DD4E2C27A}" name="Jan-18" dataDxfId="2" dataCellStyle="Comma"/>
    <tableColumn id="3" xr3:uid="{ED7D84F7-0CE5-4135-95AA-EAA1FEE5BF56}" name="Feb-18" dataDxfId="1" dataCellStyle="Comma"/>
    <tableColumn id="4" xr3:uid="{E9FD061B-5794-4C05-A620-10D78501D3E3}" name="Total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EF13-C190-4907-94EF-B4CA37FD0475}">
  <dimension ref="A1:F37"/>
  <sheetViews>
    <sheetView workbookViewId="0">
      <selection activeCell="E2" sqref="E2"/>
    </sheetView>
  </sheetViews>
  <sheetFormatPr defaultRowHeight="15" x14ac:dyDescent="0.25"/>
  <cols>
    <col min="1" max="1" width="8.5703125" bestFit="1" customWidth="1"/>
    <col min="2" max="2" width="10.7109375" customWidth="1"/>
    <col min="3" max="3" width="6.5703125" customWidth="1"/>
    <col min="4" max="5" width="16.28515625" customWidth="1"/>
    <col min="6" max="6" width="45" customWidth="1"/>
  </cols>
  <sheetData>
    <row r="1" spans="1:6" ht="15.75" x14ac:dyDescent="0.25">
      <c r="A1" s="13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</row>
    <row r="2" spans="1:6" x14ac:dyDescent="0.25">
      <c r="A2" s="1" t="s">
        <v>0</v>
      </c>
      <c r="B2" s="2">
        <v>1879.4409000000001</v>
      </c>
      <c r="C2" s="3">
        <f>B2/$B$36</f>
        <v>4.0933373957127712E-2</v>
      </c>
      <c r="D2" s="2">
        <f>C2*$D$37</f>
        <v>273.02046674627661</v>
      </c>
      <c r="E2" s="2">
        <f>D2/3</f>
        <v>91.006822248758866</v>
      </c>
      <c r="F2" s="1" t="s">
        <v>1</v>
      </c>
    </row>
    <row r="3" spans="1:6" x14ac:dyDescent="0.25">
      <c r="A3" s="4" t="s">
        <v>2</v>
      </c>
      <c r="B3" s="5">
        <v>1522.2098000000001</v>
      </c>
      <c r="C3" s="6">
        <f t="shared" ref="C3:C35" si="0">B3/$B$36</f>
        <v>3.3153041941677758E-2</v>
      </c>
      <c r="D3" s="5">
        <f t="shared" ref="D3:D35" si="1">C3*$D$37</f>
        <v>221.12662871269663</v>
      </c>
      <c r="E3" s="5">
        <f t="shared" ref="E3:E35" si="2">D3/3</f>
        <v>73.708876237565548</v>
      </c>
      <c r="F3" s="4" t="s">
        <v>3</v>
      </c>
    </row>
    <row r="4" spans="1:6" x14ac:dyDescent="0.25">
      <c r="A4" s="4" t="s">
        <v>4</v>
      </c>
      <c r="B4" s="5">
        <v>1522.2098000000001</v>
      </c>
      <c r="C4" s="6">
        <f t="shared" si="0"/>
        <v>3.3153041941677758E-2</v>
      </c>
      <c r="D4" s="5">
        <f t="shared" si="1"/>
        <v>221.12662871269663</v>
      </c>
      <c r="E4" s="5">
        <f t="shared" si="2"/>
        <v>73.708876237565548</v>
      </c>
      <c r="F4" s="4" t="s">
        <v>5</v>
      </c>
    </row>
    <row r="5" spans="1:6" x14ac:dyDescent="0.25">
      <c r="A5" s="4" t="s">
        <v>6</v>
      </c>
      <c r="B5" s="5">
        <v>1522.2098000000001</v>
      </c>
      <c r="C5" s="6">
        <f t="shared" si="0"/>
        <v>3.3153041941677758E-2</v>
      </c>
      <c r="D5" s="5">
        <f t="shared" si="1"/>
        <v>221.12662871269663</v>
      </c>
      <c r="E5" s="5">
        <f t="shared" si="2"/>
        <v>73.708876237565548</v>
      </c>
      <c r="F5" s="4" t="s">
        <v>7</v>
      </c>
    </row>
    <row r="6" spans="1:6" x14ac:dyDescent="0.25">
      <c r="A6" s="4" t="s">
        <v>8</v>
      </c>
      <c r="B6" s="5">
        <v>1522.2098000000001</v>
      </c>
      <c r="C6" s="6">
        <f t="shared" si="0"/>
        <v>3.3153041941677758E-2</v>
      </c>
      <c r="D6" s="5">
        <f t="shared" si="1"/>
        <v>221.12662871269663</v>
      </c>
      <c r="E6" s="5">
        <f t="shared" si="2"/>
        <v>73.708876237565548</v>
      </c>
      <c r="F6" s="4" t="s">
        <v>9</v>
      </c>
    </row>
    <row r="7" spans="1:6" x14ac:dyDescent="0.25">
      <c r="A7" s="4" t="s">
        <v>10</v>
      </c>
      <c r="B7" s="5">
        <v>1522.2098000000001</v>
      </c>
      <c r="C7" s="6">
        <f t="shared" si="0"/>
        <v>3.3153041941677758E-2</v>
      </c>
      <c r="D7" s="5">
        <f t="shared" si="1"/>
        <v>221.12662871269663</v>
      </c>
      <c r="E7" s="5">
        <f t="shared" si="2"/>
        <v>73.708876237565548</v>
      </c>
      <c r="F7" s="4" t="s">
        <v>11</v>
      </c>
    </row>
    <row r="8" spans="1:6" x14ac:dyDescent="0.25">
      <c r="A8" s="4" t="s">
        <v>12</v>
      </c>
      <c r="B8" s="5">
        <v>1522.2098000000001</v>
      </c>
      <c r="C8" s="6">
        <f t="shared" si="0"/>
        <v>3.3153041941677758E-2</v>
      </c>
      <c r="D8" s="5">
        <f t="shared" si="1"/>
        <v>221.12662871269663</v>
      </c>
      <c r="E8" s="5">
        <f t="shared" si="2"/>
        <v>73.708876237565548</v>
      </c>
      <c r="F8" s="4" t="s">
        <v>13</v>
      </c>
    </row>
    <row r="9" spans="1:6" ht="30" x14ac:dyDescent="0.25">
      <c r="A9" s="4" t="s">
        <v>14</v>
      </c>
      <c r="B9" s="5">
        <v>1522.2098000000001</v>
      </c>
      <c r="C9" s="6">
        <f t="shared" si="0"/>
        <v>3.3153041941677758E-2</v>
      </c>
      <c r="D9" s="5">
        <f t="shared" si="1"/>
        <v>221.12662871269663</v>
      </c>
      <c r="E9" s="5">
        <f t="shared" si="2"/>
        <v>73.708876237565548</v>
      </c>
      <c r="F9" s="4" t="s">
        <v>15</v>
      </c>
    </row>
    <row r="10" spans="1:6" x14ac:dyDescent="0.25">
      <c r="A10" s="4" t="s">
        <v>16</v>
      </c>
      <c r="B10" s="5">
        <v>1522.2098000000001</v>
      </c>
      <c r="C10" s="6">
        <f t="shared" si="0"/>
        <v>3.3153041941677758E-2</v>
      </c>
      <c r="D10" s="5">
        <f t="shared" si="1"/>
        <v>221.12662871269663</v>
      </c>
      <c r="E10" s="5">
        <f t="shared" si="2"/>
        <v>73.708876237565548</v>
      </c>
      <c r="F10" s="4" t="s">
        <v>17</v>
      </c>
    </row>
    <row r="11" spans="1:6" x14ac:dyDescent="0.25">
      <c r="A11" s="4" t="s">
        <v>18</v>
      </c>
      <c r="B11" s="5">
        <v>1522.2098000000001</v>
      </c>
      <c r="C11" s="6">
        <f t="shared" si="0"/>
        <v>3.3153041941677758E-2</v>
      </c>
      <c r="D11" s="5">
        <f t="shared" si="1"/>
        <v>221.12662871269663</v>
      </c>
      <c r="E11" s="5">
        <f t="shared" si="2"/>
        <v>73.708876237565548</v>
      </c>
      <c r="F11" s="4" t="s">
        <v>19</v>
      </c>
    </row>
    <row r="12" spans="1:6" x14ac:dyDescent="0.25">
      <c r="A12" s="4" t="s">
        <v>20</v>
      </c>
      <c r="B12" s="5">
        <v>1522.2098000000001</v>
      </c>
      <c r="C12" s="6">
        <f t="shared" si="0"/>
        <v>3.3153041941677758E-2</v>
      </c>
      <c r="D12" s="5">
        <f t="shared" si="1"/>
        <v>221.12662871269663</v>
      </c>
      <c r="E12" s="5">
        <f t="shared" si="2"/>
        <v>73.708876237565548</v>
      </c>
      <c r="F12" s="4" t="s">
        <v>21</v>
      </c>
    </row>
    <row r="13" spans="1:6" x14ac:dyDescent="0.25">
      <c r="A13" s="4" t="s">
        <v>22</v>
      </c>
      <c r="B13" s="5">
        <v>1522.2098000000001</v>
      </c>
      <c r="C13" s="6">
        <f t="shared" si="0"/>
        <v>3.3153041941677758E-2</v>
      </c>
      <c r="D13" s="5">
        <f t="shared" si="1"/>
        <v>221.12662871269663</v>
      </c>
      <c r="E13" s="5">
        <f t="shared" si="2"/>
        <v>73.708876237565548</v>
      </c>
      <c r="F13" s="4" t="s">
        <v>23</v>
      </c>
    </row>
    <row r="14" spans="1:6" x14ac:dyDescent="0.25">
      <c r="A14" s="4" t="s">
        <v>24</v>
      </c>
      <c r="B14" s="5">
        <v>2221.1819</v>
      </c>
      <c r="C14" s="6">
        <f t="shared" si="0"/>
        <v>4.8376338590643338E-2</v>
      </c>
      <c r="D14" s="5">
        <f t="shared" si="1"/>
        <v>322.66410668533467</v>
      </c>
      <c r="E14" s="5">
        <f t="shared" si="2"/>
        <v>107.5547022284449</v>
      </c>
      <c r="F14" s="4" t="s">
        <v>25</v>
      </c>
    </row>
    <row r="15" spans="1:6" x14ac:dyDescent="0.25">
      <c r="A15" s="4" t="s">
        <v>26</v>
      </c>
      <c r="B15" s="5">
        <v>869.82460000000003</v>
      </c>
      <c r="C15" s="6">
        <f t="shared" si="0"/>
        <v>1.8944386933853058E-2</v>
      </c>
      <c r="D15" s="5">
        <f t="shared" si="1"/>
        <v>126.35668313879589</v>
      </c>
      <c r="E15" s="5">
        <f t="shared" si="2"/>
        <v>42.118894379598629</v>
      </c>
      <c r="F15" s="4" t="s">
        <v>27</v>
      </c>
    </row>
    <row r="16" spans="1:6" x14ac:dyDescent="0.25">
      <c r="A16" s="4" t="s">
        <v>28</v>
      </c>
      <c r="B16" s="5">
        <v>698.97209999999995</v>
      </c>
      <c r="C16" s="6">
        <f t="shared" si="0"/>
        <v>1.5223296648965587E-2</v>
      </c>
      <c r="D16" s="5">
        <f t="shared" si="1"/>
        <v>101.5374779726381</v>
      </c>
      <c r="E16" s="5">
        <f t="shared" si="2"/>
        <v>33.845825990879369</v>
      </c>
      <c r="F16" s="4" t="s">
        <v>5</v>
      </c>
    </row>
    <row r="17" spans="1:6" x14ac:dyDescent="0.25">
      <c r="A17" s="4" t="s">
        <v>29</v>
      </c>
      <c r="B17" s="5">
        <v>931.94629999999995</v>
      </c>
      <c r="C17" s="6">
        <f t="shared" si="0"/>
        <v>2.0297369502739634E-2</v>
      </c>
      <c r="D17" s="5">
        <f t="shared" si="1"/>
        <v>135.38090706042712</v>
      </c>
      <c r="E17" s="5">
        <f t="shared" si="2"/>
        <v>45.126969020142376</v>
      </c>
      <c r="F17" s="4" t="s">
        <v>30</v>
      </c>
    </row>
    <row r="18" spans="1:6" x14ac:dyDescent="0.25">
      <c r="A18" s="4" t="s">
        <v>31</v>
      </c>
      <c r="B18" s="5">
        <v>1149.4079999999999</v>
      </c>
      <c r="C18" s="6">
        <f t="shared" si="0"/>
        <v>2.5033587112696251E-2</v>
      </c>
      <c r="D18" s="5">
        <f t="shared" si="1"/>
        <v>166.97088407616556</v>
      </c>
      <c r="E18" s="5">
        <f t="shared" si="2"/>
        <v>55.656961358721851</v>
      </c>
      <c r="F18" s="4" t="s">
        <v>32</v>
      </c>
    </row>
    <row r="19" spans="1:6" x14ac:dyDescent="0.25">
      <c r="A19" s="4" t="s">
        <v>33</v>
      </c>
      <c r="B19" s="5">
        <v>931.94629999999995</v>
      </c>
      <c r="C19" s="6">
        <f t="shared" si="0"/>
        <v>2.0297369502739634E-2</v>
      </c>
      <c r="D19" s="5">
        <f t="shared" si="1"/>
        <v>135.38090706042712</v>
      </c>
      <c r="E19" s="5">
        <f t="shared" si="2"/>
        <v>45.126969020142376</v>
      </c>
      <c r="F19" s="4" t="s">
        <v>34</v>
      </c>
    </row>
    <row r="20" spans="1:6" x14ac:dyDescent="0.25">
      <c r="A20" s="4" t="s">
        <v>35</v>
      </c>
      <c r="B20" s="5">
        <v>1149.4079999999999</v>
      </c>
      <c r="C20" s="6">
        <f t="shared" si="0"/>
        <v>2.5033587112696251E-2</v>
      </c>
      <c r="D20" s="5">
        <f t="shared" si="1"/>
        <v>166.97088407616556</v>
      </c>
      <c r="E20" s="5">
        <f t="shared" si="2"/>
        <v>55.656961358721851</v>
      </c>
      <c r="F20" s="4" t="s">
        <v>36</v>
      </c>
    </row>
    <row r="21" spans="1:6" x14ac:dyDescent="0.25">
      <c r="A21" s="4" t="s">
        <v>37</v>
      </c>
      <c r="B21" s="5">
        <v>931.94629999999995</v>
      </c>
      <c r="C21" s="6">
        <f t="shared" si="0"/>
        <v>2.0297369502739634E-2</v>
      </c>
      <c r="D21" s="5">
        <f t="shared" si="1"/>
        <v>135.38090706042712</v>
      </c>
      <c r="E21" s="5">
        <f t="shared" si="2"/>
        <v>45.126969020142376</v>
      </c>
      <c r="F21" s="4" t="s">
        <v>38</v>
      </c>
    </row>
    <row r="22" spans="1:6" x14ac:dyDescent="0.25">
      <c r="A22" s="4" t="s">
        <v>39</v>
      </c>
      <c r="B22" s="5">
        <v>1149.4079999999999</v>
      </c>
      <c r="C22" s="6">
        <f t="shared" si="0"/>
        <v>2.5033587112696251E-2</v>
      </c>
      <c r="D22" s="5">
        <f t="shared" si="1"/>
        <v>166.97088407616556</v>
      </c>
      <c r="E22" s="5">
        <f t="shared" si="2"/>
        <v>55.656961358721851</v>
      </c>
      <c r="F22" s="4" t="s">
        <v>40</v>
      </c>
    </row>
    <row r="23" spans="1:6" x14ac:dyDescent="0.25">
      <c r="A23" s="4" t="s">
        <v>41</v>
      </c>
      <c r="B23" s="5">
        <v>698.97209999999995</v>
      </c>
      <c r="C23" s="6">
        <f t="shared" si="0"/>
        <v>1.5223296648965587E-2</v>
      </c>
      <c r="D23" s="5">
        <f t="shared" si="1"/>
        <v>101.5374779726381</v>
      </c>
      <c r="E23" s="5">
        <f t="shared" si="2"/>
        <v>33.845825990879369</v>
      </c>
      <c r="F23" s="4" t="s">
        <v>40</v>
      </c>
    </row>
    <row r="24" spans="1:6" x14ac:dyDescent="0.25">
      <c r="A24" s="4" t="s">
        <v>42</v>
      </c>
      <c r="B24" s="5">
        <v>1118.3471999999999</v>
      </c>
      <c r="C24" s="6">
        <f t="shared" si="0"/>
        <v>2.435709691723038E-2</v>
      </c>
      <c r="D24" s="5">
        <f t="shared" si="1"/>
        <v>162.45877937869261</v>
      </c>
      <c r="E24" s="5">
        <f t="shared" si="2"/>
        <v>54.152926459564206</v>
      </c>
      <c r="F24" s="4" t="s">
        <v>43</v>
      </c>
    </row>
    <row r="25" spans="1:6" x14ac:dyDescent="0.25">
      <c r="A25" s="4" t="s">
        <v>44</v>
      </c>
      <c r="B25" s="5">
        <v>2174.5632999999998</v>
      </c>
      <c r="C25" s="6">
        <f t="shared" si="0"/>
        <v>4.7361006537819675E-2</v>
      </c>
      <c r="D25" s="5">
        <f t="shared" si="1"/>
        <v>315.89196932732682</v>
      </c>
      <c r="E25" s="5">
        <f t="shared" si="2"/>
        <v>105.29732310910894</v>
      </c>
      <c r="F25" s="4" t="s">
        <v>3</v>
      </c>
    </row>
    <row r="26" spans="1:6" ht="30" x14ac:dyDescent="0.25">
      <c r="A26" s="4" t="s">
        <v>45</v>
      </c>
      <c r="B26" s="5">
        <v>1537.7360000000001</v>
      </c>
      <c r="C26" s="6">
        <f t="shared" si="0"/>
        <v>3.3491195565307608E-2</v>
      </c>
      <c r="D26" s="5">
        <f t="shared" si="1"/>
        <v>223.38207094064643</v>
      </c>
      <c r="E26" s="5">
        <f t="shared" si="2"/>
        <v>74.46069031354881</v>
      </c>
      <c r="F26" s="4" t="s">
        <v>46</v>
      </c>
    </row>
    <row r="27" spans="1:6" x14ac:dyDescent="0.25">
      <c r="A27" s="4" t="s">
        <v>47</v>
      </c>
      <c r="B27" s="5">
        <v>1537.7360000000001</v>
      </c>
      <c r="C27" s="6">
        <f t="shared" si="0"/>
        <v>3.3491195565307608E-2</v>
      </c>
      <c r="D27" s="5">
        <f t="shared" si="1"/>
        <v>223.38207094064643</v>
      </c>
      <c r="E27" s="5">
        <f t="shared" si="2"/>
        <v>74.46069031354881</v>
      </c>
      <c r="F27" s="4" t="s">
        <v>48</v>
      </c>
    </row>
    <row r="28" spans="1:6" x14ac:dyDescent="0.25">
      <c r="A28" s="4" t="s">
        <v>49</v>
      </c>
      <c r="B28" s="5">
        <v>1537.7360000000001</v>
      </c>
      <c r="C28" s="6">
        <f t="shared" si="0"/>
        <v>3.3491195565307608E-2</v>
      </c>
      <c r="D28" s="5">
        <f t="shared" si="1"/>
        <v>223.38207094064643</v>
      </c>
      <c r="E28" s="5">
        <f t="shared" si="2"/>
        <v>74.46069031354881</v>
      </c>
      <c r="F28" s="4" t="s">
        <v>50</v>
      </c>
    </row>
    <row r="29" spans="1:6" x14ac:dyDescent="0.25">
      <c r="A29" s="4" t="s">
        <v>51</v>
      </c>
      <c r="B29" s="5">
        <v>1537.7360000000001</v>
      </c>
      <c r="C29" s="6">
        <f t="shared" si="0"/>
        <v>3.3491195565307608E-2</v>
      </c>
      <c r="D29" s="5">
        <f t="shared" si="1"/>
        <v>223.38207094064643</v>
      </c>
      <c r="E29" s="5">
        <f t="shared" si="2"/>
        <v>74.46069031354881</v>
      </c>
      <c r="F29" s="4" t="s">
        <v>52</v>
      </c>
    </row>
    <row r="30" spans="1:6" x14ac:dyDescent="0.25">
      <c r="A30" s="4" t="s">
        <v>53</v>
      </c>
      <c r="B30" s="5">
        <v>2205.6336000000001</v>
      </c>
      <c r="C30" s="6">
        <f t="shared" si="0"/>
        <v>4.80377036389949E-2</v>
      </c>
      <c r="D30" s="5">
        <f t="shared" si="1"/>
        <v>320.40545405991242</v>
      </c>
      <c r="E30" s="5">
        <f t="shared" si="2"/>
        <v>106.80181801997081</v>
      </c>
      <c r="F30" s="4" t="s">
        <v>54</v>
      </c>
    </row>
    <row r="31" spans="1:6" x14ac:dyDescent="0.25">
      <c r="A31" s="4" t="s">
        <v>55</v>
      </c>
      <c r="B31" s="5">
        <v>994.10389999999995</v>
      </c>
      <c r="C31" s="6">
        <f t="shared" si="0"/>
        <v>2.1651133957412062E-2</v>
      </c>
      <c r="D31" s="5">
        <f t="shared" si="1"/>
        <v>144.41034606211554</v>
      </c>
      <c r="E31" s="5">
        <f t="shared" si="2"/>
        <v>48.136782020705176</v>
      </c>
      <c r="F31" s="4" t="s">
        <v>56</v>
      </c>
    </row>
    <row r="32" spans="1:6" x14ac:dyDescent="0.25">
      <c r="A32" s="4" t="s">
        <v>57</v>
      </c>
      <c r="B32" s="5">
        <v>947.49459999999999</v>
      </c>
      <c r="C32" s="6">
        <f t="shared" si="0"/>
        <v>2.0636004454388079E-2</v>
      </c>
      <c r="D32" s="5">
        <f t="shared" si="1"/>
        <v>137.63955968584946</v>
      </c>
      <c r="E32" s="5">
        <f t="shared" si="2"/>
        <v>45.87985322861649</v>
      </c>
      <c r="F32" s="4" t="s">
        <v>58</v>
      </c>
    </row>
    <row r="33" spans="1:6" x14ac:dyDescent="0.25">
      <c r="A33" s="4" t="s">
        <v>59</v>
      </c>
      <c r="B33" s="5">
        <v>1164.9564</v>
      </c>
      <c r="C33" s="6">
        <f t="shared" si="0"/>
        <v>2.5372224242299533E-2</v>
      </c>
      <c r="D33" s="5">
        <f t="shared" si="1"/>
        <v>169.22955122827332</v>
      </c>
      <c r="E33" s="5">
        <f t="shared" si="2"/>
        <v>56.409850409424443</v>
      </c>
      <c r="F33" s="4" t="s">
        <v>60</v>
      </c>
    </row>
    <row r="34" spans="1:6" x14ac:dyDescent="0.25">
      <c r="A34" s="4" t="s">
        <v>61</v>
      </c>
      <c r="B34" s="5">
        <v>698.97209999999995</v>
      </c>
      <c r="C34" s="6">
        <f t="shared" si="0"/>
        <v>1.5223296648965587E-2</v>
      </c>
      <c r="D34" s="5">
        <f t="shared" si="1"/>
        <v>101.5374779726381</v>
      </c>
      <c r="E34" s="5">
        <f t="shared" si="2"/>
        <v>33.845825990879369</v>
      </c>
      <c r="F34" s="4" t="s">
        <v>62</v>
      </c>
    </row>
    <row r="35" spans="1:6" x14ac:dyDescent="0.25">
      <c r="A35" s="4" t="s">
        <v>63</v>
      </c>
      <c r="B35" s="7">
        <v>1102.857</v>
      </c>
      <c r="C35" s="6">
        <f t="shared" si="0"/>
        <v>2.4019727357341217E-2</v>
      </c>
      <c r="D35" s="5">
        <f t="shared" si="1"/>
        <v>160.20856675748536</v>
      </c>
      <c r="E35" s="7">
        <f t="shared" si="2"/>
        <v>53.402855585828455</v>
      </c>
      <c r="F35" s="4" t="s">
        <v>64</v>
      </c>
    </row>
    <row r="36" spans="1:6" ht="15.75" thickBot="1" x14ac:dyDescent="0.3">
      <c r="A36" s="4"/>
      <c r="B36" s="8">
        <f>SUM(B2:B35)</f>
        <v>45914.634399999995</v>
      </c>
      <c r="C36" s="9">
        <f>SUM(C2:C35)</f>
        <v>1.0000000000000004</v>
      </c>
      <c r="D36" s="8">
        <f>SUM(D2:D35)</f>
        <v>6669.874490000002</v>
      </c>
      <c r="E36" s="8">
        <f>SUM(E2:E35)</f>
        <v>2223.2914966666681</v>
      </c>
      <c r="F36" s="4"/>
    </row>
    <row r="37" spans="1:6" ht="15.75" thickTop="1" x14ac:dyDescent="0.25">
      <c r="A37" s="10"/>
      <c r="B37" s="11"/>
      <c r="C37" s="12"/>
      <c r="D37" s="11">
        <v>6669.8744900000029</v>
      </c>
      <c r="E37" s="11">
        <f>E36*3</f>
        <v>6669.8744900000038</v>
      </c>
      <c r="F37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4428-A883-475E-9A16-5065471FA70D}">
  <dimension ref="A1:D36"/>
  <sheetViews>
    <sheetView topLeftCell="A7" workbookViewId="0">
      <selection activeCell="D19" sqref="D19"/>
    </sheetView>
  </sheetViews>
  <sheetFormatPr defaultRowHeight="15" x14ac:dyDescent="0.25"/>
  <cols>
    <col min="1" max="1" width="11" customWidth="1"/>
    <col min="2" max="2" width="11.28515625" style="14" customWidth="1"/>
    <col min="3" max="3" width="9.140625" style="14"/>
    <col min="4" max="4" width="9.140625" style="19"/>
  </cols>
  <sheetData>
    <row r="1" spans="1:4" x14ac:dyDescent="0.25">
      <c r="A1" t="s">
        <v>74</v>
      </c>
      <c r="B1" s="14" t="s">
        <v>72</v>
      </c>
      <c r="C1" s="14" t="s">
        <v>67</v>
      </c>
      <c r="D1" s="19" t="s">
        <v>73</v>
      </c>
    </row>
    <row r="2" spans="1:4" x14ac:dyDescent="0.25">
      <c r="A2" s="17">
        <v>1</v>
      </c>
      <c r="B2" s="16">
        <v>108.38330999999999</v>
      </c>
      <c r="C2" s="16">
        <v>150.84071103323436</v>
      </c>
      <c r="D2" s="22">
        <f t="shared" ref="D2:D35" si="0">C2-B2</f>
        <v>42.457401033234362</v>
      </c>
    </row>
    <row r="3" spans="1:4" x14ac:dyDescent="0.25">
      <c r="A3" s="17">
        <v>2</v>
      </c>
      <c r="B3" s="16">
        <v>108.38330999999999</v>
      </c>
      <c r="C3" s="16">
        <v>122.1699541463408</v>
      </c>
      <c r="D3" s="22">
        <f t="shared" si="0"/>
        <v>13.786644146340805</v>
      </c>
    </row>
    <row r="4" spans="1:4" x14ac:dyDescent="0.25">
      <c r="A4" s="17">
        <v>3</v>
      </c>
      <c r="B4" s="16">
        <v>108.38330999999999</v>
      </c>
      <c r="C4" s="16">
        <v>122.1699541463408</v>
      </c>
      <c r="D4" s="22">
        <f t="shared" si="0"/>
        <v>13.786644146340805</v>
      </c>
    </row>
    <row r="5" spans="1:4" x14ac:dyDescent="0.25">
      <c r="A5" s="17">
        <v>4</v>
      </c>
      <c r="B5" s="16">
        <v>108.38330999999999</v>
      </c>
      <c r="C5" s="16">
        <v>122.1699541463408</v>
      </c>
      <c r="D5" s="22">
        <f t="shared" si="0"/>
        <v>13.786644146340805</v>
      </c>
    </row>
    <row r="6" spans="1:4" x14ac:dyDescent="0.25">
      <c r="A6" s="17">
        <v>5</v>
      </c>
      <c r="B6" s="16">
        <v>108.38330999999999</v>
      </c>
      <c r="C6" s="16">
        <v>122.1699541463408</v>
      </c>
      <c r="D6" s="22">
        <f t="shared" si="0"/>
        <v>13.786644146340805</v>
      </c>
    </row>
    <row r="7" spans="1:4" x14ac:dyDescent="0.25">
      <c r="A7" s="17">
        <v>6</v>
      </c>
      <c r="B7" s="16">
        <v>108.38330999999999</v>
      </c>
      <c r="C7" s="16">
        <v>122.1699541463408</v>
      </c>
      <c r="D7" s="22">
        <f t="shared" si="0"/>
        <v>13.786644146340805</v>
      </c>
    </row>
    <row r="8" spans="1:4" x14ac:dyDescent="0.25">
      <c r="A8" s="17">
        <v>7</v>
      </c>
      <c r="B8" s="16">
        <v>108.38330999999999</v>
      </c>
      <c r="C8" s="16">
        <v>122.1699541463408</v>
      </c>
      <c r="D8" s="22">
        <f t="shared" si="0"/>
        <v>13.786644146340805</v>
      </c>
    </row>
    <row r="9" spans="1:4" x14ac:dyDescent="0.25">
      <c r="A9" s="17">
        <v>8</v>
      </c>
      <c r="B9" s="16">
        <v>108.38330999999999</v>
      </c>
      <c r="C9" s="16">
        <v>122.1699541463408</v>
      </c>
      <c r="D9" s="22">
        <f t="shared" si="0"/>
        <v>13.786644146340805</v>
      </c>
    </row>
    <row r="10" spans="1:4" x14ac:dyDescent="0.25">
      <c r="A10" s="17">
        <v>9</v>
      </c>
      <c r="B10" s="16">
        <v>108.38330999999999</v>
      </c>
      <c r="C10" s="16">
        <v>122.1699541463408</v>
      </c>
      <c r="D10" s="22">
        <f t="shared" si="0"/>
        <v>13.786644146340805</v>
      </c>
    </row>
    <row r="11" spans="1:4" x14ac:dyDescent="0.25">
      <c r="A11" s="17">
        <v>10</v>
      </c>
      <c r="B11" s="16">
        <v>108.38330999999999</v>
      </c>
      <c r="C11" s="16">
        <v>122.1699541463408</v>
      </c>
      <c r="D11" s="22">
        <f t="shared" si="0"/>
        <v>13.786644146340805</v>
      </c>
    </row>
    <row r="12" spans="1:4" x14ac:dyDescent="0.25">
      <c r="A12" s="17">
        <v>11</v>
      </c>
      <c r="B12" s="16">
        <v>108.38330999999999</v>
      </c>
      <c r="C12" s="16">
        <v>122.1699541463408</v>
      </c>
      <c r="D12" s="22">
        <f t="shared" si="0"/>
        <v>13.786644146340805</v>
      </c>
    </row>
    <row r="13" spans="1:4" x14ac:dyDescent="0.25">
      <c r="A13" s="17">
        <v>12</v>
      </c>
      <c r="B13" s="16">
        <v>108.38330999999999</v>
      </c>
      <c r="C13" s="16">
        <v>122.1699541463408</v>
      </c>
      <c r="D13" s="22">
        <f t="shared" si="0"/>
        <v>13.786644146340805</v>
      </c>
    </row>
    <row r="14" spans="1:4" x14ac:dyDescent="0.25">
      <c r="A14" s="17">
        <v>13</v>
      </c>
      <c r="B14" s="16">
        <v>108.38330999999999</v>
      </c>
      <c r="C14" s="16">
        <v>178.26825899667844</v>
      </c>
      <c r="D14" s="22">
        <f t="shared" si="0"/>
        <v>69.884948996678446</v>
      </c>
    </row>
    <row r="15" spans="1:4" x14ac:dyDescent="0.25">
      <c r="A15" s="17">
        <v>14</v>
      </c>
      <c r="B15" s="16">
        <v>108.38330999999999</v>
      </c>
      <c r="C15" s="16">
        <v>69.810634182856532</v>
      </c>
      <c r="D15" s="21">
        <f t="shared" si="0"/>
        <v>-38.572675817143462</v>
      </c>
    </row>
    <row r="16" spans="1:4" x14ac:dyDescent="0.25">
      <c r="A16" s="17">
        <v>15</v>
      </c>
      <c r="B16" s="16">
        <v>108.38330999999999</v>
      </c>
      <c r="C16" s="16">
        <v>56.098304850337662</v>
      </c>
      <c r="D16" s="21">
        <f t="shared" si="0"/>
        <v>-52.285005149662332</v>
      </c>
    </row>
    <row r="17" spans="1:4" x14ac:dyDescent="0.25">
      <c r="A17" s="17">
        <v>16</v>
      </c>
      <c r="B17" s="16">
        <v>108.38330999999999</v>
      </c>
      <c r="C17" s="16">
        <v>74.796415538680634</v>
      </c>
      <c r="D17" s="21">
        <f t="shared" si="0"/>
        <v>-33.586894461319361</v>
      </c>
    </row>
    <row r="18" spans="1:4" x14ac:dyDescent="0.25">
      <c r="A18" s="17">
        <v>17</v>
      </c>
      <c r="B18" s="16">
        <v>108.38330999999999</v>
      </c>
      <c r="C18" s="16">
        <v>92.249519517899074</v>
      </c>
      <c r="D18" s="21">
        <f t="shared" si="0"/>
        <v>-16.13379048210092</v>
      </c>
    </row>
    <row r="19" spans="1:4" x14ac:dyDescent="0.25">
      <c r="A19" s="17">
        <v>18</v>
      </c>
      <c r="B19" s="16">
        <v>108.38330999999999</v>
      </c>
      <c r="C19" s="16">
        <v>74.796415538680634</v>
      </c>
      <c r="D19" s="21">
        <f t="shared" si="0"/>
        <v>-33.586894461319361</v>
      </c>
    </row>
    <row r="20" spans="1:4" x14ac:dyDescent="0.25">
      <c r="A20" s="17">
        <v>19</v>
      </c>
      <c r="B20" s="16">
        <v>108.38330999999999</v>
      </c>
      <c r="C20" s="16">
        <v>92.249519517899074</v>
      </c>
      <c r="D20" s="21">
        <f t="shared" si="0"/>
        <v>-16.13379048210092</v>
      </c>
    </row>
    <row r="21" spans="1:4" x14ac:dyDescent="0.25">
      <c r="A21" s="17">
        <v>20</v>
      </c>
      <c r="B21" s="16">
        <v>108.38330999999999</v>
      </c>
      <c r="C21" s="16">
        <v>74.796415538680634</v>
      </c>
      <c r="D21" s="21">
        <f t="shared" si="0"/>
        <v>-33.586894461319361</v>
      </c>
    </row>
    <row r="22" spans="1:4" x14ac:dyDescent="0.25">
      <c r="A22" s="17">
        <v>21</v>
      </c>
      <c r="B22" s="16">
        <v>108.38330999999999</v>
      </c>
      <c r="C22" s="16">
        <v>92.249519517899074</v>
      </c>
      <c r="D22" s="21">
        <f t="shared" si="0"/>
        <v>-16.13379048210092</v>
      </c>
    </row>
    <row r="23" spans="1:4" x14ac:dyDescent="0.25">
      <c r="A23" s="17">
        <v>22</v>
      </c>
      <c r="B23" s="16">
        <v>108.38330999999999</v>
      </c>
      <c r="C23" s="16">
        <v>56.098304850337662</v>
      </c>
      <c r="D23" s="21">
        <f t="shared" si="0"/>
        <v>-52.285005149662332</v>
      </c>
    </row>
    <row r="24" spans="1:4" x14ac:dyDescent="0.25">
      <c r="A24" s="17">
        <v>23</v>
      </c>
      <c r="B24" s="16">
        <v>108.38330999999999</v>
      </c>
      <c r="C24" s="16">
        <v>89.756632852901475</v>
      </c>
      <c r="D24" s="21">
        <f t="shared" si="0"/>
        <v>-18.626677147098519</v>
      </c>
    </row>
    <row r="25" spans="1:4" x14ac:dyDescent="0.25">
      <c r="A25" s="17">
        <v>24</v>
      </c>
      <c r="B25" s="16">
        <v>108.38330999999999</v>
      </c>
      <c r="C25" s="16">
        <v>174.52672992206163</v>
      </c>
      <c r="D25" s="22">
        <f t="shared" si="0"/>
        <v>66.143419922061639</v>
      </c>
    </row>
    <row r="26" spans="1:4" x14ac:dyDescent="0.25">
      <c r="A26" s="17">
        <v>25</v>
      </c>
      <c r="B26" s="16">
        <v>108.38330999999999</v>
      </c>
      <c r="C26" s="16">
        <v>123.41606039402551</v>
      </c>
      <c r="D26" s="22">
        <f t="shared" si="0"/>
        <v>15.032750394025513</v>
      </c>
    </row>
    <row r="27" spans="1:4" x14ac:dyDescent="0.25">
      <c r="A27" s="17">
        <v>26</v>
      </c>
      <c r="B27" s="16">
        <v>108.38330999999999</v>
      </c>
      <c r="C27" s="16">
        <v>123.41606039402551</v>
      </c>
      <c r="D27" s="22">
        <f t="shared" si="0"/>
        <v>15.032750394025513</v>
      </c>
    </row>
    <row r="28" spans="1:4" x14ac:dyDescent="0.25">
      <c r="A28" s="17">
        <v>27</v>
      </c>
      <c r="B28" s="16">
        <v>108.38330999999999</v>
      </c>
      <c r="C28" s="16">
        <v>123.41606039402551</v>
      </c>
      <c r="D28" s="22">
        <f t="shared" si="0"/>
        <v>15.032750394025513</v>
      </c>
    </row>
    <row r="29" spans="1:4" x14ac:dyDescent="0.25">
      <c r="A29" s="17">
        <v>28</v>
      </c>
      <c r="B29" s="16">
        <v>108.38330999999999</v>
      </c>
      <c r="C29" s="16">
        <v>123.41606039402551</v>
      </c>
      <c r="D29" s="22">
        <f t="shared" si="0"/>
        <v>15.032750394025513</v>
      </c>
    </row>
    <row r="30" spans="1:4" x14ac:dyDescent="0.25">
      <c r="A30" s="17">
        <v>29</v>
      </c>
      <c r="B30" s="16">
        <v>108.38330999999999</v>
      </c>
      <c r="C30" s="16">
        <v>177.02037904080538</v>
      </c>
      <c r="D30" s="22">
        <f t="shared" si="0"/>
        <v>68.637069040805386</v>
      </c>
    </row>
    <row r="31" spans="1:4" x14ac:dyDescent="0.25">
      <c r="A31" s="17">
        <v>30</v>
      </c>
      <c r="B31" s="16">
        <v>108.38330999999999</v>
      </c>
      <c r="C31" s="16">
        <v>79.785078167082176</v>
      </c>
      <c r="D31" s="21">
        <f t="shared" si="0"/>
        <v>-28.598231832917818</v>
      </c>
    </row>
    <row r="32" spans="1:4" x14ac:dyDescent="0.25">
      <c r="A32" s="17">
        <v>31</v>
      </c>
      <c r="B32" s="16">
        <v>108.38330999999999</v>
      </c>
      <c r="C32" s="16">
        <v>76.044295494553708</v>
      </c>
      <c r="D32" s="21">
        <f t="shared" si="0"/>
        <v>-32.339014505446286</v>
      </c>
    </row>
    <row r="33" spans="1:4" x14ac:dyDescent="0.25">
      <c r="A33" s="17">
        <v>32</v>
      </c>
      <c r="B33" s="16">
        <v>108.38330999999999</v>
      </c>
      <c r="C33" s="16">
        <v>93.497407499601053</v>
      </c>
      <c r="D33" s="21">
        <f t="shared" si="0"/>
        <v>-14.885902500398942</v>
      </c>
    </row>
    <row r="34" spans="1:4" x14ac:dyDescent="0.25">
      <c r="A34" s="17">
        <v>33</v>
      </c>
      <c r="B34" s="16">
        <v>108.38330999999999</v>
      </c>
      <c r="C34" s="16">
        <v>56.098304850337662</v>
      </c>
      <c r="D34" s="21">
        <f t="shared" si="0"/>
        <v>-52.285005149662332</v>
      </c>
    </row>
    <row r="35" spans="1:4" x14ac:dyDescent="0.25">
      <c r="A35" s="17">
        <v>34</v>
      </c>
      <c r="B35" s="16">
        <v>108.38330999999999</v>
      </c>
      <c r="C35" s="16">
        <v>88.513415903623113</v>
      </c>
      <c r="D35" s="21">
        <f t="shared" si="0"/>
        <v>-19.869894096376882</v>
      </c>
    </row>
    <row r="36" spans="1:4" s="15" customFormat="1" x14ac:dyDescent="0.25">
      <c r="A36" s="17" t="s">
        <v>71</v>
      </c>
      <c r="B36" s="18">
        <f>SUM(B2:B35)</f>
        <v>3685.0325400000015</v>
      </c>
      <c r="C36" s="18"/>
      <c r="D36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AC6E-3120-4062-980C-EA9DFAC002B5}">
  <dimension ref="A1:D36"/>
  <sheetViews>
    <sheetView workbookViewId="0">
      <selection activeCell="D2" sqref="D2:D35"/>
    </sheetView>
  </sheetViews>
  <sheetFormatPr defaultRowHeight="15" x14ac:dyDescent="0.25"/>
  <cols>
    <col min="1" max="1" width="11" customWidth="1"/>
    <col min="2" max="2" width="11.28515625" style="14" customWidth="1"/>
    <col min="3" max="3" width="11.5703125" style="14" customWidth="1"/>
    <col min="4" max="4" width="10.42578125" style="19" customWidth="1"/>
  </cols>
  <sheetData>
    <row r="1" spans="1:4" x14ac:dyDescent="0.25">
      <c r="A1" t="s">
        <v>74</v>
      </c>
      <c r="B1" s="14" t="s">
        <v>72</v>
      </c>
      <c r="C1" s="14" t="s">
        <v>67</v>
      </c>
      <c r="D1" s="19" t="s">
        <v>73</v>
      </c>
    </row>
    <row r="2" spans="1:4" x14ac:dyDescent="0.25">
      <c r="A2" s="17">
        <v>1</v>
      </c>
      <c r="B2" s="16">
        <v>196.17277911764705</v>
      </c>
      <c r="C2" s="16">
        <v>273.02046674627661</v>
      </c>
      <c r="D2" s="22">
        <f t="shared" ref="D2:D35" si="0">C2-B2</f>
        <v>76.847687628629558</v>
      </c>
    </row>
    <row r="3" spans="1:4" x14ac:dyDescent="0.25">
      <c r="A3" s="17">
        <v>2</v>
      </c>
      <c r="B3" s="16">
        <v>196.17277911764705</v>
      </c>
      <c r="C3" s="16">
        <v>221.12662871269663</v>
      </c>
      <c r="D3" s="22">
        <f t="shared" si="0"/>
        <v>24.953849595049576</v>
      </c>
    </row>
    <row r="4" spans="1:4" x14ac:dyDescent="0.25">
      <c r="A4" s="17">
        <v>3</v>
      </c>
      <c r="B4" s="16">
        <v>196.17277911764705</v>
      </c>
      <c r="C4" s="16">
        <v>221.12662871269663</v>
      </c>
      <c r="D4" s="22">
        <f t="shared" si="0"/>
        <v>24.953849595049576</v>
      </c>
    </row>
    <row r="5" spans="1:4" x14ac:dyDescent="0.25">
      <c r="A5" s="17">
        <v>4</v>
      </c>
      <c r="B5" s="16">
        <v>196.17277911764705</v>
      </c>
      <c r="C5" s="16">
        <v>221.12662871269663</v>
      </c>
      <c r="D5" s="22">
        <f t="shared" si="0"/>
        <v>24.953849595049576</v>
      </c>
    </row>
    <row r="6" spans="1:4" x14ac:dyDescent="0.25">
      <c r="A6" s="17">
        <v>5</v>
      </c>
      <c r="B6" s="16">
        <v>196.17277911764705</v>
      </c>
      <c r="C6" s="16">
        <v>221.12662871269663</v>
      </c>
      <c r="D6" s="22">
        <f t="shared" si="0"/>
        <v>24.953849595049576</v>
      </c>
    </row>
    <row r="7" spans="1:4" x14ac:dyDescent="0.25">
      <c r="A7" s="17">
        <v>6</v>
      </c>
      <c r="B7" s="16">
        <v>196.17277911764705</v>
      </c>
      <c r="C7" s="16">
        <v>221.12662871269663</v>
      </c>
      <c r="D7" s="22">
        <f t="shared" si="0"/>
        <v>24.953849595049576</v>
      </c>
    </row>
    <row r="8" spans="1:4" x14ac:dyDescent="0.25">
      <c r="A8" s="17">
        <v>7</v>
      </c>
      <c r="B8" s="16">
        <v>196.17277911764705</v>
      </c>
      <c r="C8" s="16">
        <v>221.12662871269663</v>
      </c>
      <c r="D8" s="22">
        <f t="shared" si="0"/>
        <v>24.953849595049576</v>
      </c>
    </row>
    <row r="9" spans="1:4" x14ac:dyDescent="0.25">
      <c r="A9" s="17">
        <v>8</v>
      </c>
      <c r="B9" s="16">
        <v>196.17277911764705</v>
      </c>
      <c r="C9" s="16">
        <v>221.12662871269663</v>
      </c>
      <c r="D9" s="22">
        <f t="shared" si="0"/>
        <v>24.953849595049576</v>
      </c>
    </row>
    <row r="10" spans="1:4" x14ac:dyDescent="0.25">
      <c r="A10" s="17">
        <v>9</v>
      </c>
      <c r="B10" s="16">
        <v>196.17277911764705</v>
      </c>
      <c r="C10" s="16">
        <v>221.12662871269663</v>
      </c>
      <c r="D10" s="22">
        <f t="shared" si="0"/>
        <v>24.953849595049576</v>
      </c>
    </row>
    <row r="11" spans="1:4" x14ac:dyDescent="0.25">
      <c r="A11" s="17">
        <v>10</v>
      </c>
      <c r="B11" s="16">
        <v>196.17277911764705</v>
      </c>
      <c r="C11" s="16">
        <v>221.12662871269663</v>
      </c>
      <c r="D11" s="22">
        <f t="shared" si="0"/>
        <v>24.953849595049576</v>
      </c>
    </row>
    <row r="12" spans="1:4" x14ac:dyDescent="0.25">
      <c r="A12" s="17">
        <v>11</v>
      </c>
      <c r="B12" s="16">
        <v>196.17277911764705</v>
      </c>
      <c r="C12" s="16">
        <v>221.12662871269663</v>
      </c>
      <c r="D12" s="22">
        <f t="shared" si="0"/>
        <v>24.953849595049576</v>
      </c>
    </row>
    <row r="13" spans="1:4" x14ac:dyDescent="0.25">
      <c r="A13" s="17">
        <v>12</v>
      </c>
      <c r="B13" s="16">
        <v>196.17277911764705</v>
      </c>
      <c r="C13" s="16">
        <v>221.12662871269663</v>
      </c>
      <c r="D13" s="22">
        <f t="shared" si="0"/>
        <v>24.953849595049576</v>
      </c>
    </row>
    <row r="14" spans="1:4" x14ac:dyDescent="0.25">
      <c r="A14" s="17">
        <v>13</v>
      </c>
      <c r="B14" s="16">
        <v>196.17277911764705</v>
      </c>
      <c r="C14" s="16">
        <v>322.66410668533467</v>
      </c>
      <c r="D14" s="22">
        <f t="shared" si="0"/>
        <v>126.49132756768762</v>
      </c>
    </row>
    <row r="15" spans="1:4" x14ac:dyDescent="0.25">
      <c r="A15" s="17">
        <v>14</v>
      </c>
      <c r="B15" s="16">
        <v>196.17277911764705</v>
      </c>
      <c r="C15" s="16">
        <v>126.35668313879589</v>
      </c>
      <c r="D15" s="21">
        <f t="shared" si="0"/>
        <v>-69.816095978851166</v>
      </c>
    </row>
    <row r="16" spans="1:4" x14ac:dyDescent="0.25">
      <c r="A16" s="17">
        <v>15</v>
      </c>
      <c r="B16" s="16">
        <v>196.17277911764705</v>
      </c>
      <c r="C16" s="16">
        <v>101.5374779726381</v>
      </c>
      <c r="D16" s="21">
        <f t="shared" si="0"/>
        <v>-94.635301145008953</v>
      </c>
    </row>
    <row r="17" spans="1:4" x14ac:dyDescent="0.25">
      <c r="A17" s="17">
        <v>16</v>
      </c>
      <c r="B17" s="16">
        <v>196.17277911764705</v>
      </c>
      <c r="C17" s="16">
        <v>135.38090706042712</v>
      </c>
      <c r="D17" s="21">
        <f t="shared" si="0"/>
        <v>-60.791872057219933</v>
      </c>
    </row>
    <row r="18" spans="1:4" x14ac:dyDescent="0.25">
      <c r="A18" s="17">
        <v>17</v>
      </c>
      <c r="B18" s="16">
        <v>196.17277911764705</v>
      </c>
      <c r="C18" s="16">
        <v>166.97088407616556</v>
      </c>
      <c r="D18" s="21">
        <f t="shared" si="0"/>
        <v>-29.201895041481492</v>
      </c>
    </row>
    <row r="19" spans="1:4" x14ac:dyDescent="0.25">
      <c r="A19" s="17">
        <v>18</v>
      </c>
      <c r="B19" s="16">
        <v>196.17277911764705</v>
      </c>
      <c r="C19" s="16">
        <v>135.38090706042712</v>
      </c>
      <c r="D19" s="21">
        <f t="shared" si="0"/>
        <v>-60.791872057219933</v>
      </c>
    </row>
    <row r="20" spans="1:4" x14ac:dyDescent="0.25">
      <c r="A20" s="17">
        <v>19</v>
      </c>
      <c r="B20" s="16">
        <v>196.17277911764705</v>
      </c>
      <c r="C20" s="16">
        <v>166.97088407616556</v>
      </c>
      <c r="D20" s="21">
        <f t="shared" si="0"/>
        <v>-29.201895041481492</v>
      </c>
    </row>
    <row r="21" spans="1:4" x14ac:dyDescent="0.25">
      <c r="A21" s="17">
        <v>20</v>
      </c>
      <c r="B21" s="16">
        <v>196.17277911764705</v>
      </c>
      <c r="C21" s="16">
        <v>135.38090706042712</v>
      </c>
      <c r="D21" s="21">
        <f t="shared" si="0"/>
        <v>-60.791872057219933</v>
      </c>
    </row>
    <row r="22" spans="1:4" x14ac:dyDescent="0.25">
      <c r="A22" s="17">
        <v>21</v>
      </c>
      <c r="B22" s="16">
        <v>196.17277911764705</v>
      </c>
      <c r="C22" s="16">
        <v>166.97088407616556</v>
      </c>
      <c r="D22" s="21">
        <f t="shared" si="0"/>
        <v>-29.201895041481492</v>
      </c>
    </row>
    <row r="23" spans="1:4" x14ac:dyDescent="0.25">
      <c r="A23" s="17">
        <v>22</v>
      </c>
      <c r="B23" s="16">
        <v>196.17277911764705</v>
      </c>
      <c r="C23" s="16">
        <v>101.5374779726381</v>
      </c>
      <c r="D23" s="21">
        <f t="shared" si="0"/>
        <v>-94.635301145008953</v>
      </c>
    </row>
    <row r="24" spans="1:4" x14ac:dyDescent="0.25">
      <c r="A24" s="17">
        <v>23</v>
      </c>
      <c r="B24" s="16">
        <v>196.17277911764705</v>
      </c>
      <c r="C24" s="16">
        <v>162.45877937869261</v>
      </c>
      <c r="D24" s="21">
        <f t="shared" si="0"/>
        <v>-33.713999738954442</v>
      </c>
    </row>
    <row r="25" spans="1:4" x14ac:dyDescent="0.25">
      <c r="A25" s="17">
        <v>24</v>
      </c>
      <c r="B25" s="16">
        <v>196.17277911764705</v>
      </c>
      <c r="C25" s="16">
        <v>315.89196932732682</v>
      </c>
      <c r="D25" s="22">
        <f t="shared" si="0"/>
        <v>119.71919020967977</v>
      </c>
    </row>
    <row r="26" spans="1:4" x14ac:dyDescent="0.25">
      <c r="A26" s="17">
        <v>25</v>
      </c>
      <c r="B26" s="16">
        <v>196.17277911764705</v>
      </c>
      <c r="C26" s="16">
        <v>223.38207094064643</v>
      </c>
      <c r="D26" s="22">
        <f t="shared" si="0"/>
        <v>27.209291822999376</v>
      </c>
    </row>
    <row r="27" spans="1:4" x14ac:dyDescent="0.25">
      <c r="A27" s="17">
        <v>26</v>
      </c>
      <c r="B27" s="16">
        <v>196.17277911764705</v>
      </c>
      <c r="C27" s="16">
        <v>223.38207094064643</v>
      </c>
      <c r="D27" s="22">
        <f t="shared" si="0"/>
        <v>27.209291822999376</v>
      </c>
    </row>
    <row r="28" spans="1:4" x14ac:dyDescent="0.25">
      <c r="A28" s="17">
        <v>27</v>
      </c>
      <c r="B28" s="16">
        <v>196.17277911764705</v>
      </c>
      <c r="C28" s="16">
        <v>223.38207094064643</v>
      </c>
      <c r="D28" s="22">
        <f t="shared" si="0"/>
        <v>27.209291822999376</v>
      </c>
    </row>
    <row r="29" spans="1:4" x14ac:dyDescent="0.25">
      <c r="A29" s="17">
        <v>28</v>
      </c>
      <c r="B29" s="16">
        <v>196.17277911764705</v>
      </c>
      <c r="C29" s="16">
        <v>223.38207094064643</v>
      </c>
      <c r="D29" s="22">
        <f t="shared" si="0"/>
        <v>27.209291822999376</v>
      </c>
    </row>
    <row r="30" spans="1:4" x14ac:dyDescent="0.25">
      <c r="A30" s="17">
        <v>29</v>
      </c>
      <c r="B30" s="16">
        <v>196.17277911764705</v>
      </c>
      <c r="C30" s="16">
        <v>320.40545405991242</v>
      </c>
      <c r="D30" s="22">
        <f t="shared" si="0"/>
        <v>124.23267494226536</v>
      </c>
    </row>
    <row r="31" spans="1:4" x14ac:dyDescent="0.25">
      <c r="A31" s="17">
        <v>30</v>
      </c>
      <c r="B31" s="16">
        <v>196.17277911764705</v>
      </c>
      <c r="C31" s="16">
        <v>144.41034606211554</v>
      </c>
      <c r="D31" s="21">
        <f t="shared" si="0"/>
        <v>-51.762433055531517</v>
      </c>
    </row>
    <row r="32" spans="1:4" x14ac:dyDescent="0.25">
      <c r="A32" s="17">
        <v>31</v>
      </c>
      <c r="B32" s="16">
        <v>196.17277911764705</v>
      </c>
      <c r="C32" s="16">
        <v>137.63955968584946</v>
      </c>
      <c r="D32" s="21">
        <f t="shared" si="0"/>
        <v>-58.53321943179759</v>
      </c>
    </row>
    <row r="33" spans="1:4" x14ac:dyDescent="0.25">
      <c r="A33" s="17">
        <v>32</v>
      </c>
      <c r="B33" s="16">
        <v>196.17277911764705</v>
      </c>
      <c r="C33" s="16">
        <v>169.22955122827332</v>
      </c>
      <c r="D33" s="21">
        <f t="shared" si="0"/>
        <v>-26.94322788937373</v>
      </c>
    </row>
    <row r="34" spans="1:4" x14ac:dyDescent="0.25">
      <c r="A34" s="17">
        <v>33</v>
      </c>
      <c r="B34" s="16">
        <v>196.17277911764705</v>
      </c>
      <c r="C34" s="16">
        <v>101.5374779726381</v>
      </c>
      <c r="D34" s="21">
        <f t="shared" si="0"/>
        <v>-94.635301145008953</v>
      </c>
    </row>
    <row r="35" spans="1:4" x14ac:dyDescent="0.25">
      <c r="A35" s="17">
        <v>34</v>
      </c>
      <c r="B35" s="16">
        <v>196.17277911764705</v>
      </c>
      <c r="C35" s="16">
        <v>160.20856675748536</v>
      </c>
      <c r="D35" s="21">
        <f t="shared" si="0"/>
        <v>-35.964212360161696</v>
      </c>
    </row>
    <row r="36" spans="1:4" s="15" customFormat="1" x14ac:dyDescent="0.25">
      <c r="A36" s="17" t="s">
        <v>75</v>
      </c>
      <c r="B36" s="18">
        <f>SUM(B2:B35)</f>
        <v>6669.8744900000029</v>
      </c>
      <c r="C36" s="18">
        <f>SUM(C2:C35)</f>
        <v>6669.874490000002</v>
      </c>
      <c r="D36" s="2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962B-399A-4758-A962-8C70C0336789}">
  <dimension ref="A1:D36"/>
  <sheetViews>
    <sheetView tabSelected="1" topLeftCell="A34" workbookViewId="0">
      <selection activeCell="I24" sqref="I24"/>
    </sheetView>
  </sheetViews>
  <sheetFormatPr defaultRowHeight="15" x14ac:dyDescent="0.25"/>
  <cols>
    <col min="1" max="1" width="11" customWidth="1"/>
    <col min="2" max="2" width="11.28515625" style="23" customWidth="1"/>
    <col min="3" max="3" width="11.5703125" style="23" customWidth="1"/>
    <col min="4" max="4" width="10.42578125" style="19" customWidth="1"/>
  </cols>
  <sheetData>
    <row r="1" spans="1:4" x14ac:dyDescent="0.25">
      <c r="A1" t="s">
        <v>74</v>
      </c>
      <c r="B1" s="23" t="s">
        <v>76</v>
      </c>
      <c r="C1" s="23" t="s">
        <v>77</v>
      </c>
      <c r="D1" s="19" t="s">
        <v>75</v>
      </c>
    </row>
    <row r="2" spans="1:4" x14ac:dyDescent="0.25">
      <c r="A2" s="17">
        <v>1</v>
      </c>
      <c r="B2" s="24">
        <v>42.457401033234362</v>
      </c>
      <c r="C2" s="24">
        <v>76.847687628629558</v>
      </c>
      <c r="D2" s="22">
        <f>Table256[[#This Row],[Feb-18]]+Table256[[#This Row],[Jan-18]]</f>
        <v>119.30508866186392</v>
      </c>
    </row>
    <row r="3" spans="1:4" x14ac:dyDescent="0.25">
      <c r="A3" s="17">
        <v>2</v>
      </c>
      <c r="B3" s="24">
        <v>13.786644146340805</v>
      </c>
      <c r="C3" s="24">
        <v>24.953849595049576</v>
      </c>
      <c r="D3" s="22">
        <f>Table256[[#This Row],[Feb-18]]+Table256[[#This Row],[Jan-18]]</f>
        <v>38.740493741390381</v>
      </c>
    </row>
    <row r="4" spans="1:4" x14ac:dyDescent="0.25">
      <c r="A4" s="17">
        <v>3</v>
      </c>
      <c r="B4" s="24">
        <v>13.786644146340805</v>
      </c>
      <c r="C4" s="24">
        <v>24.953849595049576</v>
      </c>
      <c r="D4" s="22">
        <f>Table256[[#This Row],[Feb-18]]+Table256[[#This Row],[Jan-18]]</f>
        <v>38.740493741390381</v>
      </c>
    </row>
    <row r="5" spans="1:4" x14ac:dyDescent="0.25">
      <c r="A5" s="17">
        <v>4</v>
      </c>
      <c r="B5" s="24">
        <v>13.786644146340805</v>
      </c>
      <c r="C5" s="24">
        <v>24.953849595049576</v>
      </c>
      <c r="D5" s="22">
        <f>Table256[[#This Row],[Feb-18]]+Table256[[#This Row],[Jan-18]]</f>
        <v>38.740493741390381</v>
      </c>
    </row>
    <row r="6" spans="1:4" x14ac:dyDescent="0.25">
      <c r="A6" s="17">
        <v>5</v>
      </c>
      <c r="B6" s="24">
        <v>13.786644146340805</v>
      </c>
      <c r="C6" s="24">
        <v>24.953849595049576</v>
      </c>
      <c r="D6" s="22">
        <f>Table256[[#This Row],[Feb-18]]+Table256[[#This Row],[Jan-18]]</f>
        <v>38.740493741390381</v>
      </c>
    </row>
    <row r="7" spans="1:4" x14ac:dyDescent="0.25">
      <c r="A7" s="17">
        <v>6</v>
      </c>
      <c r="B7" s="24">
        <v>13.786644146340805</v>
      </c>
      <c r="C7" s="24">
        <v>24.953849595049576</v>
      </c>
      <c r="D7" s="22">
        <f>Table256[[#This Row],[Feb-18]]+Table256[[#This Row],[Jan-18]]</f>
        <v>38.740493741390381</v>
      </c>
    </row>
    <row r="8" spans="1:4" x14ac:dyDescent="0.25">
      <c r="A8" s="17">
        <v>7</v>
      </c>
      <c r="B8" s="24">
        <v>13.786644146340805</v>
      </c>
      <c r="C8" s="24">
        <v>24.953849595049576</v>
      </c>
      <c r="D8" s="22">
        <f>Table256[[#This Row],[Feb-18]]+Table256[[#This Row],[Jan-18]]</f>
        <v>38.740493741390381</v>
      </c>
    </row>
    <row r="9" spans="1:4" x14ac:dyDescent="0.25">
      <c r="A9" s="17">
        <v>8</v>
      </c>
      <c r="B9" s="24">
        <v>13.786644146340805</v>
      </c>
      <c r="C9" s="24">
        <v>24.953849595049576</v>
      </c>
      <c r="D9" s="22">
        <f>Table256[[#This Row],[Feb-18]]+Table256[[#This Row],[Jan-18]]</f>
        <v>38.740493741390381</v>
      </c>
    </row>
    <row r="10" spans="1:4" x14ac:dyDescent="0.25">
      <c r="A10" s="17">
        <v>9</v>
      </c>
      <c r="B10" s="24">
        <v>13.786644146340805</v>
      </c>
      <c r="C10" s="24">
        <v>24.953849595049576</v>
      </c>
      <c r="D10" s="22">
        <f>Table256[[#This Row],[Feb-18]]+Table256[[#This Row],[Jan-18]]</f>
        <v>38.740493741390381</v>
      </c>
    </row>
    <row r="11" spans="1:4" x14ac:dyDescent="0.25">
      <c r="A11" s="17">
        <v>10</v>
      </c>
      <c r="B11" s="24">
        <v>13.786644146340805</v>
      </c>
      <c r="C11" s="24">
        <v>24.953849595049576</v>
      </c>
      <c r="D11" s="22">
        <f>Table256[[#This Row],[Feb-18]]+Table256[[#This Row],[Jan-18]]</f>
        <v>38.740493741390381</v>
      </c>
    </row>
    <row r="12" spans="1:4" x14ac:dyDescent="0.25">
      <c r="A12" s="17">
        <v>11</v>
      </c>
      <c r="B12" s="24">
        <v>13.786644146340805</v>
      </c>
      <c r="C12" s="24">
        <v>24.953849595049576</v>
      </c>
      <c r="D12" s="22">
        <f>Table256[[#This Row],[Feb-18]]+Table256[[#This Row],[Jan-18]]</f>
        <v>38.740493741390381</v>
      </c>
    </row>
    <row r="13" spans="1:4" x14ac:dyDescent="0.25">
      <c r="A13" s="17">
        <v>12</v>
      </c>
      <c r="B13" s="24">
        <v>13.786644146340805</v>
      </c>
      <c r="C13" s="24">
        <v>24.953849595049576</v>
      </c>
      <c r="D13" s="22">
        <f>Table256[[#This Row],[Feb-18]]+Table256[[#This Row],[Jan-18]]</f>
        <v>38.740493741390381</v>
      </c>
    </row>
    <row r="14" spans="1:4" x14ac:dyDescent="0.25">
      <c r="A14" s="17">
        <v>13</v>
      </c>
      <c r="B14" s="24">
        <v>69.884948996678446</v>
      </c>
      <c r="C14" s="24">
        <v>126.49132756768762</v>
      </c>
      <c r="D14" s="22">
        <f>Table256[[#This Row],[Feb-18]]+Table256[[#This Row],[Jan-18]]</f>
        <v>196.37627656436607</v>
      </c>
    </row>
    <row r="15" spans="1:4" x14ac:dyDescent="0.25">
      <c r="A15" s="17">
        <v>14</v>
      </c>
      <c r="B15" s="24">
        <v>-38.572675817143462</v>
      </c>
      <c r="C15" s="24">
        <v>-69.816095978851166</v>
      </c>
      <c r="D15" s="21">
        <f>Table256[[#This Row],[Feb-18]]+Table256[[#This Row],[Jan-18]]</f>
        <v>-108.38877179599463</v>
      </c>
    </row>
    <row r="16" spans="1:4" x14ac:dyDescent="0.25">
      <c r="A16" s="17">
        <v>15</v>
      </c>
      <c r="B16" s="24">
        <v>-52.285005149662332</v>
      </c>
      <c r="C16" s="24">
        <v>-94.635301145008953</v>
      </c>
      <c r="D16" s="21">
        <f>Table256[[#This Row],[Feb-18]]+Table256[[#This Row],[Jan-18]]</f>
        <v>-146.92030629467129</v>
      </c>
    </row>
    <row r="17" spans="1:4" x14ac:dyDescent="0.25">
      <c r="A17" s="17">
        <v>16</v>
      </c>
      <c r="B17" s="24">
        <v>-33.586894461319361</v>
      </c>
      <c r="C17" s="24">
        <v>-60.791872057219933</v>
      </c>
      <c r="D17" s="21">
        <f>Table256[[#This Row],[Feb-18]]+Table256[[#This Row],[Jan-18]]</f>
        <v>-94.378766518539294</v>
      </c>
    </row>
    <row r="18" spans="1:4" x14ac:dyDescent="0.25">
      <c r="A18" s="17">
        <v>17</v>
      </c>
      <c r="B18" s="24">
        <v>-16.13379048210092</v>
      </c>
      <c r="C18" s="24">
        <v>-29.201895041481492</v>
      </c>
      <c r="D18" s="21">
        <f>Table256[[#This Row],[Feb-18]]+Table256[[#This Row],[Jan-18]]</f>
        <v>-45.335685523582413</v>
      </c>
    </row>
    <row r="19" spans="1:4" x14ac:dyDescent="0.25">
      <c r="A19" s="17">
        <v>18</v>
      </c>
      <c r="B19" s="24">
        <v>-33.586894461319361</v>
      </c>
      <c r="C19" s="24">
        <v>-60.791872057219933</v>
      </c>
      <c r="D19" s="21">
        <v>0</v>
      </c>
    </row>
    <row r="20" spans="1:4" x14ac:dyDescent="0.25">
      <c r="A20" s="17">
        <v>19</v>
      </c>
      <c r="B20" s="24">
        <v>-16.13379048210092</v>
      </c>
      <c r="C20" s="24">
        <v>-29.201895041481492</v>
      </c>
      <c r="D20" s="21">
        <f>Table256[[#This Row],[Feb-18]]+Table256[[#This Row],[Jan-18]]</f>
        <v>-45.335685523582413</v>
      </c>
    </row>
    <row r="21" spans="1:4" x14ac:dyDescent="0.25">
      <c r="A21" s="17">
        <v>20</v>
      </c>
      <c r="B21" s="24">
        <v>-33.586894461319361</v>
      </c>
      <c r="C21" s="24">
        <v>-60.791872057219933</v>
      </c>
      <c r="D21" s="21">
        <f>Table256[[#This Row],[Feb-18]]+Table256[[#This Row],[Jan-18]]</f>
        <v>-94.378766518539294</v>
      </c>
    </row>
    <row r="22" spans="1:4" x14ac:dyDescent="0.25">
      <c r="A22" s="17">
        <v>21</v>
      </c>
      <c r="B22" s="24">
        <v>-16.13379048210092</v>
      </c>
      <c r="C22" s="24">
        <v>-29.201895041481492</v>
      </c>
      <c r="D22" s="21">
        <f>Table256[[#This Row],[Feb-18]]+Table256[[#This Row],[Jan-18]]</f>
        <v>-45.335685523582413</v>
      </c>
    </row>
    <row r="23" spans="1:4" x14ac:dyDescent="0.25">
      <c r="A23" s="17">
        <v>22</v>
      </c>
      <c r="B23" s="24">
        <v>-52.285005149662332</v>
      </c>
      <c r="C23" s="24">
        <v>-94.635301145008953</v>
      </c>
      <c r="D23" s="21">
        <f>Table256[[#This Row],[Feb-18]]+Table256[[#This Row],[Jan-18]]</f>
        <v>-146.92030629467129</v>
      </c>
    </row>
    <row r="24" spans="1:4" x14ac:dyDescent="0.25">
      <c r="A24" s="17">
        <v>23</v>
      </c>
      <c r="B24" s="24">
        <v>-18.626677147098519</v>
      </c>
      <c r="C24" s="24">
        <v>-33.713999738954442</v>
      </c>
      <c r="D24" s="21">
        <f>Table256[[#This Row],[Feb-18]]+Table256[[#This Row],[Jan-18]]</f>
        <v>-52.340676886052961</v>
      </c>
    </row>
    <row r="25" spans="1:4" x14ac:dyDescent="0.25">
      <c r="A25" s="17">
        <v>24</v>
      </c>
      <c r="B25" s="24">
        <v>66.143419922061639</v>
      </c>
      <c r="C25" s="24">
        <v>119.71919020967977</v>
      </c>
      <c r="D25" s="22">
        <f>Table256[[#This Row],[Feb-18]]+Table256[[#This Row],[Jan-18]]</f>
        <v>185.86261013174141</v>
      </c>
    </row>
    <row r="26" spans="1:4" x14ac:dyDescent="0.25">
      <c r="A26" s="17">
        <v>25</v>
      </c>
      <c r="B26" s="24">
        <v>15.032750394025513</v>
      </c>
      <c r="C26" s="24">
        <v>27.209291822999376</v>
      </c>
      <c r="D26" s="22">
        <f>Table256[[#This Row],[Feb-18]]+Table256[[#This Row],[Jan-18]]</f>
        <v>42.242042217024888</v>
      </c>
    </row>
    <row r="27" spans="1:4" x14ac:dyDescent="0.25">
      <c r="A27" s="17">
        <v>26</v>
      </c>
      <c r="B27" s="24">
        <v>15.032750394025513</v>
      </c>
      <c r="C27" s="24">
        <v>27.209291822999376</v>
      </c>
      <c r="D27" s="22">
        <f>Table256[[#This Row],[Feb-18]]+Table256[[#This Row],[Jan-18]]</f>
        <v>42.242042217024888</v>
      </c>
    </row>
    <row r="28" spans="1:4" x14ac:dyDescent="0.25">
      <c r="A28" s="17">
        <v>27</v>
      </c>
      <c r="B28" s="24">
        <v>15.032750394025513</v>
      </c>
      <c r="C28" s="24">
        <v>27.209291822999376</v>
      </c>
      <c r="D28" s="22">
        <f>Table256[[#This Row],[Feb-18]]+Table256[[#This Row],[Jan-18]]</f>
        <v>42.242042217024888</v>
      </c>
    </row>
    <row r="29" spans="1:4" x14ac:dyDescent="0.25">
      <c r="A29" s="17">
        <v>28</v>
      </c>
      <c r="B29" s="24">
        <v>15.032750394025513</v>
      </c>
      <c r="C29" s="24">
        <v>27.209291822999376</v>
      </c>
      <c r="D29" s="22">
        <f>Table256[[#This Row],[Feb-18]]+Table256[[#This Row],[Jan-18]]</f>
        <v>42.242042217024888</v>
      </c>
    </row>
    <row r="30" spans="1:4" x14ac:dyDescent="0.25">
      <c r="A30" s="17">
        <v>29</v>
      </c>
      <c r="B30" s="24">
        <v>68.637069040805386</v>
      </c>
      <c r="C30" s="24">
        <v>124.23267494226536</v>
      </c>
      <c r="D30" s="22">
        <f>Table256[[#This Row],[Feb-18]]+Table256[[#This Row],[Jan-18]]</f>
        <v>192.86974398307075</v>
      </c>
    </row>
    <row r="31" spans="1:4" x14ac:dyDescent="0.25">
      <c r="A31" s="17">
        <v>30</v>
      </c>
      <c r="B31" s="24">
        <v>-28.598231832917818</v>
      </c>
      <c r="C31" s="24">
        <v>-51.762433055531517</v>
      </c>
      <c r="D31" s="21">
        <f>Table256[[#This Row],[Feb-18]]+Table256[[#This Row],[Jan-18]]</f>
        <v>-80.360664888449335</v>
      </c>
    </row>
    <row r="32" spans="1:4" x14ac:dyDescent="0.25">
      <c r="A32" s="17">
        <v>31</v>
      </c>
      <c r="B32" s="24">
        <v>-32.339014505446286</v>
      </c>
      <c r="C32" s="24">
        <v>-58.53321943179759</v>
      </c>
      <c r="D32" s="21">
        <f>Table256[[#This Row],[Feb-18]]+Table256[[#This Row],[Jan-18]]</f>
        <v>-90.872233937243877</v>
      </c>
    </row>
    <row r="33" spans="1:4" x14ac:dyDescent="0.25">
      <c r="A33" s="17">
        <v>32</v>
      </c>
      <c r="B33" s="24">
        <v>-14.885902500398942</v>
      </c>
      <c r="C33" s="24">
        <v>-26.94322788937373</v>
      </c>
      <c r="D33" s="21">
        <f>Table256[[#This Row],[Feb-18]]+Table256[[#This Row],[Jan-18]]</f>
        <v>-41.829130389772672</v>
      </c>
    </row>
    <row r="34" spans="1:4" x14ac:dyDescent="0.25">
      <c r="A34" s="17">
        <v>33</v>
      </c>
      <c r="B34" s="24">
        <v>-52.285005149662332</v>
      </c>
      <c r="C34" s="24">
        <v>-94.635301145008953</v>
      </c>
      <c r="D34" s="21">
        <f>Table256[[#This Row],[Feb-18]]+Table256[[#This Row],[Jan-18]]</f>
        <v>-146.92030629467129</v>
      </c>
    </row>
    <row r="35" spans="1:4" x14ac:dyDescent="0.25">
      <c r="A35" s="17">
        <v>34</v>
      </c>
      <c r="B35" s="24">
        <v>-19.869894096376882</v>
      </c>
      <c r="C35" s="24">
        <v>-35.964212360161696</v>
      </c>
      <c r="D35" s="21">
        <f>Table256[[#This Row],[Feb-18]]+Table256[[#This Row],[Jan-18]]</f>
        <v>-55.834106456538578</v>
      </c>
    </row>
    <row r="36" spans="1:4" s="15" customFormat="1" x14ac:dyDescent="0.25">
      <c r="A36" s="17" t="s">
        <v>75</v>
      </c>
      <c r="B36" s="25">
        <f>SUM(B2:B35)</f>
        <v>-2.5399999990511901E-3</v>
      </c>
      <c r="C36" s="25">
        <f>SUM(C2:C35)</f>
        <v>3.893774191965349E-12</v>
      </c>
      <c r="D36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Jan 2018</vt:lpstr>
      <vt:lpstr>Feb 2018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Viet</dc:creator>
  <cp:lastModifiedBy>Maike von Fintel</cp:lastModifiedBy>
  <cp:lastPrinted>2018-04-20T10:11:55Z</cp:lastPrinted>
  <dcterms:created xsi:type="dcterms:W3CDTF">2018-04-20T10:07:29Z</dcterms:created>
  <dcterms:modified xsi:type="dcterms:W3CDTF">2018-04-20T12:04:17Z</dcterms:modified>
</cp:coreProperties>
</file>