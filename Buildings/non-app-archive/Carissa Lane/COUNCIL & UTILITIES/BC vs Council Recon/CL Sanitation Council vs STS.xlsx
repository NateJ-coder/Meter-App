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ziopro-my.sharepoint.com/personal/calla_sectionalts_co/Documents/Desktop/STS vs Council Accounts/"/>
    </mc:Choice>
  </mc:AlternateContent>
  <xr:revisionPtr revIDLastSave="193" documentId="13_ncr:1_{D2977BF2-3209-4E8E-9F01-CB6B1762CD19}" xr6:coauthVersionLast="47" xr6:coauthVersionMax="47" xr10:uidLastSave="{C55699A8-1721-4829-B605-C1754C482D1D}"/>
  <bookViews>
    <workbookView xWindow="28680" yWindow="-120" windowWidth="29040" windowHeight="15990" firstSheet="1" xr2:uid="{CEC9573A-3296-41AA-A085-37D3FBC3267A}"/>
  </bookViews>
  <sheets>
    <sheet name="Data" sheetId="1" r:id="rId1"/>
    <sheet name="Collected Graph" sheetId="2" r:id="rId2"/>
    <sheet name="WCU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3" l="1"/>
  <c r="BZ5" i="1"/>
  <c r="BZ6" i="1" s="1"/>
  <c r="BY5" i="1"/>
  <c r="BY6" i="1" s="1"/>
  <c r="P7" i="3"/>
  <c r="P6" i="3"/>
  <c r="L12" i="3"/>
  <c r="L13" i="3"/>
  <c r="L14" i="3"/>
  <c r="L15" i="3"/>
  <c r="P4" i="3"/>
  <c r="P5" i="3"/>
  <c r="O16" i="3"/>
  <c r="K16" i="3"/>
  <c r="L16" i="3"/>
  <c r="P16" i="3"/>
  <c r="BX5" i="1"/>
  <c r="BX6" i="1" s="1"/>
  <c r="AH4" i="2"/>
  <c r="AH3" i="2"/>
  <c r="AG15" i="2"/>
  <c r="AH15" i="2"/>
  <c r="BW5" i="1"/>
  <c r="BW6" i="1" s="1"/>
  <c r="BV5" i="1"/>
  <c r="BV6" i="1" s="1"/>
  <c r="AD14" i="2"/>
  <c r="AD13" i="2"/>
  <c r="BU5" i="1"/>
  <c r="BU6" i="1"/>
  <c r="M16" i="3" l="1"/>
  <c r="Q16" i="3"/>
  <c r="AI15" i="2"/>
  <c r="AD12" i="2"/>
  <c r="BT5" i="1"/>
  <c r="BT6" i="1"/>
  <c r="BS5" i="1"/>
  <c r="BS6" i="1"/>
  <c r="BR5" i="1"/>
  <c r="AD11" i="2"/>
  <c r="BR6" i="1"/>
  <c r="AD10" i="2"/>
  <c r="BQ5" i="1"/>
  <c r="BQ6" i="1" s="1"/>
  <c r="BP5" i="1"/>
  <c r="BP6" i="1" s="1"/>
  <c r="BO5" i="1"/>
  <c r="BO6" i="1"/>
  <c r="BN5" i="1"/>
  <c r="BN6" i="1"/>
  <c r="BM5" i="1"/>
  <c r="BM6" i="1" s="1"/>
  <c r="BL5" i="1"/>
  <c r="BL6" i="1" s="1"/>
  <c r="BK5" i="1"/>
  <c r="BK6" i="1" s="1"/>
  <c r="AD15" i="2"/>
  <c r="AC15" i="2"/>
  <c r="BJ5" i="1"/>
  <c r="BJ6" i="1" s="1"/>
  <c r="BI5" i="1"/>
  <c r="BI6" i="1" s="1"/>
  <c r="BH5" i="1"/>
  <c r="BH6" i="1" s="1"/>
  <c r="BG5" i="1"/>
  <c r="BG6" i="1" s="1"/>
  <c r="BF5" i="1"/>
  <c r="BF6" i="1" s="1"/>
  <c r="BE5" i="1"/>
  <c r="BE6" i="1" s="1"/>
  <c r="BD5" i="1"/>
  <c r="BD6" i="1" s="1"/>
  <c r="BC5" i="1"/>
  <c r="BC6" i="1"/>
  <c r="BB5" i="1"/>
  <c r="BB6" i="1" s="1"/>
  <c r="BA5" i="1"/>
  <c r="BA6" i="1" s="1"/>
  <c r="AZ5" i="1"/>
  <c r="AZ6" i="1" s="1"/>
  <c r="Z15" i="2"/>
  <c r="V15" i="2"/>
  <c r="AY5" i="1"/>
  <c r="AY6" i="1"/>
  <c r="AX5" i="1"/>
  <c r="AX6" i="1" s="1"/>
  <c r="Y15" i="2"/>
  <c r="AW5" i="1"/>
  <c r="AW6" i="1" s="1"/>
  <c r="AV5" i="1"/>
  <c r="AV6" i="1" s="1"/>
  <c r="AU5" i="1"/>
  <c r="AU6" i="1" s="1"/>
  <c r="AT5" i="1"/>
  <c r="AT6" i="1" s="1"/>
  <c r="AS5" i="1"/>
  <c r="AS6" i="1" s="1"/>
  <c r="AR5" i="1"/>
  <c r="AR6" i="1" s="1"/>
  <c r="AQ5" i="1"/>
  <c r="AQ6" i="1"/>
  <c r="AP5" i="1"/>
  <c r="AP6" i="1" s="1"/>
  <c r="AO6" i="1"/>
  <c r="AO5" i="1"/>
  <c r="AN5" i="1"/>
  <c r="AN6" i="1" s="1"/>
  <c r="U15" i="2"/>
  <c r="AM5" i="1"/>
  <c r="AM6" i="1" s="1"/>
  <c r="AL5" i="1"/>
  <c r="AL6" i="1" s="1"/>
  <c r="AI5" i="1"/>
  <c r="AJ5" i="1"/>
  <c r="AJ6" i="1" s="1"/>
  <c r="AK5" i="1"/>
  <c r="AI6" i="1"/>
  <c r="AK6" i="1"/>
  <c r="AE15" i="2" l="1"/>
  <c r="AA15" i="2"/>
  <c r="W15" i="2"/>
  <c r="AH5" i="1"/>
  <c r="AH6" i="1" s="1"/>
  <c r="AG5" i="1" l="1"/>
  <c r="AG6" i="1" s="1"/>
  <c r="AF5" i="1" l="1"/>
  <c r="AF6" i="1" s="1"/>
  <c r="AE5" i="1"/>
  <c r="AE6" i="1" l="1"/>
  <c r="R6" i="2" l="1"/>
  <c r="R15" i="2" s="1"/>
  <c r="AD5" i="1"/>
  <c r="AD6" i="1"/>
  <c r="AC5" i="1" l="1"/>
  <c r="AC6" i="1" l="1"/>
  <c r="AB5" i="1" l="1"/>
  <c r="AB6" i="1" s="1"/>
  <c r="AA5" i="1" l="1"/>
  <c r="AA6" i="1" s="1"/>
  <c r="Z6" i="1" l="1"/>
  <c r="Q15" i="2"/>
  <c r="S15" i="2" l="1"/>
  <c r="N14" i="2"/>
  <c r="N16" i="2" s="1"/>
  <c r="X6" i="1" l="1"/>
  <c r="Y6" i="1"/>
  <c r="W6" i="1"/>
  <c r="M16" i="2" l="1"/>
  <c r="U6" i="1"/>
  <c r="V5" i="1"/>
  <c r="V6" i="1" s="1"/>
  <c r="U5" i="1"/>
  <c r="T5" i="1"/>
  <c r="T6" i="1" s="1"/>
  <c r="S5" i="1"/>
  <c r="S6" i="1" s="1"/>
  <c r="R5" i="1"/>
  <c r="R6" i="1" s="1"/>
  <c r="O16" i="2" l="1"/>
  <c r="Q5" i="1"/>
  <c r="Q6" i="1" s="1"/>
  <c r="P5" i="1"/>
  <c r="P6" i="1" s="1"/>
  <c r="O5" i="1"/>
  <c r="O6" i="1" s="1"/>
  <c r="N5" i="1"/>
  <c r="N6" i="1" s="1"/>
  <c r="M5" i="1"/>
  <c r="M6" i="1" s="1"/>
  <c r="L5" i="1"/>
  <c r="L6" i="1" s="1"/>
  <c r="K5" i="1"/>
  <c r="K6" i="1" s="1"/>
  <c r="J5" i="1"/>
  <c r="J6" i="1" s="1"/>
  <c r="I5" i="1"/>
  <c r="I6" i="1" s="1"/>
  <c r="H5" i="1"/>
  <c r="H6" i="1" s="1"/>
  <c r="G5" i="1"/>
  <c r="G6" i="1" s="1"/>
  <c r="F5" i="1"/>
  <c r="F6" i="1" s="1"/>
  <c r="E5" i="1"/>
  <c r="E6" i="1" s="1"/>
  <c r="D5" i="1"/>
  <c r="D6" i="1" s="1"/>
  <c r="C5" i="1"/>
  <c r="C6" i="1" s="1"/>
  <c r="B5" i="1"/>
  <c r="B6" i="1" s="1"/>
</calcChain>
</file>

<file path=xl/sharedStrings.xml><?xml version="1.0" encoding="utf-8"?>
<sst xmlns="http://schemas.openxmlformats.org/spreadsheetml/2006/main" count="28" uniqueCount="11">
  <si>
    <t>Carissa Lane Sanitation 2018 -2024 Summary</t>
  </si>
  <si>
    <t>Sanitation</t>
  </si>
  <si>
    <t>Total BC</t>
  </si>
  <si>
    <t>Total Council</t>
  </si>
  <si>
    <t>Difference</t>
  </si>
  <si>
    <t>Carissa Lane Sanitation STS vs Council</t>
  </si>
  <si>
    <t>BC</t>
  </si>
  <si>
    <t>Council</t>
  </si>
  <si>
    <t>Council Increase</t>
  </si>
  <si>
    <t>Is sanitation included in levies?</t>
  </si>
  <si>
    <t>YES in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</si>
</sst>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&quot;* #,##0.00_-;\-&quot;R&quot;* #,##0.00_-;_-&quot;R&quot;* &quot;-&quot;??_-;_-@_-"/>
    <numFmt numFmtId="165" formatCode="&quot;R&quot;#,##0.00"/>
    <numFmt numFmtId="166" formatCode="_-[$R-436]* #,##0.00_-;\-[$R-436]* #,##0.00_-;_-[$R-436]* &quot;-&quot;??_-;_-@_-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/>
    <xf numFmtId="0" fontId="2" fillId="0" borderId="0" xfId="0" applyFont="1"/>
    <xf numFmtId="17" fontId="1" fillId="0" borderId="0" xfId="0" applyNumberFormat="1" applyFont="1"/>
    <xf numFmtId="165" fontId="1" fillId="0" borderId="1" xfId="0" applyNumberFormat="1" applyFont="1" applyBorder="1"/>
    <xf numFmtId="0" fontId="1" fillId="0" borderId="0" xfId="0" applyFont="1"/>
    <xf numFmtId="165" fontId="1" fillId="0" borderId="2" xfId="0" applyNumberFormat="1" applyFont="1" applyBorder="1"/>
    <xf numFmtId="165" fontId="0" fillId="0" borderId="0" xfId="0" applyNumberFormat="1"/>
    <xf numFmtId="0" fontId="3" fillId="0" borderId="0" xfId="0" applyFont="1"/>
    <xf numFmtId="17" fontId="1" fillId="2" borderId="0" xfId="0" applyNumberFormat="1" applyFont="1" applyFill="1"/>
    <xf numFmtId="164" fontId="1" fillId="0" borderId="1" xfId="1" applyFont="1" applyBorder="1"/>
    <xf numFmtId="166" fontId="0" fillId="0" borderId="0" xfId="0" applyNumberFormat="1"/>
    <xf numFmtId="0" fontId="0" fillId="0" borderId="1" xfId="0" applyBorder="1"/>
    <xf numFmtId="165" fontId="0" fillId="0" borderId="1" xfId="0" applyNumberFormat="1" applyBorder="1"/>
    <xf numFmtId="164" fontId="0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Sanitation BC vs Council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'Collected Graph'!$AG$2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'Collected Graph'!$AF$3:$AF$14</c:f>
              <c:numCache>
                <c:formatCode>mmm\-yy</c:formatCode>
                <c:ptCount val="12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</c:numCache>
            </c:numRef>
          </c:cat>
          <c:val>
            <c:numRef>
              <c:f>'Collected Graph'!$AG$3:$AG$14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D589-4E79-822C-1379EAC8C14A}"/>
            </c:ext>
          </c:extLst>
        </c:ser>
        <c:ser>
          <c:idx val="1"/>
          <c:order val="1"/>
          <c:tx>
            <c:strRef>
              <c:f>'Collected Graph'!$AH$2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'Collected Graph'!$AF$3:$AF$14</c:f>
              <c:numCache>
                <c:formatCode>mmm\-yy</c:formatCode>
                <c:ptCount val="12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</c:numCache>
            </c:numRef>
          </c:cat>
          <c:val>
            <c:numRef>
              <c:f>'Collected Graph'!$AH$3:$AH$14</c:f>
              <c:numCache>
                <c:formatCode>_-[$R-436]* #,##0.00_-;\-[$R-436]* #,##0.00_-;_-[$R-436]* "-"??_-;_-@_-</c:formatCode>
                <c:ptCount val="12"/>
                <c:pt idx="0">
                  <c:v>19622.91</c:v>
                </c:pt>
                <c:pt idx="1">
                  <c:v>19622.91</c:v>
                </c:pt>
                <c:pt idx="2">
                  <c:v>19622.91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89-4E79-822C-1379EAC8C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1305351"/>
        <c:axId val="1021307399"/>
      </c:barChart>
      <c:dateAx>
        <c:axId val="10213053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307399"/>
        <c:crosses val="autoZero"/>
        <c:auto val="1"/>
        <c:lblOffset val="100"/>
        <c:baseTimeUnit val="months"/>
      </c:dateAx>
      <c:valAx>
        <c:axId val="1021307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305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WCU!$O$3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WCU!$N$4:$N$15</c:f>
              <c:numCache>
                <c:formatCode>mmm\-yy</c:formatCode>
                <c:ptCount val="12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</c:numCache>
            </c:numRef>
          </c:cat>
          <c:val>
            <c:numRef>
              <c:f>WCU!$O$4:$O$15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6A82-4EBE-AD43-A4B989583780}"/>
            </c:ext>
          </c:extLst>
        </c:ser>
        <c:ser>
          <c:idx val="1"/>
          <c:order val="1"/>
          <c:tx>
            <c:strRef>
              <c:f>WCU!$P$3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WCU!$N$4:$N$15</c:f>
              <c:numCache>
                <c:formatCode>mmm\-yy</c:formatCode>
                <c:ptCount val="12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</c:numCache>
            </c:numRef>
          </c:cat>
          <c:val>
            <c:numRef>
              <c:f>WCU!$P$4:$P$15</c:f>
              <c:numCache>
                <c:formatCode>_-[$R-436]* #,##0.00_-;\-[$R-436]* #,##0.00_-;_-[$R-436]* "-"??_-;_-@_-</c:formatCode>
                <c:ptCount val="12"/>
                <c:pt idx="0">
                  <c:v>19622.91</c:v>
                </c:pt>
                <c:pt idx="1">
                  <c:v>19622.91</c:v>
                </c:pt>
                <c:pt idx="2">
                  <c:v>19622.91</c:v>
                </c:pt>
                <c:pt idx="3">
                  <c:v>19622.91</c:v>
                </c:pt>
                <c:pt idx="4">
                  <c:v>19622.91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82-4EBE-AD43-A4B989583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6620552"/>
        <c:axId val="1496622600"/>
      </c:barChart>
      <c:dateAx>
        <c:axId val="14966205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622600"/>
        <c:crosses val="autoZero"/>
        <c:auto val="1"/>
        <c:lblOffset val="100"/>
        <c:baseTimeUnit val="months"/>
      </c:dateAx>
      <c:valAx>
        <c:axId val="149662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620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114300</xdr:rowOff>
    </xdr:from>
    <xdr:to>
      <xdr:col>10</xdr:col>
      <xdr:colOff>19050</xdr:colOff>
      <xdr:row>19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8FA516-D1FA-E5E4-86A1-1BD4583BD0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85725</xdr:rowOff>
    </xdr:from>
    <xdr:to>
      <xdr:col>8</xdr:col>
      <xdr:colOff>523875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946732-4C43-AC7B-E803-E09B947C3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31C6-6231-4FB1-A93B-70CE6A470E62}">
  <dimension ref="A1:CB6"/>
  <sheetViews>
    <sheetView tabSelected="1" workbookViewId="0">
      <selection activeCell="BZ4" sqref="BZ4:BZ6"/>
    </sheetView>
  </sheetViews>
  <sheetFormatPr defaultRowHeight="14.45"/>
  <cols>
    <col min="1" max="1" width="13.85546875" customWidth="1"/>
    <col min="2" max="2" width="9.140625" customWidth="1"/>
    <col min="3" max="13" width="9.140625" hidden="1" customWidth="1"/>
    <col min="14" max="14" width="12" customWidth="1"/>
    <col min="15" max="22" width="10.85546875" hidden="1" customWidth="1"/>
    <col min="23" max="25" width="0" hidden="1" customWidth="1"/>
    <col min="26" max="26" width="11.5703125" bestFit="1" customWidth="1"/>
    <col min="27" max="28" width="11.5703125" hidden="1" customWidth="1"/>
    <col min="29" max="29" width="11.7109375" hidden="1" customWidth="1"/>
    <col min="30" max="33" width="11.5703125" hidden="1" customWidth="1"/>
    <col min="34" max="37" width="11.7109375" hidden="1" customWidth="1"/>
    <col min="38" max="38" width="11.7109375" bestFit="1" customWidth="1"/>
    <col min="39" max="49" width="11.7109375" hidden="1" customWidth="1"/>
    <col min="50" max="50" width="11.7109375" bestFit="1" customWidth="1"/>
    <col min="51" max="61" width="12.28515625" hidden="1" customWidth="1"/>
    <col min="62" max="62" width="12.28515625" bestFit="1" customWidth="1"/>
    <col min="63" max="66" width="12.28515625" hidden="1" customWidth="1"/>
    <col min="67" max="67" width="11.7109375" hidden="1" customWidth="1"/>
    <col min="68" max="72" width="12.28515625" hidden="1" customWidth="1"/>
    <col min="73" max="73" width="11.42578125" hidden="1" customWidth="1"/>
    <col min="74" max="74" width="11.42578125" bestFit="1" customWidth="1"/>
    <col min="75" max="77" width="12.28515625" bestFit="1" customWidth="1"/>
    <col min="78" max="78" width="12.7109375" customWidth="1"/>
  </cols>
  <sheetData>
    <row r="1" spans="1:80" ht="18">
      <c r="A1" s="2" t="s">
        <v>0</v>
      </c>
    </row>
    <row r="3" spans="1:80" ht="15">
      <c r="A3" s="5" t="s">
        <v>1</v>
      </c>
      <c r="B3" s="9">
        <v>43101</v>
      </c>
      <c r="C3" s="3">
        <v>43132</v>
      </c>
      <c r="D3" s="3">
        <v>43160</v>
      </c>
      <c r="E3" s="3">
        <v>43191</v>
      </c>
      <c r="F3" s="3">
        <v>43221</v>
      </c>
      <c r="G3" s="3">
        <v>43252</v>
      </c>
      <c r="H3" s="3">
        <v>43282</v>
      </c>
      <c r="I3" s="3">
        <v>43313</v>
      </c>
      <c r="J3" s="3">
        <v>43344</v>
      </c>
      <c r="K3" s="3">
        <v>43374</v>
      </c>
      <c r="L3" s="3">
        <v>43405</v>
      </c>
      <c r="M3" s="3">
        <v>43435</v>
      </c>
      <c r="N3" s="9">
        <v>43466</v>
      </c>
      <c r="O3" s="3">
        <v>43497</v>
      </c>
      <c r="P3" s="3">
        <v>43525</v>
      </c>
      <c r="Q3" s="3">
        <v>43556</v>
      </c>
      <c r="R3" s="3">
        <v>43586</v>
      </c>
      <c r="S3" s="3">
        <v>43617</v>
      </c>
      <c r="T3" s="3">
        <v>43647</v>
      </c>
      <c r="U3" s="3">
        <v>43678</v>
      </c>
      <c r="V3" s="3">
        <v>43709</v>
      </c>
      <c r="W3" s="3">
        <v>43739</v>
      </c>
      <c r="X3" s="3">
        <v>43770</v>
      </c>
      <c r="Y3" s="3">
        <v>43800</v>
      </c>
      <c r="Z3" s="9">
        <v>43831</v>
      </c>
      <c r="AA3" s="3">
        <v>43862</v>
      </c>
      <c r="AB3" s="3">
        <v>43891</v>
      </c>
      <c r="AC3" s="3">
        <v>43922</v>
      </c>
      <c r="AD3" s="3">
        <v>43952</v>
      </c>
      <c r="AE3" s="3">
        <v>43983</v>
      </c>
      <c r="AF3" s="3">
        <v>44013</v>
      </c>
      <c r="AG3" s="3">
        <v>44044</v>
      </c>
      <c r="AH3" s="3">
        <v>44075</v>
      </c>
      <c r="AI3" s="3">
        <v>44105</v>
      </c>
      <c r="AJ3" s="3">
        <v>44136</v>
      </c>
      <c r="AK3" s="3">
        <v>44166</v>
      </c>
      <c r="AL3" s="9">
        <v>44197</v>
      </c>
      <c r="AM3" s="3">
        <v>44228</v>
      </c>
      <c r="AN3" s="3">
        <v>44256</v>
      </c>
      <c r="AO3" s="3">
        <v>44287</v>
      </c>
      <c r="AP3" s="3">
        <v>44317</v>
      </c>
      <c r="AQ3" s="3">
        <v>44348</v>
      </c>
      <c r="AR3" s="3">
        <v>44378</v>
      </c>
      <c r="AS3" s="3">
        <v>44409</v>
      </c>
      <c r="AT3" s="3">
        <v>44440</v>
      </c>
      <c r="AU3" s="3">
        <v>44470</v>
      </c>
      <c r="AV3" s="3">
        <v>44501</v>
      </c>
      <c r="AW3" s="3">
        <v>44531</v>
      </c>
      <c r="AX3" s="9">
        <v>44562</v>
      </c>
      <c r="AY3" s="3">
        <v>44593</v>
      </c>
      <c r="AZ3" s="3">
        <v>44621</v>
      </c>
      <c r="BA3" s="3">
        <v>44652</v>
      </c>
      <c r="BB3" s="3">
        <v>44682</v>
      </c>
      <c r="BC3" s="3">
        <v>44713</v>
      </c>
      <c r="BD3" s="3">
        <v>44743</v>
      </c>
      <c r="BE3" s="3">
        <v>44774</v>
      </c>
      <c r="BF3" s="3">
        <v>44805</v>
      </c>
      <c r="BG3" s="3">
        <v>44835</v>
      </c>
      <c r="BH3" s="3">
        <v>44866</v>
      </c>
      <c r="BI3" s="3">
        <v>44896</v>
      </c>
      <c r="BJ3" s="9">
        <v>44927</v>
      </c>
      <c r="BK3" s="3">
        <v>44958</v>
      </c>
      <c r="BL3" s="3">
        <v>44986</v>
      </c>
      <c r="BM3" s="3">
        <v>45017</v>
      </c>
      <c r="BN3" s="3">
        <v>45047</v>
      </c>
      <c r="BO3" s="3">
        <v>45078</v>
      </c>
      <c r="BP3" s="3">
        <v>45108</v>
      </c>
      <c r="BQ3" s="3">
        <v>45139</v>
      </c>
      <c r="BR3" s="3">
        <v>45170</v>
      </c>
      <c r="BS3" s="3">
        <v>45200</v>
      </c>
      <c r="BT3" s="3">
        <v>45231</v>
      </c>
      <c r="BU3" s="3">
        <v>45261</v>
      </c>
      <c r="BV3" s="9">
        <v>45292</v>
      </c>
      <c r="BW3" s="3">
        <v>45323</v>
      </c>
      <c r="BX3" s="3">
        <v>45352</v>
      </c>
      <c r="BY3" s="3">
        <v>45383</v>
      </c>
      <c r="BZ3" s="3">
        <v>45413</v>
      </c>
      <c r="CA3" s="3">
        <v>45444</v>
      </c>
      <c r="CB3" s="3">
        <v>45474</v>
      </c>
    </row>
    <row r="4" spans="1:80">
      <c r="A4" s="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13"/>
      <c r="P4" s="13"/>
      <c r="Q4" s="13"/>
      <c r="R4" s="13"/>
      <c r="S4" s="13"/>
      <c r="T4" s="13"/>
      <c r="U4" s="13"/>
      <c r="V4" s="13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</row>
    <row r="5" spans="1:80">
      <c r="A5" s="1" t="s">
        <v>3</v>
      </c>
      <c r="B5" s="12">
        <f>10042.8*1.14</f>
        <v>11448.791999999998</v>
      </c>
      <c r="C5" s="12">
        <f>10042.8*1.14</f>
        <v>11448.791999999998</v>
      </c>
      <c r="D5" s="12">
        <f>10042.8*1.14</f>
        <v>11448.791999999998</v>
      </c>
      <c r="E5" s="12">
        <f>10042.8*1.14</f>
        <v>11448.791999999998</v>
      </c>
      <c r="F5" s="12">
        <f>10042.8*1.14</f>
        <v>11448.791999999998</v>
      </c>
      <c r="G5" s="12">
        <f t="shared" ref="G5:R5" si="0">11368.5*1.15</f>
        <v>13073.775</v>
      </c>
      <c r="H5" s="12">
        <f t="shared" si="0"/>
        <v>13073.775</v>
      </c>
      <c r="I5" s="12">
        <f t="shared" si="0"/>
        <v>13073.775</v>
      </c>
      <c r="J5" s="12">
        <f t="shared" si="0"/>
        <v>13073.775</v>
      </c>
      <c r="K5" s="12">
        <f t="shared" si="0"/>
        <v>13073.775</v>
      </c>
      <c r="L5" s="12">
        <f t="shared" si="0"/>
        <v>13073.775</v>
      </c>
      <c r="M5" s="12">
        <f t="shared" si="0"/>
        <v>13073.775</v>
      </c>
      <c r="N5" s="13">
        <f t="shared" si="0"/>
        <v>13073.775</v>
      </c>
      <c r="O5" s="13">
        <f t="shared" si="0"/>
        <v>13073.775</v>
      </c>
      <c r="P5" s="13">
        <f t="shared" si="0"/>
        <v>13073.775</v>
      </c>
      <c r="Q5" s="13">
        <f t="shared" si="0"/>
        <v>13073.775</v>
      </c>
      <c r="R5" s="13">
        <f t="shared" si="0"/>
        <v>13073.775</v>
      </c>
      <c r="S5" s="13">
        <f>12494.1*1.15</f>
        <v>14368.215</v>
      </c>
      <c r="T5" s="13">
        <f>12494.1*1.15</f>
        <v>14368.215</v>
      </c>
      <c r="U5" s="13">
        <f>12494.1*1.15</f>
        <v>14368.215</v>
      </c>
      <c r="V5" s="13">
        <f>12494.1*1.15</f>
        <v>14368.215</v>
      </c>
      <c r="W5" s="12">
        <v>14368.22</v>
      </c>
      <c r="X5" s="12">
        <v>14368.22</v>
      </c>
      <c r="Y5" s="12">
        <v>14368.22</v>
      </c>
      <c r="Z5" s="14">
        <v>14369.22</v>
      </c>
      <c r="AA5" s="14">
        <f>12494.1*1.15</f>
        <v>14368.215</v>
      </c>
      <c r="AB5" s="14">
        <f>12494.1*1.15</f>
        <v>14368.215</v>
      </c>
      <c r="AC5" s="14">
        <f>12494.1*1.15</f>
        <v>14368.215</v>
      </c>
      <c r="AD5" s="14">
        <f>12494.1*1.15</f>
        <v>14368.215</v>
      </c>
      <c r="AE5" s="14">
        <f t="shared" ref="AE5:AP5" si="1">13318.8*1.15</f>
        <v>15316.619999999997</v>
      </c>
      <c r="AF5" s="14">
        <f t="shared" si="1"/>
        <v>15316.619999999997</v>
      </c>
      <c r="AG5" s="14">
        <f t="shared" si="1"/>
        <v>15316.619999999997</v>
      </c>
      <c r="AH5" s="14">
        <f t="shared" si="1"/>
        <v>15316.619999999997</v>
      </c>
      <c r="AI5" s="14">
        <f t="shared" si="1"/>
        <v>15316.619999999997</v>
      </c>
      <c r="AJ5" s="14">
        <f t="shared" si="1"/>
        <v>15316.619999999997</v>
      </c>
      <c r="AK5" s="14">
        <f t="shared" si="1"/>
        <v>15316.619999999997</v>
      </c>
      <c r="AL5" s="14">
        <f t="shared" si="1"/>
        <v>15316.619999999997</v>
      </c>
      <c r="AM5" s="14">
        <f t="shared" si="1"/>
        <v>15316.619999999997</v>
      </c>
      <c r="AN5" s="14">
        <f t="shared" si="1"/>
        <v>15316.619999999997</v>
      </c>
      <c r="AO5" s="14">
        <f t="shared" si="1"/>
        <v>15316.619999999997</v>
      </c>
      <c r="AP5" s="14">
        <f t="shared" si="1"/>
        <v>15316.619999999997</v>
      </c>
      <c r="AQ5" s="14">
        <f t="shared" ref="AQ5:BB5" si="2">14224.5*1.15</f>
        <v>16358.174999999999</v>
      </c>
      <c r="AR5" s="14">
        <f t="shared" si="2"/>
        <v>16358.174999999999</v>
      </c>
      <c r="AS5" s="14">
        <f t="shared" si="2"/>
        <v>16358.174999999999</v>
      </c>
      <c r="AT5" s="14">
        <f t="shared" si="2"/>
        <v>16358.174999999999</v>
      </c>
      <c r="AU5" s="14">
        <f t="shared" si="2"/>
        <v>16358.174999999999</v>
      </c>
      <c r="AV5" s="14">
        <f t="shared" si="2"/>
        <v>16358.174999999999</v>
      </c>
      <c r="AW5" s="14">
        <f t="shared" si="2"/>
        <v>16358.174999999999</v>
      </c>
      <c r="AX5" s="14">
        <f t="shared" si="2"/>
        <v>16358.174999999999</v>
      </c>
      <c r="AY5" s="14">
        <f t="shared" si="2"/>
        <v>16358.174999999999</v>
      </c>
      <c r="AZ5" s="14">
        <f t="shared" si="2"/>
        <v>16358.174999999999</v>
      </c>
      <c r="BA5" s="14">
        <f t="shared" si="2"/>
        <v>16358.174999999999</v>
      </c>
      <c r="BB5" s="14">
        <f t="shared" si="2"/>
        <v>16358.174999999999</v>
      </c>
      <c r="BC5" s="14">
        <f t="shared" ref="BC5:BN5" si="3">15611.4*1.15</f>
        <v>17953.109999999997</v>
      </c>
      <c r="BD5" s="14">
        <f t="shared" si="3"/>
        <v>17953.109999999997</v>
      </c>
      <c r="BE5" s="14">
        <f t="shared" si="3"/>
        <v>17953.109999999997</v>
      </c>
      <c r="BF5" s="14">
        <f t="shared" si="3"/>
        <v>17953.109999999997</v>
      </c>
      <c r="BG5" s="14">
        <f t="shared" si="3"/>
        <v>17953.109999999997</v>
      </c>
      <c r="BH5" s="14">
        <f t="shared" si="3"/>
        <v>17953.109999999997</v>
      </c>
      <c r="BI5" s="14">
        <f t="shared" si="3"/>
        <v>17953.109999999997</v>
      </c>
      <c r="BJ5" s="14">
        <f t="shared" si="3"/>
        <v>17953.109999999997</v>
      </c>
      <c r="BK5" s="14">
        <f t="shared" si="3"/>
        <v>17953.109999999997</v>
      </c>
      <c r="BL5" s="14">
        <f t="shared" si="3"/>
        <v>17953.109999999997</v>
      </c>
      <c r="BM5" s="14">
        <f t="shared" si="3"/>
        <v>17953.109999999997</v>
      </c>
      <c r="BN5" s="14">
        <f t="shared" si="3"/>
        <v>17953.109999999997</v>
      </c>
      <c r="BO5" s="14">
        <f>17063.4*1.15</f>
        <v>19622.91</v>
      </c>
      <c r="BP5" s="14">
        <f t="shared" ref="BP5:BQ5" si="4">17063.4*1.15</f>
        <v>19622.91</v>
      </c>
      <c r="BQ5" s="14">
        <f t="shared" si="4"/>
        <v>19622.91</v>
      </c>
      <c r="BR5" s="14">
        <f>17063.4*1.15</f>
        <v>19622.91</v>
      </c>
      <c r="BS5" s="14">
        <f>17063.4*1.15</f>
        <v>19622.91</v>
      </c>
      <c r="BT5" s="14">
        <f>17063.4*1.15</f>
        <v>19622.91</v>
      </c>
      <c r="BU5" s="14">
        <f>17063.4*1.15</f>
        <v>19622.91</v>
      </c>
      <c r="BV5" s="14">
        <f>17063.4*1.15</f>
        <v>19622.91</v>
      </c>
      <c r="BW5" s="14">
        <f>17063.4*1.15</f>
        <v>19622.91</v>
      </c>
      <c r="BX5" s="14">
        <f>17063.4*1.15</f>
        <v>19622.91</v>
      </c>
      <c r="BY5" s="14">
        <f>17063.4*1.15</f>
        <v>19622.91</v>
      </c>
      <c r="BZ5" s="14">
        <f>17063.4*1.15</f>
        <v>19622.91</v>
      </c>
    </row>
    <row r="6" spans="1:80" ht="15">
      <c r="A6" s="1" t="s">
        <v>4</v>
      </c>
      <c r="B6" s="1">
        <f t="shared" ref="B6:V6" si="5">B4-B5</f>
        <v>-11448.791999999998</v>
      </c>
      <c r="C6" s="1">
        <f t="shared" si="5"/>
        <v>-11448.791999999998</v>
      </c>
      <c r="D6" s="1">
        <f t="shared" si="5"/>
        <v>-11448.791999999998</v>
      </c>
      <c r="E6" s="1">
        <f t="shared" si="5"/>
        <v>-11448.791999999998</v>
      </c>
      <c r="F6" s="1">
        <f t="shared" si="5"/>
        <v>-11448.791999999998</v>
      </c>
      <c r="G6" s="1">
        <f t="shared" si="5"/>
        <v>-13073.775</v>
      </c>
      <c r="H6" s="1">
        <f t="shared" si="5"/>
        <v>-13073.775</v>
      </c>
      <c r="I6" s="1">
        <f t="shared" si="5"/>
        <v>-13073.775</v>
      </c>
      <c r="J6" s="1">
        <f t="shared" si="5"/>
        <v>-13073.775</v>
      </c>
      <c r="K6" s="1">
        <f t="shared" si="5"/>
        <v>-13073.775</v>
      </c>
      <c r="L6" s="1">
        <f t="shared" si="5"/>
        <v>-13073.775</v>
      </c>
      <c r="M6" s="1">
        <f t="shared" si="5"/>
        <v>-13073.775</v>
      </c>
      <c r="N6" s="4">
        <f t="shared" si="5"/>
        <v>-13073.775</v>
      </c>
      <c r="O6" s="4">
        <f t="shared" si="5"/>
        <v>-13073.775</v>
      </c>
      <c r="P6" s="4">
        <f t="shared" si="5"/>
        <v>-13073.775</v>
      </c>
      <c r="Q6" s="4">
        <f t="shared" si="5"/>
        <v>-13073.775</v>
      </c>
      <c r="R6" s="4">
        <f t="shared" si="5"/>
        <v>-13073.775</v>
      </c>
      <c r="S6" s="4">
        <f t="shared" si="5"/>
        <v>-14368.215</v>
      </c>
      <c r="T6" s="4">
        <f t="shared" si="5"/>
        <v>-14368.215</v>
      </c>
      <c r="U6" s="4">
        <f t="shared" si="5"/>
        <v>-14368.215</v>
      </c>
      <c r="V6" s="4">
        <f t="shared" si="5"/>
        <v>-14368.215</v>
      </c>
      <c r="W6" s="1">
        <f>W4-W5</f>
        <v>-14368.22</v>
      </c>
      <c r="X6" s="1">
        <f t="shared" ref="X6:Y6" si="6">X4-X5</f>
        <v>-14368.22</v>
      </c>
      <c r="Y6" s="1">
        <f t="shared" si="6"/>
        <v>-14368.22</v>
      </c>
      <c r="Z6" s="10">
        <f t="shared" ref="Z6:AA6" si="7">Z4-Z5</f>
        <v>-14369.22</v>
      </c>
      <c r="AA6" s="10">
        <f t="shared" si="7"/>
        <v>-14368.215</v>
      </c>
      <c r="AB6" s="10">
        <f t="shared" ref="AB6:AC6" si="8">AB4-AB5</f>
        <v>-14368.215</v>
      </c>
      <c r="AC6" s="10">
        <f t="shared" si="8"/>
        <v>-14368.215</v>
      </c>
      <c r="AD6" s="10">
        <f t="shared" ref="AD6:AE6" si="9">AD4-AD5</f>
        <v>-14368.215</v>
      </c>
      <c r="AE6" s="10">
        <f t="shared" si="9"/>
        <v>-15316.619999999997</v>
      </c>
      <c r="AF6" s="10">
        <f t="shared" ref="AF6:AG6" si="10">AF4-AF5</f>
        <v>-15316.619999999997</v>
      </c>
      <c r="AG6" s="10">
        <f t="shared" si="10"/>
        <v>-15316.619999999997</v>
      </c>
      <c r="AH6" s="10">
        <f t="shared" ref="AH6:AJ6" si="11">AH4-AH5</f>
        <v>-15316.619999999997</v>
      </c>
      <c r="AI6" s="10">
        <f t="shared" si="11"/>
        <v>-15316.619999999997</v>
      </c>
      <c r="AJ6" s="10">
        <f t="shared" si="11"/>
        <v>-15316.619999999997</v>
      </c>
      <c r="AK6" s="10">
        <f t="shared" ref="AK6:AL6" si="12">AK4-AK5</f>
        <v>-15316.619999999997</v>
      </c>
      <c r="AL6" s="10">
        <f t="shared" si="12"/>
        <v>-15316.619999999997</v>
      </c>
      <c r="AM6" s="10">
        <f t="shared" ref="AM6:AO6" si="13">AM4-AM5</f>
        <v>-15316.619999999997</v>
      </c>
      <c r="AN6" s="10">
        <f t="shared" si="13"/>
        <v>-15316.619999999997</v>
      </c>
      <c r="AO6" s="10">
        <f t="shared" si="13"/>
        <v>-15316.619999999997</v>
      </c>
      <c r="AP6" s="10">
        <f t="shared" ref="AP6:AQ6" si="14">AP4-AP5</f>
        <v>-15316.619999999997</v>
      </c>
      <c r="AQ6" s="10">
        <f t="shared" si="14"/>
        <v>-16358.174999999999</v>
      </c>
      <c r="AR6" s="10">
        <f t="shared" ref="AR6:AS6" si="15">AR4-AR5</f>
        <v>-16358.174999999999</v>
      </c>
      <c r="AS6" s="10">
        <f t="shared" si="15"/>
        <v>-16358.174999999999</v>
      </c>
      <c r="AT6" s="10">
        <f t="shared" ref="AT6:AU6" si="16">AT4-AT5</f>
        <v>-16358.174999999999</v>
      </c>
      <c r="AU6" s="10">
        <f t="shared" si="16"/>
        <v>-16358.174999999999</v>
      </c>
      <c r="AV6" s="10">
        <f t="shared" ref="AV6:AW6" si="17">AV4-AV5</f>
        <v>-16358.174999999999</v>
      </c>
      <c r="AW6" s="10">
        <f t="shared" si="17"/>
        <v>-16358.174999999999</v>
      </c>
      <c r="AX6" s="10">
        <f t="shared" ref="AX6:AY6" si="18">AX4-AX5</f>
        <v>-16358.174999999999</v>
      </c>
      <c r="AY6" s="10">
        <f t="shared" si="18"/>
        <v>-16358.174999999999</v>
      </c>
      <c r="AZ6" s="10">
        <f t="shared" ref="AZ6:BA6" si="19">AZ4-AZ5</f>
        <v>-16358.174999999999</v>
      </c>
      <c r="BA6" s="10">
        <f t="shared" si="19"/>
        <v>-16358.174999999999</v>
      </c>
      <c r="BB6" s="10">
        <f t="shared" ref="BB6:BC6" si="20">BB4-BB5</f>
        <v>-16358.174999999999</v>
      </c>
      <c r="BC6" s="10">
        <f t="shared" si="20"/>
        <v>-17953.109999999997</v>
      </c>
      <c r="BD6" s="10">
        <f t="shared" ref="BD6:BE6" si="21">BD4-BD5</f>
        <v>-17953.109999999997</v>
      </c>
      <c r="BE6" s="10">
        <f t="shared" si="21"/>
        <v>-17953.109999999997</v>
      </c>
      <c r="BF6" s="10">
        <f t="shared" ref="BF6:BG6" si="22">BF4-BF5</f>
        <v>-17953.109999999997</v>
      </c>
      <c r="BG6" s="10">
        <f t="shared" si="22"/>
        <v>-17953.109999999997</v>
      </c>
      <c r="BH6" s="10">
        <f t="shared" ref="BH6:BI6" si="23">BH4-BH5</f>
        <v>-17953.109999999997</v>
      </c>
      <c r="BI6" s="10">
        <f t="shared" si="23"/>
        <v>-17953.109999999997</v>
      </c>
      <c r="BJ6" s="10">
        <f t="shared" ref="BJ6:BK6" si="24">BJ4-BJ5</f>
        <v>-17953.109999999997</v>
      </c>
      <c r="BK6" s="10">
        <f t="shared" si="24"/>
        <v>-17953.109999999997</v>
      </c>
      <c r="BL6" s="10">
        <f t="shared" ref="BL6:BM6" si="25">BL4-BL5</f>
        <v>-17953.109999999997</v>
      </c>
      <c r="BM6" s="10">
        <f t="shared" si="25"/>
        <v>-17953.109999999997</v>
      </c>
      <c r="BN6" s="10">
        <f t="shared" ref="BN6:BO6" si="26">BN4-BN5</f>
        <v>-17953.109999999997</v>
      </c>
      <c r="BO6" s="10">
        <f t="shared" si="26"/>
        <v>-19622.91</v>
      </c>
      <c r="BP6" s="10">
        <f t="shared" ref="BP6:BQ6" si="27">BP4-BP5</f>
        <v>-19622.91</v>
      </c>
      <c r="BQ6" s="10">
        <f t="shared" si="27"/>
        <v>-19622.91</v>
      </c>
      <c r="BR6" s="10">
        <f t="shared" ref="BR6:BS6" si="28">BR4-BR5</f>
        <v>-19622.91</v>
      </c>
      <c r="BS6" s="10">
        <f t="shared" si="28"/>
        <v>-19622.91</v>
      </c>
      <c r="BT6" s="10">
        <f t="shared" ref="BT6:BU6" si="29">BT4-BT5</f>
        <v>-19622.91</v>
      </c>
      <c r="BU6" s="10">
        <f t="shared" si="29"/>
        <v>-19622.91</v>
      </c>
      <c r="BV6" s="10">
        <f t="shared" ref="BV6:BW6" si="30">BV4-BV5</f>
        <v>-19622.91</v>
      </c>
      <c r="BW6" s="10">
        <f t="shared" si="30"/>
        <v>-19622.91</v>
      </c>
      <c r="BX6" s="10">
        <f t="shared" ref="BX6:BY6" si="31">BX4-BX5</f>
        <v>-19622.91</v>
      </c>
      <c r="BY6" s="10">
        <f t="shared" si="31"/>
        <v>-19622.91</v>
      </c>
      <c r="BZ6" s="10">
        <f t="shared" ref="BZ6" si="32">BZ4-BZ5</f>
        <v>-19622.91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BA9F7-D044-4E7D-84C0-927525872647}">
  <dimension ref="A1:AI20"/>
  <sheetViews>
    <sheetView topLeftCell="H1" workbookViewId="0">
      <selection activeCell="AH5" sqref="AH5"/>
    </sheetView>
  </sheetViews>
  <sheetFormatPr defaultRowHeight="14.45"/>
  <cols>
    <col min="13" max="13" width="11.140625" hidden="1" customWidth="1"/>
    <col min="14" max="14" width="11.5703125" hidden="1" customWidth="1"/>
    <col min="15" max="15" width="11.85546875" hidden="1" customWidth="1"/>
    <col min="17" max="18" width="11.140625" hidden="1" customWidth="1"/>
    <col min="19" max="19" width="11.85546875" hidden="1" customWidth="1"/>
    <col min="21" max="21" width="9.140625" hidden="1" customWidth="1"/>
    <col min="22" max="22" width="11.7109375" hidden="1" customWidth="1"/>
    <col min="23" max="23" width="12" hidden="1" customWidth="1"/>
    <col min="25" max="25" width="0" hidden="1" customWidth="1"/>
    <col min="26" max="26" width="11.7109375" hidden="1" customWidth="1"/>
    <col min="27" max="27" width="12.85546875" hidden="1" customWidth="1"/>
    <col min="29" max="29" width="0" hidden="1" customWidth="1"/>
    <col min="30" max="30" width="12.140625" hidden="1" customWidth="1"/>
    <col min="31" max="31" width="15.42578125" hidden="1" customWidth="1"/>
    <col min="34" max="34" width="12.140625" bestFit="1" customWidth="1"/>
    <col min="35" max="35" width="15.42578125" bestFit="1" customWidth="1"/>
  </cols>
  <sheetData>
    <row r="1" spans="1:35" ht="18">
      <c r="A1" s="2" t="s">
        <v>5</v>
      </c>
    </row>
    <row r="2" spans="1:35">
      <c r="M2" t="s">
        <v>6</v>
      </c>
      <c r="N2" t="s">
        <v>7</v>
      </c>
      <c r="Q2" t="s">
        <v>6</v>
      </c>
      <c r="R2" t="s">
        <v>7</v>
      </c>
      <c r="U2" t="s">
        <v>6</v>
      </c>
      <c r="V2" t="s">
        <v>7</v>
      </c>
      <c r="Y2" t="s">
        <v>6</v>
      </c>
      <c r="Z2" t="s">
        <v>7</v>
      </c>
      <c r="AC2" t="s">
        <v>6</v>
      </c>
      <c r="AD2" t="s">
        <v>7</v>
      </c>
      <c r="AG2" t="s">
        <v>6</v>
      </c>
      <c r="AH2" t="s">
        <v>7</v>
      </c>
    </row>
    <row r="3" spans="1:35" ht="15">
      <c r="L3" s="3">
        <v>43466</v>
      </c>
      <c r="M3" s="7">
        <v>12600</v>
      </c>
      <c r="N3" s="7">
        <v>13073.775</v>
      </c>
      <c r="P3" s="3">
        <v>43862</v>
      </c>
      <c r="Q3" s="7"/>
      <c r="R3" s="7">
        <v>14368.215</v>
      </c>
      <c r="T3" s="3">
        <v>44228</v>
      </c>
      <c r="V3" s="11">
        <v>15316.62</v>
      </c>
      <c r="X3" s="3">
        <v>44593</v>
      </c>
      <c r="Z3" s="11">
        <v>16358.174999999999</v>
      </c>
      <c r="AB3" s="3">
        <v>44958</v>
      </c>
      <c r="AD3" s="11">
        <v>17953.109999999997</v>
      </c>
      <c r="AF3" s="3">
        <v>45323</v>
      </c>
      <c r="AH3" s="11">
        <f>17063.4*1.15</f>
        <v>19622.91</v>
      </c>
    </row>
    <row r="4" spans="1:35" ht="15">
      <c r="L4" s="3">
        <v>43497</v>
      </c>
      <c r="M4" s="7">
        <v>12600</v>
      </c>
      <c r="N4" s="7">
        <v>13073.775</v>
      </c>
      <c r="P4" s="3">
        <v>43891</v>
      </c>
      <c r="Q4" s="7"/>
      <c r="R4" s="7">
        <v>14368.215</v>
      </c>
      <c r="T4" s="3">
        <v>44256</v>
      </c>
      <c r="V4" s="11">
        <v>15316.62</v>
      </c>
      <c r="X4" s="3">
        <v>44621</v>
      </c>
      <c r="Z4" s="11">
        <v>16358.174999999999</v>
      </c>
      <c r="AB4" s="3">
        <v>44986</v>
      </c>
      <c r="AD4" s="11">
        <v>17953.109999999997</v>
      </c>
      <c r="AF4" s="3">
        <v>45352</v>
      </c>
      <c r="AH4" s="11">
        <f>17063.4*1.15</f>
        <v>19622.91</v>
      </c>
    </row>
    <row r="5" spans="1:35" ht="15">
      <c r="L5" s="3">
        <v>43525</v>
      </c>
      <c r="M5" s="7">
        <v>12600</v>
      </c>
      <c r="N5" s="7">
        <v>13073.775</v>
      </c>
      <c r="P5" s="3">
        <v>43922</v>
      </c>
      <c r="Q5" s="7"/>
      <c r="R5" s="7">
        <v>14368.215</v>
      </c>
      <c r="T5" s="3">
        <v>44287</v>
      </c>
      <c r="V5" s="11">
        <v>15316.62</v>
      </c>
      <c r="X5" s="3">
        <v>44652</v>
      </c>
      <c r="Z5" s="11">
        <v>16358.174999999999</v>
      </c>
      <c r="AB5" s="3">
        <v>45017</v>
      </c>
      <c r="AD5" s="11">
        <v>17953.109999999997</v>
      </c>
      <c r="AF5" s="3">
        <v>45383</v>
      </c>
      <c r="AH5" s="11">
        <v>19622.91</v>
      </c>
    </row>
    <row r="6" spans="1:35" ht="15">
      <c r="L6" s="3">
        <v>43556</v>
      </c>
      <c r="M6" s="7">
        <v>12600</v>
      </c>
      <c r="N6" s="7">
        <v>13073.775</v>
      </c>
      <c r="P6" s="3">
        <v>43952</v>
      </c>
      <c r="Q6" s="7"/>
      <c r="R6" s="7">
        <f>12494.1*1.15</f>
        <v>14368.215</v>
      </c>
      <c r="T6" s="3">
        <v>44317</v>
      </c>
      <c r="V6" s="11">
        <v>15316.62</v>
      </c>
      <c r="X6" s="3">
        <v>44682</v>
      </c>
      <c r="Z6" s="11">
        <v>16358.174999999999</v>
      </c>
      <c r="AB6" s="3">
        <v>45047</v>
      </c>
      <c r="AD6" s="11">
        <v>17953.11</v>
      </c>
      <c r="AF6" s="3">
        <v>45413</v>
      </c>
      <c r="AH6" s="11"/>
    </row>
    <row r="7" spans="1:35" ht="15">
      <c r="L7" s="3">
        <v>43586</v>
      </c>
      <c r="M7" s="7">
        <v>12600</v>
      </c>
      <c r="N7" s="7">
        <v>13073.775</v>
      </c>
      <c r="P7" s="3">
        <v>43983</v>
      </c>
      <c r="Q7" s="7"/>
      <c r="R7" s="7">
        <v>15316.619999999997</v>
      </c>
      <c r="T7" s="3">
        <v>44348</v>
      </c>
      <c r="V7" s="11">
        <v>16358.174999999999</v>
      </c>
      <c r="X7" s="3">
        <v>44713</v>
      </c>
      <c r="Z7" s="11">
        <v>17953.109999999997</v>
      </c>
      <c r="AB7" s="3">
        <v>45078</v>
      </c>
      <c r="AD7" s="11">
        <v>19622.91</v>
      </c>
      <c r="AE7" t="s">
        <v>8</v>
      </c>
      <c r="AF7" s="3">
        <v>45444</v>
      </c>
      <c r="AH7" s="11"/>
      <c r="AI7" t="s">
        <v>8</v>
      </c>
    </row>
    <row r="8" spans="1:35" ht="15">
      <c r="L8" s="3">
        <v>43617</v>
      </c>
      <c r="M8" s="7">
        <v>12600</v>
      </c>
      <c r="N8" s="7">
        <v>14368.215</v>
      </c>
      <c r="P8" s="3">
        <v>44013</v>
      </c>
      <c r="Q8" s="7"/>
      <c r="R8" s="7">
        <v>15316.619999999997</v>
      </c>
      <c r="T8" s="3">
        <v>44378</v>
      </c>
      <c r="V8" s="11">
        <v>16358.174999999999</v>
      </c>
      <c r="X8" s="3">
        <v>44743</v>
      </c>
      <c r="Z8" s="11">
        <v>17953.109999999997</v>
      </c>
      <c r="AB8" s="3">
        <v>45108</v>
      </c>
      <c r="AD8" s="11">
        <v>19622.91</v>
      </c>
      <c r="AF8" s="3">
        <v>45474</v>
      </c>
      <c r="AH8" s="11"/>
    </row>
    <row r="9" spans="1:35" ht="15">
      <c r="L9" s="3">
        <v>43647</v>
      </c>
      <c r="M9" s="7">
        <v>12600</v>
      </c>
      <c r="N9" s="7">
        <v>14368.215</v>
      </c>
      <c r="P9" s="3">
        <v>44044</v>
      </c>
      <c r="Q9" s="7"/>
      <c r="R9" s="7">
        <v>15316.619999999997</v>
      </c>
      <c r="T9" s="3">
        <v>44409</v>
      </c>
      <c r="V9" s="11">
        <v>16358.174999999999</v>
      </c>
      <c r="X9" s="3">
        <v>44774</v>
      </c>
      <c r="Z9" s="11">
        <v>17953.109999999997</v>
      </c>
      <c r="AB9" s="3">
        <v>45139</v>
      </c>
      <c r="AD9" s="11">
        <v>19622.91</v>
      </c>
      <c r="AF9" s="3">
        <v>45505</v>
      </c>
      <c r="AH9" s="11"/>
    </row>
    <row r="10" spans="1:35" ht="15">
      <c r="L10" s="3">
        <v>43678</v>
      </c>
      <c r="M10" s="7">
        <v>12600</v>
      </c>
      <c r="N10" s="7">
        <v>14368.215</v>
      </c>
      <c r="P10" s="3">
        <v>44075</v>
      </c>
      <c r="Q10" s="7"/>
      <c r="R10" s="7">
        <v>15316.62</v>
      </c>
      <c r="T10" s="3">
        <v>44440</v>
      </c>
      <c r="V10" s="11">
        <v>16358.174999999999</v>
      </c>
      <c r="X10" s="3">
        <v>44805</v>
      </c>
      <c r="Z10" s="11">
        <v>17953.109999999997</v>
      </c>
      <c r="AB10" s="3">
        <v>45170</v>
      </c>
      <c r="AD10" s="11">
        <f>17063.4*1.15</f>
        <v>19622.91</v>
      </c>
      <c r="AF10" s="3">
        <v>45536</v>
      </c>
      <c r="AH10" s="11"/>
    </row>
    <row r="11" spans="1:35" ht="15">
      <c r="L11" s="3">
        <v>43709</v>
      </c>
      <c r="M11" s="7">
        <v>12600</v>
      </c>
      <c r="N11" s="7">
        <v>14368.215</v>
      </c>
      <c r="P11" s="3">
        <v>44105</v>
      </c>
      <c r="Q11" s="7"/>
      <c r="R11" s="7">
        <v>15316.62</v>
      </c>
      <c r="T11" s="3">
        <v>44470</v>
      </c>
      <c r="V11" s="11">
        <v>16358.174999999999</v>
      </c>
      <c r="X11" s="3">
        <v>44835</v>
      </c>
      <c r="Z11" s="11">
        <v>17953.109999999997</v>
      </c>
      <c r="AB11" s="3">
        <v>45200</v>
      </c>
      <c r="AD11" s="11">
        <f>17063.4*1.15</f>
        <v>19622.91</v>
      </c>
      <c r="AF11" s="3">
        <v>45566</v>
      </c>
      <c r="AH11" s="11"/>
    </row>
    <row r="12" spans="1:35" ht="15">
      <c r="L12" s="3">
        <v>43739</v>
      </c>
      <c r="M12" s="7">
        <v>12600</v>
      </c>
      <c r="N12" s="7">
        <v>14368.22</v>
      </c>
      <c r="P12" s="3">
        <v>44136</v>
      </c>
      <c r="Q12" s="7"/>
      <c r="R12" s="7">
        <v>15316.62</v>
      </c>
      <c r="T12" s="3">
        <v>44501</v>
      </c>
      <c r="V12" s="11">
        <v>16358.174999999999</v>
      </c>
      <c r="X12" s="3">
        <v>44866</v>
      </c>
      <c r="Z12" s="11">
        <v>17953.109999999997</v>
      </c>
      <c r="AB12" s="3">
        <v>45231</v>
      </c>
      <c r="AD12" s="11">
        <f>17063.4*1.15</f>
        <v>19622.91</v>
      </c>
      <c r="AF12" s="3">
        <v>45597</v>
      </c>
      <c r="AH12" s="11"/>
    </row>
    <row r="13" spans="1:35" ht="15">
      <c r="L13" s="3">
        <v>43770</v>
      </c>
      <c r="M13" s="7">
        <v>12600</v>
      </c>
      <c r="N13" s="7">
        <v>14368.22</v>
      </c>
      <c r="P13" s="3">
        <v>44166</v>
      </c>
      <c r="Q13" s="7"/>
      <c r="R13" s="7">
        <v>15316.62</v>
      </c>
      <c r="T13" s="3">
        <v>44531</v>
      </c>
      <c r="V13" s="11">
        <v>16358.174999999999</v>
      </c>
      <c r="X13" s="3">
        <v>44896</v>
      </c>
      <c r="Z13" s="11">
        <v>17953.109999999997</v>
      </c>
      <c r="AB13" s="3">
        <v>45261</v>
      </c>
      <c r="AD13" s="11">
        <f>17063.4*1.15</f>
        <v>19622.91</v>
      </c>
      <c r="AF13" s="3">
        <v>45627</v>
      </c>
      <c r="AH13" s="11"/>
    </row>
    <row r="14" spans="1:35" ht="15">
      <c r="L14" s="3">
        <v>43800</v>
      </c>
      <c r="M14" s="7">
        <v>12600</v>
      </c>
      <c r="N14" s="7">
        <f>12494.1*1.15</f>
        <v>14368.215</v>
      </c>
      <c r="P14" s="3">
        <v>44197</v>
      </c>
      <c r="R14" s="11">
        <v>15316.62</v>
      </c>
      <c r="T14" s="3">
        <v>44562</v>
      </c>
      <c r="V14" s="11">
        <v>16358.174999999999</v>
      </c>
      <c r="X14" s="3">
        <v>44927</v>
      </c>
      <c r="Z14" s="11">
        <v>17953.109999999997</v>
      </c>
      <c r="AB14" s="3">
        <v>45292</v>
      </c>
      <c r="AD14" s="11">
        <f>17063.4*1.15</f>
        <v>19622.91</v>
      </c>
      <c r="AF14" s="3">
        <v>45658</v>
      </c>
      <c r="AH14" s="11"/>
    </row>
    <row r="15" spans="1:35" ht="15">
      <c r="L15" s="3">
        <v>43831</v>
      </c>
      <c r="M15" s="7"/>
      <c r="N15" s="7">
        <v>14368.215</v>
      </c>
      <c r="Q15" s="6">
        <f>SUM(Q3:Q10)</f>
        <v>0</v>
      </c>
      <c r="R15" s="6">
        <f>SUM(R3:R14)</f>
        <v>180005.81999999998</v>
      </c>
      <c r="S15" s="6">
        <f>Q15-R15</f>
        <v>-180005.81999999998</v>
      </c>
      <c r="U15" s="6">
        <f>SUM(U3:U10)</f>
        <v>0</v>
      </c>
      <c r="V15" s="6">
        <f>SUM(V3:V14)</f>
        <v>192131.87999999998</v>
      </c>
      <c r="W15" s="6">
        <f>U15-V15</f>
        <v>-192131.87999999998</v>
      </c>
      <c r="Y15" s="6">
        <f>SUM(Y3:Y10)</f>
        <v>0</v>
      </c>
      <c r="Z15" s="6">
        <f>SUM(Z3:Z14)</f>
        <v>209057.57999999993</v>
      </c>
      <c r="AA15" s="6">
        <f>Y15-Z15</f>
        <v>-209057.57999999993</v>
      </c>
      <c r="AC15" s="6">
        <f>SUM(AC3:AC10)</f>
        <v>0</v>
      </c>
      <c r="AD15" s="6">
        <f>SUM(AD3:AD14)</f>
        <v>228795.72</v>
      </c>
      <c r="AE15" s="6">
        <f>AC15-AD15</f>
        <v>-228795.72</v>
      </c>
      <c r="AG15" s="6">
        <f>SUM(AG3:AG10)</f>
        <v>0</v>
      </c>
      <c r="AH15" s="6">
        <f>SUM(AH3:AH14)</f>
        <v>58868.729999999996</v>
      </c>
      <c r="AI15" s="6">
        <f>AG15-AH15</f>
        <v>-58868.729999999996</v>
      </c>
    </row>
    <row r="16" spans="1:35">
      <c r="M16" s="6">
        <f>SUM(M3:M11)</f>
        <v>113400</v>
      </c>
      <c r="N16" s="6">
        <f>SUM(N3:N15)</f>
        <v>180314.60499999998</v>
      </c>
      <c r="O16" s="6">
        <f>M16-N16</f>
        <v>-66914.604999999981</v>
      </c>
    </row>
    <row r="19" spans="12:12">
      <c r="L19" t="s">
        <v>9</v>
      </c>
    </row>
    <row r="20" spans="12:12">
      <c r="L20" s="8" t="s">
        <v>10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EBB65-B420-4D98-87C8-F60ED7CFA7F2}">
  <dimension ref="J3:Q16"/>
  <sheetViews>
    <sheetView workbookViewId="0">
      <selection activeCell="P10" sqref="P10"/>
    </sheetView>
  </sheetViews>
  <sheetFormatPr defaultRowHeight="15"/>
  <cols>
    <col min="11" max="11" width="0" hidden="1" customWidth="1"/>
    <col min="12" max="12" width="12.140625" hidden="1" customWidth="1"/>
    <col min="13" max="13" width="15.42578125" hidden="1" customWidth="1"/>
    <col min="16" max="16" width="12" bestFit="1" customWidth="1"/>
    <col min="17" max="17" width="15.42578125" bestFit="1" customWidth="1"/>
  </cols>
  <sheetData>
    <row r="3" spans="10:17">
      <c r="K3" t="s">
        <v>6</v>
      </c>
      <c r="L3" t="s">
        <v>7</v>
      </c>
      <c r="O3" t="s">
        <v>6</v>
      </c>
      <c r="P3" t="s">
        <v>7</v>
      </c>
    </row>
    <row r="4" spans="10:17">
      <c r="J4" s="3">
        <v>44958</v>
      </c>
      <c r="L4" s="11">
        <v>17953.109999999997</v>
      </c>
      <c r="N4" s="3">
        <v>45323</v>
      </c>
      <c r="P4" s="11">
        <f>17063.4*1.15</f>
        <v>19622.91</v>
      </c>
    </row>
    <row r="5" spans="10:17">
      <c r="J5" s="3">
        <v>44986</v>
      </c>
      <c r="L5" s="11">
        <v>17953.109999999997</v>
      </c>
      <c r="N5" s="3">
        <v>45352</v>
      </c>
      <c r="P5" s="11">
        <f>17063.4*1.15</f>
        <v>19622.91</v>
      </c>
    </row>
    <row r="6" spans="10:17">
      <c r="J6" s="3">
        <v>45017</v>
      </c>
      <c r="L6" s="11">
        <v>17953.109999999997</v>
      </c>
      <c r="N6" s="3">
        <v>45383</v>
      </c>
      <c r="P6" s="11">
        <f>17063.4*1.15</f>
        <v>19622.91</v>
      </c>
    </row>
    <row r="7" spans="10:17">
      <c r="J7" s="3">
        <v>45047</v>
      </c>
      <c r="L7" s="11">
        <v>17953.109999999997</v>
      </c>
      <c r="N7" s="3">
        <v>45413</v>
      </c>
      <c r="P7" s="11">
        <f>17063.4*1.15</f>
        <v>19622.91</v>
      </c>
    </row>
    <row r="8" spans="10:17">
      <c r="J8" s="3">
        <v>45078</v>
      </c>
      <c r="L8" s="11">
        <v>17953.11</v>
      </c>
      <c r="N8" s="3">
        <v>45444</v>
      </c>
      <c r="P8" s="11">
        <f>17063.4*1.15</f>
        <v>19622.91</v>
      </c>
      <c r="Q8" t="s">
        <v>8</v>
      </c>
    </row>
    <row r="9" spans="10:17">
      <c r="J9" s="3">
        <v>45108</v>
      </c>
      <c r="L9" s="11">
        <v>19622.91</v>
      </c>
      <c r="M9" t="s">
        <v>8</v>
      </c>
      <c r="N9" s="3">
        <v>45474</v>
      </c>
      <c r="P9" s="11"/>
    </row>
    <row r="10" spans="10:17">
      <c r="J10" s="3">
        <v>45139</v>
      </c>
      <c r="L10" s="11">
        <v>19622.91</v>
      </c>
      <c r="N10" s="3">
        <v>45505</v>
      </c>
      <c r="P10" s="11"/>
    </row>
    <row r="11" spans="10:17">
      <c r="J11" s="3">
        <v>45170</v>
      </c>
      <c r="L11" s="11">
        <v>19622.91</v>
      </c>
      <c r="N11" s="3">
        <v>45536</v>
      </c>
      <c r="P11" s="11"/>
    </row>
    <row r="12" spans="10:17">
      <c r="J12" s="3">
        <v>45200</v>
      </c>
      <c r="L12" s="11">
        <f>17063.4*1.15</f>
        <v>19622.91</v>
      </c>
      <c r="N12" s="3">
        <v>45566</v>
      </c>
      <c r="P12" s="11"/>
    </row>
    <row r="13" spans="10:17">
      <c r="J13" s="3">
        <v>45231</v>
      </c>
      <c r="L13" s="11">
        <f>17063.4*1.15</f>
        <v>19622.91</v>
      </c>
      <c r="N13" s="3">
        <v>45597</v>
      </c>
      <c r="P13" s="11"/>
    </row>
    <row r="14" spans="10:17">
      <c r="J14" s="3">
        <v>45261</v>
      </c>
      <c r="L14" s="11">
        <f>17063.4*1.15</f>
        <v>19622.91</v>
      </c>
      <c r="N14" s="3">
        <v>45627</v>
      </c>
      <c r="P14" s="11"/>
    </row>
    <row r="15" spans="10:17">
      <c r="J15" s="3">
        <v>45292</v>
      </c>
      <c r="L15" s="11">
        <f>17063.4*1.15</f>
        <v>19622.91</v>
      </c>
      <c r="N15" s="3">
        <v>45658</v>
      </c>
      <c r="P15" s="11"/>
    </row>
    <row r="16" spans="10:17">
      <c r="K16" s="6">
        <f>SUM(K4:K11)</f>
        <v>0</v>
      </c>
      <c r="L16" s="6">
        <f>SUM(L4:L15)</f>
        <v>227125.92</v>
      </c>
      <c r="M16" s="6">
        <f>K16-L16</f>
        <v>-227125.92</v>
      </c>
      <c r="O16" s="6">
        <f>SUM(O4:O11)</f>
        <v>0</v>
      </c>
      <c r="P16" s="6">
        <f>SUM(P4:P15)</f>
        <v>98114.55</v>
      </c>
      <c r="Q16" s="6">
        <f>O16-P16</f>
        <v>-98114.55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81cd01-18d3-4d99-9da7-104aa7df8d71">
      <Terms xmlns="http://schemas.microsoft.com/office/infopath/2007/PartnerControls"/>
    </lcf76f155ced4ddcb4097134ff3c332f>
    <TaxCatchAll xmlns="22a0b230-faea-41c6-942e-118daf6c53c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2A19C09597A4FB0ECB8D3006DEC5B" ma:contentTypeVersion="17" ma:contentTypeDescription="Create a new document." ma:contentTypeScope="" ma:versionID="295cc371d64fe7a09f66e12b7a044a98">
  <xsd:schema xmlns:xsd="http://www.w3.org/2001/XMLSchema" xmlns:xs="http://www.w3.org/2001/XMLSchema" xmlns:p="http://schemas.microsoft.com/office/2006/metadata/properties" xmlns:ns2="4d81cd01-18d3-4d99-9da7-104aa7df8d71" xmlns:ns3="22a0b230-faea-41c6-942e-118daf6c53c7" targetNamespace="http://schemas.microsoft.com/office/2006/metadata/properties" ma:root="true" ma:fieldsID="44237ddf2954c1c60c1f83c4e8162a02" ns2:_="" ns3:_="">
    <xsd:import namespace="4d81cd01-18d3-4d99-9da7-104aa7df8d71"/>
    <xsd:import namespace="22a0b230-faea-41c6-942e-118daf6c5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cd01-18d3-4d99-9da7-104aa7df8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0fb1f15-508e-4435-a559-3077e579f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0b230-faea-41c6-942e-118daf6c53c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16fc043-e475-4f71-8898-77370e45b749}" ma:internalName="TaxCatchAll" ma:showField="CatchAllData" ma:web="22a0b230-faea-41c6-942e-118daf6c5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6C5F98-A1C6-4EBF-BFBD-6B6EE7B8E267}"/>
</file>

<file path=customXml/itemProps2.xml><?xml version="1.0" encoding="utf-8"?>
<ds:datastoreItem xmlns:ds="http://schemas.openxmlformats.org/officeDocument/2006/customXml" ds:itemID="{73595223-A5CC-4822-AC4A-EF7CCF00373B}"/>
</file>

<file path=customXml/itemProps3.xml><?xml version="1.0" encoding="utf-8"?>
<ds:datastoreItem xmlns:ds="http://schemas.openxmlformats.org/officeDocument/2006/customXml" ds:itemID="{B8DBAD1A-D39B-4BDA-8929-A5283775A4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Zerilda .</dc:creator>
  <cp:keywords/>
  <dc:description/>
  <cp:lastModifiedBy>Zerilda</cp:lastModifiedBy>
  <cp:revision/>
  <dcterms:created xsi:type="dcterms:W3CDTF">2019-05-25T08:26:46Z</dcterms:created>
  <dcterms:modified xsi:type="dcterms:W3CDTF">2024-06-19T11:15:17Z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0x010100C2C2A19C09597A4FB0ECB8D3006DEC5B</vt:lpwstr>
  </property>
  <property fmtid="{D5CDD505-2E9C-101B-9397-08002B2CF9AE}" pid="3" name="MediaServiceImageTags">
    <vt:lpwstr/>
  </property>
</Properties>
</file>