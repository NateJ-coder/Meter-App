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S\Desktop\UUS\Back Dated Reports\Current Buildings\LM\Utilities Back Date\"/>
    </mc:Choice>
  </mc:AlternateContent>
  <xr:revisionPtr revIDLastSave="81" documentId="13_ncr:1_{9CCE2747-2FB4-4261-96D8-7202BDC25133}" xr6:coauthVersionLast="47" xr6:coauthVersionMax="47" xr10:uidLastSave="{398B0075-DFF3-4C24-A694-FC45AA50958E}"/>
  <bookViews>
    <workbookView xWindow="-28920" yWindow="-3765" windowWidth="29040" windowHeight="15840" activeTab="1" xr2:uid="{1833F3CB-BAB2-43CF-8185-40675C363D0C}"/>
  </bookViews>
  <sheets>
    <sheet name="Data" sheetId="1" r:id="rId1"/>
    <sheet name="Collected Graph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I5" i="1" l="1"/>
  <c r="BI4" i="1"/>
  <c r="BI6" i="1" s="1"/>
  <c r="BH5" i="1"/>
  <c r="BH4" i="1"/>
  <c r="BH6" i="1" s="1"/>
  <c r="BG5" i="1"/>
  <c r="BG4" i="1"/>
  <c r="BG6" i="1" s="1"/>
  <c r="BF5" i="1"/>
  <c r="BF4" i="1"/>
  <c r="BF6" i="1" s="1"/>
  <c r="BE4" i="1"/>
  <c r="BE5" i="1"/>
  <c r="BE6" i="1"/>
  <c r="BD5" i="1"/>
  <c r="BD4" i="1"/>
  <c r="BD6" i="1" s="1"/>
  <c r="BC5" i="1"/>
  <c r="BC4" i="1"/>
  <c r="BC6" i="1"/>
  <c r="BB5" i="1"/>
  <c r="BB4" i="1"/>
  <c r="BB6" i="1" s="1"/>
  <c r="BA5" i="1"/>
  <c r="BA4" i="1"/>
  <c r="BA6" i="1" s="1"/>
  <c r="AZ4" i="1"/>
  <c r="AZ5" i="1"/>
  <c r="AZ6" i="1"/>
  <c r="AY5" i="1"/>
  <c r="AY4" i="1"/>
  <c r="AY6" i="1"/>
  <c r="AA15" i="2"/>
  <c r="Z15" i="2"/>
  <c r="W15" i="2"/>
  <c r="V15" i="2"/>
  <c r="S15" i="2"/>
  <c r="R15" i="2"/>
  <c r="T15" i="2" s="1"/>
  <c r="AE15" i="2"/>
  <c r="AD15" i="2"/>
  <c r="AX4" i="1"/>
  <c r="AX6" i="1" s="1"/>
  <c r="AW4" i="1"/>
  <c r="AW6" i="1" s="1"/>
  <c r="AV4" i="1"/>
  <c r="AV6" i="1" s="1"/>
  <c r="AU4" i="1"/>
  <c r="AU6" i="1" s="1"/>
  <c r="AT4" i="1"/>
  <c r="AT6" i="1" s="1"/>
  <c r="AS4" i="1"/>
  <c r="AS6" i="1"/>
  <c r="AR4" i="1"/>
  <c r="AR6" i="1" s="1"/>
  <c r="AQ6" i="1"/>
  <c r="AQ4" i="1"/>
  <c r="AP4" i="1"/>
  <c r="AP6" i="1" s="1"/>
  <c r="AO4" i="1"/>
  <c r="AO6" i="1" s="1"/>
  <c r="AN4" i="1"/>
  <c r="AN6" i="1" s="1"/>
  <c r="AM4" i="1"/>
  <c r="AM6" i="1" s="1"/>
  <c r="AL6" i="1"/>
  <c r="AL4" i="1"/>
  <c r="AK4" i="1"/>
  <c r="AK6" i="1" s="1"/>
  <c r="AF15" i="2" l="1"/>
  <c r="AB15" i="2"/>
  <c r="AJ4" i="1"/>
  <c r="AJ6" i="1" s="1"/>
  <c r="AI4" i="1" l="1"/>
  <c r="AI6" i="1"/>
  <c r="AH4" i="1" l="1"/>
  <c r="AH6" i="1" s="1"/>
  <c r="AG4" i="1" l="1"/>
  <c r="AG6" i="1" s="1"/>
  <c r="AF4" i="1" l="1"/>
  <c r="AF6" i="1" s="1"/>
  <c r="AE6" i="1" l="1"/>
  <c r="AD6" i="1" l="1"/>
  <c r="AC6" i="1" l="1"/>
  <c r="AA6" i="1" l="1"/>
  <c r="AB6" i="1"/>
  <c r="Z6" i="1" l="1"/>
  <c r="X15" i="2" l="1"/>
  <c r="X6" i="1"/>
  <c r="Y6" i="1"/>
  <c r="W6" i="1"/>
  <c r="O15" i="2"/>
  <c r="N15" i="2"/>
  <c r="P15" i="2" l="1"/>
  <c r="O6" i="1"/>
  <c r="P6" i="1"/>
  <c r="Q6" i="1"/>
  <c r="R6" i="1"/>
  <c r="S6" i="1"/>
  <c r="T6" i="1"/>
  <c r="U6" i="1"/>
  <c r="V6" i="1"/>
  <c r="N6" i="1"/>
</calcChain>
</file>

<file path=xl/sharedStrings.xml><?xml version="1.0" encoding="utf-8"?>
<sst xmlns="http://schemas.openxmlformats.org/spreadsheetml/2006/main" count="16" uniqueCount="8">
  <si>
    <t>La' Montagne Sanitation Council vs BC</t>
  </si>
  <si>
    <t>Unit No.</t>
  </si>
  <si>
    <t>BC Total</t>
  </si>
  <si>
    <t>Council Total</t>
  </si>
  <si>
    <t>Difference</t>
  </si>
  <si>
    <t>La'Montagne Sanitation Council vs BC</t>
  </si>
  <si>
    <t>BC</t>
  </si>
  <si>
    <t>Council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</si>
</sst>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R&quot;* #,##0.00_-;\-&quot;R&quot;* #,##0.00_-;_-&quot;R&quot;* &quot;-&quot;??_-;_-@_-"/>
    <numFmt numFmtId="165" formatCode="&quot;R&quot;#,##0.00"/>
    <numFmt numFmtId="166" formatCode="_-[$R-436]* #,##0.00_-;\-[$R-436]* #,##0.00_-;_-[$R-436]* &quot;-&quot;??_-;_-@_-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1" fillId="0" borderId="1" xfId="0" applyFont="1" applyBorder="1"/>
    <xf numFmtId="17" fontId="1" fillId="0" borderId="1" xfId="0" applyNumberFormat="1" applyFont="1" applyBorder="1"/>
    <xf numFmtId="165" fontId="0" fillId="0" borderId="1" xfId="0" applyNumberFormat="1" applyBorder="1"/>
    <xf numFmtId="164" fontId="0" fillId="0" borderId="0" xfId="0" applyNumberFormat="1"/>
    <xf numFmtId="164" fontId="1" fillId="0" borderId="2" xfId="0" applyNumberFormat="1" applyFont="1" applyBorder="1"/>
    <xf numFmtId="164" fontId="0" fillId="0" borderId="1" xfId="1" applyFont="1" applyBorder="1"/>
    <xf numFmtId="17" fontId="1" fillId="0" borderId="0" xfId="0" applyNumberFormat="1" applyFont="1"/>
    <xf numFmtId="17" fontId="1" fillId="2" borderId="1" xfId="0" applyNumberFormat="1" applyFont="1" applyFill="1" applyBorder="1"/>
    <xf numFmtId="166" fontId="0" fillId="0" borderId="0" xfId="0" applyNumberFormat="1"/>
    <xf numFmtId="164" fontId="0" fillId="0" borderId="1" xfId="1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'Collected Graph'!$AD$2</c:f>
              <c:strCache>
                <c:ptCount val="1"/>
                <c:pt idx="0">
                  <c:v>BC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'Collected Graph'!$AC$3:$AC$14</c:f>
              <c:numCache>
                <c:formatCode>mmm\-yy</c:formatCode>
                <c:ptCount val="12"/>
                <c:pt idx="0">
                  <c:v>44621</c:v>
                </c:pt>
                <c:pt idx="1">
                  <c:v>44652</c:v>
                </c:pt>
                <c:pt idx="2">
                  <c:v>44682</c:v>
                </c:pt>
                <c:pt idx="3">
                  <c:v>44713</c:v>
                </c:pt>
                <c:pt idx="4">
                  <c:v>44743</c:v>
                </c:pt>
                <c:pt idx="5">
                  <c:v>44774</c:v>
                </c:pt>
                <c:pt idx="6">
                  <c:v>44805</c:v>
                </c:pt>
                <c:pt idx="7">
                  <c:v>44835</c:v>
                </c:pt>
                <c:pt idx="8">
                  <c:v>44866</c:v>
                </c:pt>
                <c:pt idx="9">
                  <c:v>44896</c:v>
                </c:pt>
                <c:pt idx="10">
                  <c:v>44927</c:v>
                </c:pt>
                <c:pt idx="11">
                  <c:v>44958</c:v>
                </c:pt>
              </c:numCache>
            </c:numRef>
          </c:cat>
          <c:val>
            <c:numRef>
              <c:f>'Collected Graph'!$AD$3:$AD$14</c:f>
              <c:numCache>
                <c:formatCode>_-[$R-436]* #,##0.00_-;\-[$R-436]* #,##0.00_-;_-[$R-436]* "-"??_-;_-@_-</c:formatCode>
                <c:ptCount val="12"/>
                <c:pt idx="0">
                  <c:v>27808.897499999999</c:v>
                </c:pt>
                <c:pt idx="1">
                  <c:v>27808.897499999999</c:v>
                </c:pt>
                <c:pt idx="2">
                  <c:v>27808.897499999999</c:v>
                </c:pt>
                <c:pt idx="3">
                  <c:v>30520.287</c:v>
                </c:pt>
                <c:pt idx="4">
                  <c:v>30520.287</c:v>
                </c:pt>
                <c:pt idx="5">
                  <c:v>30520.287</c:v>
                </c:pt>
                <c:pt idx="6">
                  <c:v>30520.287</c:v>
                </c:pt>
                <c:pt idx="7">
                  <c:v>30520.287</c:v>
                </c:pt>
                <c:pt idx="8">
                  <c:v>30520.287</c:v>
                </c:pt>
                <c:pt idx="9">
                  <c:v>30520.287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EE-4623-9C20-C3E3B5C2C3CF}"/>
            </c:ext>
          </c:extLst>
        </c:ser>
        <c:ser>
          <c:idx val="1"/>
          <c:order val="1"/>
          <c:tx>
            <c:strRef>
              <c:f>'Collected Graph'!$AE$2</c:f>
              <c:strCache>
                <c:ptCount val="1"/>
                <c:pt idx="0">
                  <c:v>Council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'Collected Graph'!$AC$3:$AC$14</c:f>
              <c:numCache>
                <c:formatCode>mmm\-yy</c:formatCode>
                <c:ptCount val="12"/>
                <c:pt idx="0">
                  <c:v>44621</c:v>
                </c:pt>
                <c:pt idx="1">
                  <c:v>44652</c:v>
                </c:pt>
                <c:pt idx="2">
                  <c:v>44682</c:v>
                </c:pt>
                <c:pt idx="3">
                  <c:v>44713</c:v>
                </c:pt>
                <c:pt idx="4">
                  <c:v>44743</c:v>
                </c:pt>
                <c:pt idx="5">
                  <c:v>44774</c:v>
                </c:pt>
                <c:pt idx="6">
                  <c:v>44805</c:v>
                </c:pt>
                <c:pt idx="7">
                  <c:v>44835</c:v>
                </c:pt>
                <c:pt idx="8">
                  <c:v>44866</c:v>
                </c:pt>
                <c:pt idx="9">
                  <c:v>44896</c:v>
                </c:pt>
                <c:pt idx="10">
                  <c:v>44927</c:v>
                </c:pt>
                <c:pt idx="11">
                  <c:v>44958</c:v>
                </c:pt>
              </c:numCache>
            </c:numRef>
          </c:cat>
          <c:val>
            <c:numRef>
              <c:f>'Collected Graph'!$AE$3:$AE$14</c:f>
              <c:numCache>
                <c:formatCode>_-[$R-436]* #,##0.00_-;\-[$R-436]* #,##0.00_-;_-[$R-436]* "-"??_-;_-@_-</c:formatCode>
                <c:ptCount val="12"/>
                <c:pt idx="0">
                  <c:v>27808.897499999999</c:v>
                </c:pt>
                <c:pt idx="1">
                  <c:v>27808.897499999999</c:v>
                </c:pt>
                <c:pt idx="2">
                  <c:v>27808.897499999999</c:v>
                </c:pt>
                <c:pt idx="3">
                  <c:v>30520.287</c:v>
                </c:pt>
                <c:pt idx="4">
                  <c:v>30520.287</c:v>
                </c:pt>
                <c:pt idx="5">
                  <c:v>30520.287</c:v>
                </c:pt>
                <c:pt idx="6">
                  <c:v>30520.287</c:v>
                </c:pt>
                <c:pt idx="7">
                  <c:v>30520.287</c:v>
                </c:pt>
                <c:pt idx="8">
                  <c:v>30520.287</c:v>
                </c:pt>
                <c:pt idx="9">
                  <c:v>30520.287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0EE-4623-9C20-C3E3B5C2C3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2114888"/>
        <c:axId val="587514296"/>
      </c:barChart>
      <c:dateAx>
        <c:axId val="98211488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514296"/>
        <c:crosses val="autoZero"/>
        <c:auto val="1"/>
        <c:lblOffset val="100"/>
        <c:baseTimeUnit val="months"/>
      </c:dateAx>
      <c:valAx>
        <c:axId val="587514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-436]* #,##0.00_-;\-[$R-436]* #,##0.00_-;_-[$R-436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114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1</xdr:row>
      <xdr:rowOff>114300</xdr:rowOff>
    </xdr:from>
    <xdr:to>
      <xdr:col>11</xdr:col>
      <xdr:colOff>209550</xdr:colOff>
      <xdr:row>21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6D640B-A758-7DDD-B0A7-1FA30E6390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DB66E-43B4-4304-BE10-94B1BBCFEEC8}">
  <sheetPr>
    <pageSetUpPr fitToPage="1"/>
  </sheetPr>
  <dimension ref="A1:BJ6"/>
  <sheetViews>
    <sheetView workbookViewId="0">
      <selection activeCell="BI14" sqref="BI14"/>
    </sheetView>
  </sheetViews>
  <sheetFormatPr defaultRowHeight="15"/>
  <cols>
    <col min="1" max="1" width="13.7109375" customWidth="1"/>
    <col min="2" max="2" width="10.140625" customWidth="1"/>
    <col min="3" max="11" width="10.140625" hidden="1" customWidth="1"/>
    <col min="12" max="12" width="11.85546875" hidden="1" customWidth="1"/>
    <col min="13" max="13" width="10.140625" hidden="1" customWidth="1"/>
    <col min="14" max="14" width="11.5703125" bestFit="1" customWidth="1"/>
    <col min="15" max="22" width="11.5703125" hidden="1" customWidth="1"/>
    <col min="23" max="25" width="11.7109375" hidden="1" customWidth="1"/>
    <col min="26" max="26" width="11.5703125" bestFit="1" customWidth="1"/>
    <col min="27" max="33" width="11.5703125" hidden="1" customWidth="1"/>
    <col min="34" max="37" width="11.7109375" hidden="1" customWidth="1"/>
    <col min="38" max="38" width="11.7109375" bestFit="1" customWidth="1"/>
    <col min="39" max="48" width="11.7109375" hidden="1" customWidth="1"/>
    <col min="49" max="50" width="11.7109375" bestFit="1" customWidth="1"/>
    <col min="51" max="61" width="12" bestFit="1" customWidth="1"/>
  </cols>
  <sheetData>
    <row r="1" spans="1:62" ht="18.75">
      <c r="A1" s="1" t="s">
        <v>0</v>
      </c>
    </row>
    <row r="3" spans="1:62">
      <c r="A3" s="2" t="s">
        <v>1</v>
      </c>
      <c r="B3" s="9">
        <v>43101</v>
      </c>
      <c r="C3" s="3">
        <v>43132</v>
      </c>
      <c r="D3" s="3">
        <v>43160</v>
      </c>
      <c r="E3" s="3">
        <v>43191</v>
      </c>
      <c r="F3" s="3">
        <v>43221</v>
      </c>
      <c r="G3" s="3">
        <v>43252</v>
      </c>
      <c r="H3" s="3">
        <v>43282</v>
      </c>
      <c r="I3" s="3">
        <v>43313</v>
      </c>
      <c r="J3" s="3">
        <v>43344</v>
      </c>
      <c r="K3" s="3">
        <v>43374</v>
      </c>
      <c r="L3" s="3">
        <v>43405</v>
      </c>
      <c r="M3" s="3">
        <v>43435</v>
      </c>
      <c r="N3" s="9">
        <v>43466</v>
      </c>
      <c r="O3" s="3">
        <v>43497</v>
      </c>
      <c r="P3" s="3">
        <v>43525</v>
      </c>
      <c r="Q3" s="3">
        <v>43556</v>
      </c>
      <c r="R3" s="3">
        <v>43586</v>
      </c>
      <c r="S3" s="3">
        <v>43617</v>
      </c>
      <c r="T3" s="3">
        <v>43647</v>
      </c>
      <c r="U3" s="3">
        <v>43678</v>
      </c>
      <c r="V3" s="3">
        <v>43709</v>
      </c>
      <c r="W3" s="3">
        <v>43739</v>
      </c>
      <c r="X3" s="3">
        <v>43770</v>
      </c>
      <c r="Y3" s="3">
        <v>43800</v>
      </c>
      <c r="Z3" s="9">
        <v>43831</v>
      </c>
      <c r="AA3" s="3">
        <v>43862</v>
      </c>
      <c r="AB3" s="3">
        <v>43891</v>
      </c>
      <c r="AC3" s="3">
        <v>43922</v>
      </c>
      <c r="AD3" s="3">
        <v>43952</v>
      </c>
      <c r="AE3" s="3">
        <v>43983</v>
      </c>
      <c r="AF3" s="3">
        <v>44013</v>
      </c>
      <c r="AG3" s="3">
        <v>44044</v>
      </c>
      <c r="AH3" s="3">
        <v>44075</v>
      </c>
      <c r="AI3" s="3">
        <v>44105</v>
      </c>
      <c r="AJ3" s="3">
        <v>44136</v>
      </c>
      <c r="AK3" s="3">
        <v>44166</v>
      </c>
      <c r="AL3" s="9">
        <v>44197</v>
      </c>
      <c r="AM3" s="3">
        <v>44228</v>
      </c>
      <c r="AN3" s="3">
        <v>44256</v>
      </c>
      <c r="AO3" s="3">
        <v>44287</v>
      </c>
      <c r="AP3" s="3">
        <v>44317</v>
      </c>
      <c r="AQ3" s="3">
        <v>44348</v>
      </c>
      <c r="AR3" s="3">
        <v>44378</v>
      </c>
      <c r="AS3" s="3">
        <v>44409</v>
      </c>
      <c r="AT3" s="3">
        <v>44440</v>
      </c>
      <c r="AU3" s="3">
        <v>44470</v>
      </c>
      <c r="AV3" s="3">
        <v>44501</v>
      </c>
      <c r="AW3" s="3">
        <v>44531</v>
      </c>
      <c r="AX3" s="9">
        <v>44562</v>
      </c>
      <c r="AY3" s="3">
        <v>44593</v>
      </c>
      <c r="AZ3" s="3">
        <v>44621</v>
      </c>
      <c r="BA3" s="3">
        <v>44652</v>
      </c>
      <c r="BB3" s="3">
        <v>44682</v>
      </c>
      <c r="BC3" s="3">
        <v>44713</v>
      </c>
      <c r="BD3" s="3">
        <v>44743</v>
      </c>
      <c r="BE3" s="3">
        <v>44774</v>
      </c>
      <c r="BF3" s="3">
        <v>44805</v>
      </c>
      <c r="BG3" s="3">
        <v>44835</v>
      </c>
      <c r="BH3" s="3">
        <v>44866</v>
      </c>
      <c r="BI3" s="3">
        <v>44896</v>
      </c>
      <c r="BJ3" s="9">
        <v>44927</v>
      </c>
    </row>
    <row r="4" spans="1:62">
      <c r="A4" s="2" t="s">
        <v>2</v>
      </c>
      <c r="B4" s="4">
        <v>20226.389999999996</v>
      </c>
      <c r="C4" s="4">
        <v>20226.389999999996</v>
      </c>
      <c r="D4" s="4">
        <v>20226.389999999996</v>
      </c>
      <c r="E4" s="4">
        <v>20226.389999999996</v>
      </c>
      <c r="F4" s="4">
        <v>20226.389999999996</v>
      </c>
      <c r="G4" s="4">
        <v>20226.389999999996</v>
      </c>
      <c r="H4" s="4">
        <v>23479.029999999977</v>
      </c>
      <c r="I4" s="4">
        <v>23097.39999999998</v>
      </c>
      <c r="J4" s="4">
        <v>23097.39999999998</v>
      </c>
      <c r="K4" s="4">
        <v>23097.39999999998</v>
      </c>
      <c r="L4" s="4">
        <v>23097.39999999998</v>
      </c>
      <c r="M4" s="4">
        <v>23097.39999999998</v>
      </c>
      <c r="N4" s="7">
        <v>25762.5</v>
      </c>
      <c r="O4" s="7">
        <v>22225</v>
      </c>
      <c r="P4" s="7">
        <v>22225</v>
      </c>
      <c r="Q4" s="7">
        <v>22225</v>
      </c>
      <c r="R4" s="7">
        <v>22225</v>
      </c>
      <c r="S4" s="7">
        <v>24428.43</v>
      </c>
      <c r="T4" s="7">
        <v>24425.94</v>
      </c>
      <c r="U4" s="7">
        <v>23468.06</v>
      </c>
      <c r="V4" s="7">
        <v>23468.06</v>
      </c>
      <c r="W4" s="7">
        <v>23947.03</v>
      </c>
      <c r="X4" s="7">
        <v>23947.03</v>
      </c>
      <c r="Y4" s="7">
        <v>23947.03</v>
      </c>
      <c r="Z4" s="7">
        <v>23947.03</v>
      </c>
      <c r="AA4" s="7">
        <v>23947.03</v>
      </c>
      <c r="AB4" s="7">
        <v>23947.03</v>
      </c>
      <c r="AC4" s="7">
        <v>23947.03</v>
      </c>
      <c r="AD4" s="7">
        <v>23947.03</v>
      </c>
      <c r="AE4" s="7">
        <v>23947.03</v>
      </c>
      <c r="AF4" s="7">
        <f t="shared" ref="AF4:AP4" si="0">(443.96*50)*1.15</f>
        <v>25527.699999999997</v>
      </c>
      <c r="AG4" s="7">
        <f t="shared" si="0"/>
        <v>25527.699999999997</v>
      </c>
      <c r="AH4" s="7">
        <f t="shared" si="0"/>
        <v>25527.699999999997</v>
      </c>
      <c r="AI4" s="7">
        <f t="shared" si="0"/>
        <v>25527.699999999997</v>
      </c>
      <c r="AJ4" s="7">
        <f t="shared" si="0"/>
        <v>25527.699999999997</v>
      </c>
      <c r="AK4" s="7">
        <f t="shared" si="0"/>
        <v>25527.699999999997</v>
      </c>
      <c r="AL4" s="7">
        <f t="shared" si="0"/>
        <v>25527.699999999997</v>
      </c>
      <c r="AM4" s="7">
        <f t="shared" si="0"/>
        <v>25527.699999999997</v>
      </c>
      <c r="AN4" s="7">
        <f t="shared" si="0"/>
        <v>25527.699999999997</v>
      </c>
      <c r="AO4" s="7">
        <f t="shared" si="0"/>
        <v>25527.699999999997</v>
      </c>
      <c r="AP4" s="7">
        <f t="shared" si="0"/>
        <v>25527.699999999997</v>
      </c>
      <c r="AQ4" s="11">
        <f t="shared" ref="AQ4:BC5" si="1">24181.65*1.15</f>
        <v>27808.897499999999</v>
      </c>
      <c r="AR4" s="11">
        <f t="shared" si="1"/>
        <v>27808.897499999999</v>
      </c>
      <c r="AS4" s="11">
        <f t="shared" si="1"/>
        <v>27808.897499999999</v>
      </c>
      <c r="AT4" s="11">
        <f t="shared" si="1"/>
        <v>27808.897499999999</v>
      </c>
      <c r="AU4" s="11">
        <f t="shared" si="1"/>
        <v>27808.897499999999</v>
      </c>
      <c r="AV4" s="11">
        <f t="shared" si="1"/>
        <v>27808.897499999999</v>
      </c>
      <c r="AW4" s="11">
        <f t="shared" si="1"/>
        <v>27808.897499999999</v>
      </c>
      <c r="AX4" s="11">
        <f t="shared" si="1"/>
        <v>27808.897499999999</v>
      </c>
      <c r="AY4" s="11">
        <f t="shared" si="1"/>
        <v>27808.897499999999</v>
      </c>
      <c r="AZ4" s="11">
        <f t="shared" si="1"/>
        <v>27808.897499999999</v>
      </c>
      <c r="BA4" s="11">
        <f t="shared" si="1"/>
        <v>27808.897499999999</v>
      </c>
      <c r="BB4" s="11">
        <f t="shared" si="1"/>
        <v>27808.897499999999</v>
      </c>
      <c r="BC4" s="11">
        <f>26539.38*1.15</f>
        <v>30520.287</v>
      </c>
      <c r="BD4" s="11">
        <f>26539.38*1.15</f>
        <v>30520.287</v>
      </c>
      <c r="BE4" s="11">
        <f>26539.38*1.15</f>
        <v>30520.287</v>
      </c>
      <c r="BF4" s="11">
        <f>26539.38*1.15</f>
        <v>30520.287</v>
      </c>
      <c r="BG4" s="11">
        <f>26539.38*1.15</f>
        <v>30520.287</v>
      </c>
      <c r="BH4" s="11">
        <f>26539.38*1.15</f>
        <v>30520.287</v>
      </c>
      <c r="BI4" s="11">
        <f>26539.38*1.15</f>
        <v>30520.287</v>
      </c>
    </row>
    <row r="5" spans="1:62">
      <c r="A5" s="2" t="s">
        <v>3</v>
      </c>
      <c r="B5" s="4">
        <v>831.85799999999995</v>
      </c>
      <c r="C5" s="4">
        <v>831.85799999999995</v>
      </c>
      <c r="D5" s="4">
        <v>831.85799999999995</v>
      </c>
      <c r="E5" s="4">
        <v>831.85799999999995</v>
      </c>
      <c r="F5" s="4">
        <v>839.15499999999997</v>
      </c>
      <c r="G5" s="4">
        <v>949.92299999999989</v>
      </c>
      <c r="H5" s="4">
        <v>949.92299999999989</v>
      </c>
      <c r="I5" s="4">
        <v>949.92299999999989</v>
      </c>
      <c r="J5" s="4">
        <v>949.92299999999989</v>
      </c>
      <c r="K5" s="4">
        <v>949.92299999999989</v>
      </c>
      <c r="L5" s="4">
        <v>380091.34439999994</v>
      </c>
      <c r="M5" s="4">
        <v>23097.002499999995</v>
      </c>
      <c r="N5" s="7">
        <v>22225.42</v>
      </c>
      <c r="O5" s="7">
        <v>22225.42</v>
      </c>
      <c r="P5" s="7">
        <v>22225.42</v>
      </c>
      <c r="Q5" s="7">
        <v>22225.42</v>
      </c>
      <c r="R5" s="7">
        <v>22225.42</v>
      </c>
      <c r="S5" s="7">
        <v>24425.97</v>
      </c>
      <c r="T5" s="7">
        <v>24425.97</v>
      </c>
      <c r="U5" s="7">
        <v>24425.97</v>
      </c>
      <c r="V5" s="7">
        <v>24425.97</v>
      </c>
      <c r="W5" s="7">
        <v>24425.97</v>
      </c>
      <c r="X5" s="7">
        <v>24425.97</v>
      </c>
      <c r="Y5" s="7">
        <v>24425.97</v>
      </c>
      <c r="Z5" s="7">
        <v>24425.97</v>
      </c>
      <c r="AA5" s="7">
        <v>24425.97</v>
      </c>
      <c r="AB5" s="7">
        <v>24425.97</v>
      </c>
      <c r="AC5" s="7">
        <v>24425.97</v>
      </c>
      <c r="AD5" s="7">
        <v>24425.97</v>
      </c>
      <c r="AE5" s="7">
        <v>24425.97</v>
      </c>
      <c r="AF5" s="7">
        <v>26038.25</v>
      </c>
      <c r="AG5" s="7">
        <v>26038.25</v>
      </c>
      <c r="AH5" s="7">
        <v>26038.25</v>
      </c>
      <c r="AI5" s="7">
        <v>26038.25</v>
      </c>
      <c r="AJ5" s="7">
        <v>26038.25</v>
      </c>
      <c r="AK5" s="7">
        <v>26038.25</v>
      </c>
      <c r="AL5" s="7">
        <v>26038.25</v>
      </c>
      <c r="AM5" s="7">
        <v>26038.25</v>
      </c>
      <c r="AN5" s="7">
        <v>26038.25</v>
      </c>
      <c r="AO5" s="7">
        <v>26038.25</v>
      </c>
      <c r="AP5" s="7">
        <v>26038.25</v>
      </c>
      <c r="AQ5" s="11">
        <v>27808.9</v>
      </c>
      <c r="AR5" s="11">
        <v>27808.9</v>
      </c>
      <c r="AS5" s="11">
        <v>27808.9</v>
      </c>
      <c r="AT5" s="11">
        <v>27808.9</v>
      </c>
      <c r="AU5" s="11">
        <v>27808.9</v>
      </c>
      <c r="AV5" s="11">
        <v>27808.9</v>
      </c>
      <c r="AW5" s="11">
        <v>27808.9</v>
      </c>
      <c r="AX5" s="11">
        <v>28011.42</v>
      </c>
      <c r="AY5" s="11">
        <f t="shared" si="1"/>
        <v>27808.897499999999</v>
      </c>
      <c r="AZ5" s="11">
        <f t="shared" si="1"/>
        <v>27808.897499999999</v>
      </c>
      <c r="BA5" s="11">
        <f t="shared" si="1"/>
        <v>27808.897499999999</v>
      </c>
      <c r="BB5" s="11">
        <f t="shared" si="1"/>
        <v>27808.897499999999</v>
      </c>
      <c r="BC5" s="11">
        <f>26539.38*1.15</f>
        <v>30520.287</v>
      </c>
      <c r="BD5" s="11">
        <f>26539.38*1.15</f>
        <v>30520.287</v>
      </c>
      <c r="BE5" s="11">
        <f>26539.38*1.15</f>
        <v>30520.287</v>
      </c>
      <c r="BF5" s="11">
        <f>26539.38*1.15</f>
        <v>30520.287</v>
      </c>
      <c r="BG5" s="11">
        <f>26539.38*1.15</f>
        <v>30520.287</v>
      </c>
      <c r="BH5" s="11">
        <f>26539.38*1.15</f>
        <v>30520.287</v>
      </c>
      <c r="BI5" s="11">
        <f>26539.38*1.15</f>
        <v>30520.287</v>
      </c>
    </row>
    <row r="6" spans="1:62">
      <c r="A6" s="2" t="s">
        <v>4</v>
      </c>
      <c r="B6" s="4">
        <v>19394.531999999996</v>
      </c>
      <c r="C6" s="4">
        <v>19394.531999999996</v>
      </c>
      <c r="D6" s="4">
        <v>19394.531999999996</v>
      </c>
      <c r="E6" s="4">
        <v>19394.531999999996</v>
      </c>
      <c r="F6" s="4">
        <v>19387.234999999997</v>
      </c>
      <c r="G6" s="4">
        <v>19276.466999999997</v>
      </c>
      <c r="H6" s="4">
        <v>22529.106999999978</v>
      </c>
      <c r="I6" s="4">
        <v>22147.476999999981</v>
      </c>
      <c r="J6" s="4">
        <v>22147.476999999981</v>
      </c>
      <c r="K6" s="4">
        <v>22147.476999999981</v>
      </c>
      <c r="L6" s="4">
        <v>-356993.94439999998</v>
      </c>
      <c r="M6" s="4">
        <v>0.39749999998457497</v>
      </c>
      <c r="N6" s="4">
        <f>N4-N5</f>
        <v>3537.0800000000017</v>
      </c>
      <c r="O6" s="4">
        <f t="shared" ref="O6:V6" si="2">O4-O5</f>
        <v>-0.41999999999825377</v>
      </c>
      <c r="P6" s="4">
        <f t="shared" si="2"/>
        <v>-0.41999999999825377</v>
      </c>
      <c r="Q6" s="4">
        <f t="shared" si="2"/>
        <v>-0.41999999999825377</v>
      </c>
      <c r="R6" s="4">
        <f t="shared" si="2"/>
        <v>-0.41999999999825377</v>
      </c>
      <c r="S6" s="4">
        <f t="shared" si="2"/>
        <v>2.4599999999991269</v>
      </c>
      <c r="T6" s="4">
        <f t="shared" si="2"/>
        <v>-3.0000000002473826E-2</v>
      </c>
      <c r="U6" s="4">
        <f t="shared" si="2"/>
        <v>-957.90999999999985</v>
      </c>
      <c r="V6" s="4">
        <f t="shared" si="2"/>
        <v>-957.90999999999985</v>
      </c>
      <c r="W6" s="4">
        <f>W4-W5</f>
        <v>-478.94000000000233</v>
      </c>
      <c r="X6" s="4">
        <f t="shared" ref="X6:Y6" si="3">X4-X5</f>
        <v>-478.94000000000233</v>
      </c>
      <c r="Y6" s="4">
        <f t="shared" si="3"/>
        <v>-478.94000000000233</v>
      </c>
      <c r="Z6" s="4">
        <f t="shared" ref="Z6:AB6" si="4">Z4-Z5</f>
        <v>-478.94000000000233</v>
      </c>
      <c r="AA6" s="4">
        <f t="shared" si="4"/>
        <v>-478.94000000000233</v>
      </c>
      <c r="AB6" s="4">
        <f t="shared" si="4"/>
        <v>-478.94000000000233</v>
      </c>
      <c r="AC6" s="4">
        <f t="shared" ref="AC6:AD6" si="5">AC4-AC5</f>
        <v>-478.94000000000233</v>
      </c>
      <c r="AD6" s="4">
        <f t="shared" si="5"/>
        <v>-478.94000000000233</v>
      </c>
      <c r="AE6" s="4">
        <f t="shared" ref="AE6:AF6" si="6">AE4-AE5</f>
        <v>-478.94000000000233</v>
      </c>
      <c r="AF6" s="4">
        <f t="shared" si="6"/>
        <v>-510.55000000000291</v>
      </c>
      <c r="AG6" s="4">
        <f t="shared" ref="AG6:AH6" si="7">AG4-AG5</f>
        <v>-510.55000000000291</v>
      </c>
      <c r="AH6" s="4">
        <f t="shared" si="7"/>
        <v>-510.55000000000291</v>
      </c>
      <c r="AI6" s="4">
        <f t="shared" ref="AI6:AJ6" si="8">AI4-AI5</f>
        <v>-510.55000000000291</v>
      </c>
      <c r="AJ6" s="4">
        <f t="shared" si="8"/>
        <v>-510.55000000000291</v>
      </c>
      <c r="AK6" s="4">
        <f t="shared" ref="AK6:AL6" si="9">AK4-AK5</f>
        <v>-510.55000000000291</v>
      </c>
      <c r="AL6" s="4">
        <f t="shared" si="9"/>
        <v>-510.55000000000291</v>
      </c>
      <c r="AM6" s="4">
        <f t="shared" ref="AM6:AO6" si="10">AM4-AM5</f>
        <v>-510.55000000000291</v>
      </c>
      <c r="AN6" s="4">
        <f t="shared" si="10"/>
        <v>-510.55000000000291</v>
      </c>
      <c r="AO6" s="4">
        <f t="shared" si="10"/>
        <v>-510.55000000000291</v>
      </c>
      <c r="AP6" s="4">
        <f t="shared" ref="AP6:AQ6" si="11">AP4-AP5</f>
        <v>-510.55000000000291</v>
      </c>
      <c r="AQ6" s="4">
        <f t="shared" si="11"/>
        <v>-2.5000000023283064E-3</v>
      </c>
      <c r="AR6" s="4">
        <f t="shared" ref="AR6:AS6" si="12">AR4-AR5</f>
        <v>-2.5000000023283064E-3</v>
      </c>
      <c r="AS6" s="4">
        <f t="shared" si="12"/>
        <v>-2.5000000023283064E-3</v>
      </c>
      <c r="AT6" s="4">
        <f t="shared" ref="AT6:AU6" si="13">AT4-AT5</f>
        <v>-2.5000000023283064E-3</v>
      </c>
      <c r="AU6" s="4">
        <f t="shared" si="13"/>
        <v>-2.5000000023283064E-3</v>
      </c>
      <c r="AV6" s="4">
        <f t="shared" ref="AV6:AW6" si="14">AV4-AV5</f>
        <v>-2.5000000023283064E-3</v>
      </c>
      <c r="AW6" s="4">
        <f t="shared" si="14"/>
        <v>-2.5000000023283064E-3</v>
      </c>
      <c r="AX6" s="4">
        <f t="shared" ref="AX6:AY6" si="15">AX4-AX5</f>
        <v>-202.52249999999913</v>
      </c>
      <c r="AY6" s="4">
        <f t="shared" si="15"/>
        <v>0</v>
      </c>
      <c r="AZ6" s="4">
        <f t="shared" ref="AZ6:BA6" si="16">AZ4-AZ5</f>
        <v>0</v>
      </c>
      <c r="BA6" s="4">
        <f t="shared" si="16"/>
        <v>0</v>
      </c>
      <c r="BB6" s="4">
        <f t="shared" ref="BB6:BC6" si="17">BB4-BB5</f>
        <v>0</v>
      </c>
      <c r="BC6" s="4">
        <f t="shared" si="17"/>
        <v>0</v>
      </c>
      <c r="BD6" s="4">
        <f t="shared" ref="BD6:BE6" si="18">BD4-BD5</f>
        <v>0</v>
      </c>
      <c r="BE6" s="4">
        <f t="shared" si="18"/>
        <v>0</v>
      </c>
      <c r="BF6" s="4">
        <f t="shared" ref="BF6:BG6" si="19">BF4-BF5</f>
        <v>0</v>
      </c>
      <c r="BG6" s="4">
        <f t="shared" si="19"/>
        <v>0</v>
      </c>
      <c r="BH6" s="4">
        <f t="shared" ref="BH6:BI6" si="20">BH4-BH5</f>
        <v>0</v>
      </c>
      <c r="BI6" s="4">
        <f t="shared" si="20"/>
        <v>0</v>
      </c>
    </row>
  </sheetData>
  <pageMargins left="0.25" right="0.25" top="0.75" bottom="0.75" header="0.3" footer="0.3"/>
  <pageSetup paperSize="9" scale="80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B8D24-191F-4A79-88B4-AFE4D7329BAF}">
  <dimension ref="A1:AF15"/>
  <sheetViews>
    <sheetView tabSelected="1" workbookViewId="0">
      <selection activeCell="AF21" sqref="AF21"/>
    </sheetView>
  </sheetViews>
  <sheetFormatPr defaultRowHeight="15"/>
  <cols>
    <col min="14" max="15" width="12.5703125" hidden="1" customWidth="1"/>
    <col min="16" max="16" width="10.5703125" hidden="1" customWidth="1"/>
    <col min="18" max="19" width="12.5703125" hidden="1" customWidth="1"/>
    <col min="20" max="20" width="11.5703125" hidden="1" customWidth="1"/>
    <col min="22" max="23" width="12.7109375" hidden="1" customWidth="1"/>
    <col min="24" max="24" width="10.7109375" hidden="1" customWidth="1"/>
    <col min="26" max="27" width="13.28515625" hidden="1" customWidth="1"/>
    <col min="28" max="28" width="11.140625" hidden="1" customWidth="1"/>
    <col min="30" max="31" width="13.28515625" bestFit="1" customWidth="1"/>
  </cols>
  <sheetData>
    <row r="1" spans="1:32" ht="18.75">
      <c r="A1" s="1" t="s">
        <v>5</v>
      </c>
    </row>
    <row r="2" spans="1:32">
      <c r="N2" t="s">
        <v>6</v>
      </c>
      <c r="O2" t="s">
        <v>7</v>
      </c>
      <c r="R2" t="s">
        <v>6</v>
      </c>
      <c r="S2" t="s">
        <v>7</v>
      </c>
      <c r="V2" t="s">
        <v>6</v>
      </c>
      <c r="W2" t="s">
        <v>7</v>
      </c>
      <c r="Z2" t="s">
        <v>6</v>
      </c>
      <c r="AA2" t="s">
        <v>7</v>
      </c>
      <c r="AD2" t="s">
        <v>6</v>
      </c>
      <c r="AE2" t="s">
        <v>7</v>
      </c>
    </row>
    <row r="3" spans="1:32">
      <c r="M3" s="8">
        <v>43466</v>
      </c>
      <c r="N3" s="5">
        <v>25762.5</v>
      </c>
      <c r="O3" s="5">
        <v>22225.42</v>
      </c>
      <c r="P3" s="5"/>
      <c r="Q3" s="8">
        <v>43525</v>
      </c>
      <c r="R3" s="5">
        <v>22225</v>
      </c>
      <c r="S3" s="5">
        <v>22225.42</v>
      </c>
      <c r="T3" s="5"/>
      <c r="U3" s="8">
        <v>43891</v>
      </c>
      <c r="V3" s="5">
        <v>23947.03</v>
      </c>
      <c r="W3" s="5">
        <v>24425.97</v>
      </c>
      <c r="X3" s="5"/>
      <c r="Y3" s="8">
        <v>44256</v>
      </c>
      <c r="Z3" s="10">
        <v>25527.699999999997</v>
      </c>
      <c r="AA3" s="10">
        <v>26038.25</v>
      </c>
      <c r="AC3" s="8">
        <v>44621</v>
      </c>
      <c r="AD3" s="10">
        <v>27808.897499999999</v>
      </c>
      <c r="AE3" s="10">
        <v>27808.897499999999</v>
      </c>
    </row>
    <row r="4" spans="1:32">
      <c r="M4" s="8">
        <v>43497</v>
      </c>
      <c r="N4" s="5">
        <v>22225</v>
      </c>
      <c r="O4" s="5">
        <v>22225.42</v>
      </c>
      <c r="P4" s="5"/>
      <c r="Q4" s="8">
        <v>43556</v>
      </c>
      <c r="R4" s="5">
        <v>22225</v>
      </c>
      <c r="S4" s="5">
        <v>22225.42</v>
      </c>
      <c r="T4" s="5"/>
      <c r="U4" s="8">
        <v>43922</v>
      </c>
      <c r="V4" s="5">
        <v>23947.03</v>
      </c>
      <c r="W4" s="5">
        <v>24425.97</v>
      </c>
      <c r="X4" s="5"/>
      <c r="Y4" s="8">
        <v>44287</v>
      </c>
      <c r="Z4" s="10">
        <v>25527.699999999997</v>
      </c>
      <c r="AA4" s="10">
        <v>26038.25</v>
      </c>
      <c r="AC4" s="8">
        <v>44652</v>
      </c>
      <c r="AD4" s="10">
        <v>27808.897499999999</v>
      </c>
      <c r="AE4" s="10">
        <v>27808.897499999999</v>
      </c>
    </row>
    <row r="5" spans="1:32">
      <c r="Q5" s="8">
        <v>43586</v>
      </c>
      <c r="R5" s="5">
        <v>22225</v>
      </c>
      <c r="S5" s="5">
        <v>22225.42</v>
      </c>
      <c r="T5" s="5"/>
      <c r="U5" s="8">
        <v>43952</v>
      </c>
      <c r="V5" s="5">
        <v>23947.03</v>
      </c>
      <c r="W5" s="5">
        <v>24425.97</v>
      </c>
      <c r="X5" s="5"/>
      <c r="Y5" s="8">
        <v>44317</v>
      </c>
      <c r="Z5" s="10">
        <v>25527.699999999997</v>
      </c>
      <c r="AA5" s="10">
        <v>26038.25</v>
      </c>
      <c r="AC5" s="8">
        <v>44682</v>
      </c>
      <c r="AD5" s="10">
        <v>27808.897499999999</v>
      </c>
      <c r="AE5" s="10">
        <v>27808.897499999999</v>
      </c>
    </row>
    <row r="6" spans="1:32">
      <c r="Q6" s="8">
        <v>43617</v>
      </c>
      <c r="R6" s="5">
        <v>24428.43</v>
      </c>
      <c r="S6" s="5">
        <v>24425.97</v>
      </c>
      <c r="T6" s="5"/>
      <c r="U6" s="8">
        <v>43983</v>
      </c>
      <c r="V6" s="5">
        <v>23947.03</v>
      </c>
      <c r="W6" s="5">
        <v>24425.97</v>
      </c>
      <c r="X6" s="5"/>
      <c r="Y6" s="8">
        <v>44348</v>
      </c>
      <c r="Z6" s="10">
        <v>27808.897499999999</v>
      </c>
      <c r="AA6" s="10">
        <v>27808.897499999999</v>
      </c>
      <c r="AC6" s="8">
        <v>44713</v>
      </c>
      <c r="AD6" s="10">
        <v>30520.287</v>
      </c>
      <c r="AE6" s="10">
        <v>30520.287</v>
      </c>
    </row>
    <row r="7" spans="1:32">
      <c r="Q7" s="8">
        <v>43647</v>
      </c>
      <c r="R7" s="5">
        <v>24425.94</v>
      </c>
      <c r="S7" s="5">
        <v>24425.97</v>
      </c>
      <c r="T7" s="5"/>
      <c r="U7" s="8">
        <v>44013</v>
      </c>
      <c r="V7" s="5">
        <v>25527.699999999997</v>
      </c>
      <c r="W7" s="5">
        <v>26038.25</v>
      </c>
      <c r="X7" s="5"/>
      <c r="Y7" s="8">
        <v>44378</v>
      </c>
      <c r="Z7" s="10">
        <v>27808.897499999999</v>
      </c>
      <c r="AA7" s="10">
        <v>27808.897499999999</v>
      </c>
      <c r="AC7" s="8">
        <v>44743</v>
      </c>
      <c r="AD7" s="10">
        <v>30520.287</v>
      </c>
      <c r="AE7" s="10">
        <v>30520.287</v>
      </c>
    </row>
    <row r="8" spans="1:32">
      <c r="Q8" s="8">
        <v>43678</v>
      </c>
      <c r="R8" s="5">
        <v>23468.06</v>
      </c>
      <c r="S8" s="5">
        <v>24425.97</v>
      </c>
      <c r="T8" s="5"/>
      <c r="U8" s="8">
        <v>44044</v>
      </c>
      <c r="V8" s="5">
        <v>25527.699999999997</v>
      </c>
      <c r="W8" s="5">
        <v>26038.25</v>
      </c>
      <c r="X8" s="5"/>
      <c r="Y8" s="8">
        <v>44409</v>
      </c>
      <c r="Z8" s="10">
        <v>27808.897499999999</v>
      </c>
      <c r="AA8" s="10">
        <v>27808.897499999999</v>
      </c>
      <c r="AC8" s="8">
        <v>44774</v>
      </c>
      <c r="AD8" s="10">
        <v>30520.287</v>
      </c>
      <c r="AE8" s="10">
        <v>30520.287</v>
      </c>
    </row>
    <row r="9" spans="1:32">
      <c r="Q9" s="8">
        <v>43709</v>
      </c>
      <c r="R9" s="5">
        <v>23468.06</v>
      </c>
      <c r="S9" s="5">
        <v>24425.97</v>
      </c>
      <c r="T9" s="5"/>
      <c r="U9" s="8">
        <v>44075</v>
      </c>
      <c r="V9" s="5">
        <v>25527.699999999997</v>
      </c>
      <c r="W9" s="5">
        <v>26038.25</v>
      </c>
      <c r="X9" s="5"/>
      <c r="Y9" s="8">
        <v>44440</v>
      </c>
      <c r="Z9" s="10">
        <v>27808.897499999999</v>
      </c>
      <c r="AA9" s="10">
        <v>27808.897499999999</v>
      </c>
      <c r="AC9" s="8">
        <v>44805</v>
      </c>
      <c r="AD9" s="10">
        <v>30520.287</v>
      </c>
      <c r="AE9" s="10">
        <v>30520.287</v>
      </c>
    </row>
    <row r="10" spans="1:32">
      <c r="Q10" s="8">
        <v>43739</v>
      </c>
      <c r="R10" s="5">
        <v>23947.03</v>
      </c>
      <c r="S10" s="5">
        <v>24425.97</v>
      </c>
      <c r="U10" s="8">
        <v>44105</v>
      </c>
      <c r="V10" s="5">
        <v>25527.699999999997</v>
      </c>
      <c r="W10" s="5">
        <v>26038.25</v>
      </c>
      <c r="X10" s="5"/>
      <c r="Y10" s="8">
        <v>44470</v>
      </c>
      <c r="Z10" s="10">
        <v>27808.897499999999</v>
      </c>
      <c r="AA10" s="10">
        <v>27808.897499999999</v>
      </c>
      <c r="AC10" s="8">
        <v>44835</v>
      </c>
      <c r="AD10" s="10">
        <v>30520.287</v>
      </c>
      <c r="AE10" s="10">
        <v>30520.287</v>
      </c>
    </row>
    <row r="11" spans="1:32">
      <c r="Q11" s="8">
        <v>43770</v>
      </c>
      <c r="R11" s="5">
        <v>23947.03</v>
      </c>
      <c r="S11" s="5">
        <v>24425.97</v>
      </c>
      <c r="U11" s="8">
        <v>44136</v>
      </c>
      <c r="V11" s="5">
        <v>25527.699999999997</v>
      </c>
      <c r="W11" s="5">
        <v>26038.25</v>
      </c>
      <c r="X11" s="5"/>
      <c r="Y11" s="8">
        <v>44501</v>
      </c>
      <c r="Z11" s="10">
        <v>27808.897499999999</v>
      </c>
      <c r="AA11" s="10">
        <v>27808.897499999999</v>
      </c>
      <c r="AC11" s="8">
        <v>44866</v>
      </c>
      <c r="AD11" s="10">
        <v>30520.287</v>
      </c>
      <c r="AE11" s="10">
        <v>30520.287</v>
      </c>
    </row>
    <row r="12" spans="1:32">
      <c r="Q12" s="8">
        <v>43800</v>
      </c>
      <c r="R12" s="5">
        <v>23947.03</v>
      </c>
      <c r="S12" s="5">
        <v>24425.97</v>
      </c>
      <c r="U12" s="8">
        <v>44166</v>
      </c>
      <c r="V12" s="5">
        <v>25527.699999999997</v>
      </c>
      <c r="W12" s="5">
        <v>26038.25</v>
      </c>
      <c r="Y12" s="8">
        <v>44531</v>
      </c>
      <c r="Z12" s="10">
        <v>27808.897499999999</v>
      </c>
      <c r="AA12" s="10">
        <v>27808.897499999999</v>
      </c>
      <c r="AC12" s="8">
        <v>44896</v>
      </c>
      <c r="AD12" s="10">
        <v>30520.287</v>
      </c>
      <c r="AE12" s="10">
        <v>30520.287</v>
      </c>
    </row>
    <row r="13" spans="1:32">
      <c r="Q13" s="8">
        <v>43831</v>
      </c>
      <c r="R13" s="5">
        <v>23947.03</v>
      </c>
      <c r="S13" s="5">
        <v>24425.97</v>
      </c>
      <c r="U13" s="8">
        <v>44197</v>
      </c>
      <c r="V13" s="10">
        <v>25527.699999999997</v>
      </c>
      <c r="W13" s="10">
        <v>26038.25</v>
      </c>
      <c r="Y13" s="8">
        <v>44562</v>
      </c>
      <c r="Z13" s="10">
        <v>27808.897499999999</v>
      </c>
      <c r="AA13" s="10">
        <v>28011.42</v>
      </c>
      <c r="AC13" s="8">
        <v>44927</v>
      </c>
    </row>
    <row r="14" spans="1:32">
      <c r="Q14" s="8">
        <v>43862</v>
      </c>
      <c r="R14" s="5">
        <v>23947.03</v>
      </c>
      <c r="S14" s="5">
        <v>24425.97</v>
      </c>
      <c r="U14" s="8">
        <v>44228</v>
      </c>
      <c r="V14" s="10">
        <v>25527.699999999997</v>
      </c>
      <c r="W14" s="10">
        <v>26038.25</v>
      </c>
      <c r="Y14" s="8">
        <v>44593</v>
      </c>
      <c r="Z14" s="10">
        <v>27808.897499999999</v>
      </c>
      <c r="AA14" s="10">
        <v>27808.897499999999</v>
      </c>
      <c r="AC14" s="8">
        <v>44958</v>
      </c>
    </row>
    <row r="15" spans="1:32">
      <c r="N15" s="6">
        <f>SUM(N3:N14)</f>
        <v>47987.5</v>
      </c>
      <c r="O15" s="6">
        <f>SUM(O3:O14)</f>
        <v>44450.84</v>
      </c>
      <c r="P15" s="6">
        <f>N15-O15</f>
        <v>3536.6600000000035</v>
      </c>
      <c r="R15" s="6">
        <f>SUM(R3:R14)</f>
        <v>282200.64</v>
      </c>
      <c r="S15" s="6">
        <f>SUM(S3:S14)</f>
        <v>286509.99</v>
      </c>
      <c r="T15" s="6">
        <f>R15-S15</f>
        <v>-4309.3499999999767</v>
      </c>
      <c r="V15" s="6">
        <f>SUM(V3:V14)</f>
        <v>300009.72000000003</v>
      </c>
      <c r="W15" s="6">
        <f>SUM(W3:W14)</f>
        <v>306009.88</v>
      </c>
      <c r="X15" s="6">
        <f>V15-W15</f>
        <v>-6000.1599999999744</v>
      </c>
      <c r="Z15" s="6">
        <f>SUM(Z3:Z14)</f>
        <v>326863.17749999999</v>
      </c>
      <c r="AA15" s="6">
        <f>SUM(AA3:AA14)</f>
        <v>328597.34999999998</v>
      </c>
      <c r="AB15" s="6">
        <f>Z15-AA15</f>
        <v>-1734.172499999986</v>
      </c>
      <c r="AD15" s="6">
        <f>SUM(AD3:AD14)</f>
        <v>297068.70150000002</v>
      </c>
      <c r="AE15" s="6">
        <f>SUM(AE3:AE14)</f>
        <v>297068.70150000002</v>
      </c>
      <c r="AF15" s="6">
        <f>AD15-AE15</f>
        <v>0</v>
      </c>
    </row>
  </sheetData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C2A19C09597A4FB0ECB8D3006DEC5B" ma:contentTypeVersion="13" ma:contentTypeDescription="Create a new document." ma:contentTypeScope="" ma:versionID="d598c60eba24d11febc9cfa4b16b7178">
  <xsd:schema xmlns:xsd="http://www.w3.org/2001/XMLSchema" xmlns:xs="http://www.w3.org/2001/XMLSchema" xmlns:p="http://schemas.microsoft.com/office/2006/metadata/properties" xmlns:ns2="4d81cd01-18d3-4d99-9da7-104aa7df8d71" xmlns:ns3="22a0b230-faea-41c6-942e-118daf6c53c7" targetNamespace="http://schemas.microsoft.com/office/2006/metadata/properties" ma:root="true" ma:fieldsID="f5811d9df039ed1de00da0905aeac536" ns2:_="" ns3:_="">
    <xsd:import namespace="4d81cd01-18d3-4d99-9da7-104aa7df8d71"/>
    <xsd:import namespace="22a0b230-faea-41c6-942e-118daf6c53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81cd01-18d3-4d99-9da7-104aa7df8d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b0fb1f15-508e-4435-a559-3077e579f8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a0b230-faea-41c6-942e-118daf6c53c7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916fc043-e475-4f71-8898-77370e45b749}" ma:internalName="TaxCatchAll" ma:showField="CatchAllData" ma:web="22a0b230-faea-41c6-942e-118daf6c53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d81cd01-18d3-4d99-9da7-104aa7df8d71">
      <Terms xmlns="http://schemas.microsoft.com/office/infopath/2007/PartnerControls"/>
    </lcf76f155ced4ddcb4097134ff3c332f>
    <TaxCatchAll xmlns="22a0b230-faea-41c6-942e-118daf6c53c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C49F66F-7DF7-4E79-91BE-D39778A72FA5}"/>
</file>

<file path=customXml/itemProps2.xml><?xml version="1.0" encoding="utf-8"?>
<ds:datastoreItem xmlns:ds="http://schemas.openxmlformats.org/officeDocument/2006/customXml" ds:itemID="{C9301E95-9EA7-441A-BC4B-934EBEBDE6C4}"/>
</file>

<file path=customXml/itemProps3.xml><?xml version="1.0" encoding="utf-8"?>
<ds:datastoreItem xmlns:ds="http://schemas.openxmlformats.org/officeDocument/2006/customXml" ds:itemID="{748137B1-F347-4EBC-9120-E84978447A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Zerilda .</dc:creator>
  <cp:keywords/>
  <dc:description/>
  <cp:lastModifiedBy>Zerilda</cp:lastModifiedBy>
  <cp:revision/>
  <dcterms:created xsi:type="dcterms:W3CDTF">2019-06-04T12:40:46Z</dcterms:created>
  <dcterms:modified xsi:type="dcterms:W3CDTF">2023-01-20T09:34:36Z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0x010100C2C2A19C09597A4FB0ECB8D3006DEC5B</vt:lpwstr>
  </property>
  <property fmtid="{D5CDD505-2E9C-101B-9397-08002B2CF9AE}" pid="3" name="MediaServiceImageTags">
    <vt:lpwstr/>
  </property>
</Properties>
</file>