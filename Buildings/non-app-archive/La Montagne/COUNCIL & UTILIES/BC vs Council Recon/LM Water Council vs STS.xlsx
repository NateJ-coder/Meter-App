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S\Desktop\UUS\Back Dated Reports\Current Buildings\LM\Utilities Back Date\"/>
    </mc:Choice>
  </mc:AlternateContent>
  <xr:revisionPtr revIDLastSave="353" documentId="13_ncr:1_{8244E5A7-2BBB-4CFB-9556-7B2C747027C8}" xr6:coauthVersionLast="47" xr6:coauthVersionMax="47" xr10:uidLastSave="{B7BE5EB0-5342-4AE1-A6D1-93F97EE5F585}"/>
  <bookViews>
    <workbookView xWindow="-28920" yWindow="-3765" windowWidth="29040" windowHeight="15840" xr2:uid="{CBDF39FE-B488-4B1A-A9B6-EC88DE2765F5}"/>
  </bookViews>
  <sheets>
    <sheet name="Data" sheetId="1" r:id="rId1"/>
    <sheet name="Graph" sheetId="2" r:id="rId2"/>
    <sheet name="Cons Graph" sheetId="3" r:id="rId3"/>
    <sheet name="Rates Graph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4" i="1" l="1"/>
  <c r="E314" i="1"/>
  <c r="E315" i="1"/>
  <c r="G315" i="1"/>
  <c r="B315" i="1"/>
  <c r="D315" i="1" s="1"/>
  <c r="K315" i="1" s="1"/>
  <c r="G314" i="1"/>
  <c r="B314" i="1"/>
  <c r="D314" i="1" s="1"/>
  <c r="K314" i="1" s="1"/>
  <c r="E307" i="1"/>
  <c r="F306" i="1"/>
  <c r="E306" i="1"/>
  <c r="G307" i="1"/>
  <c r="B307" i="1"/>
  <c r="D307" i="1" s="1"/>
  <c r="K307" i="1" s="1"/>
  <c r="G306" i="1"/>
  <c r="B306" i="1"/>
  <c r="D306" i="1" s="1"/>
  <c r="K306" i="1" s="1"/>
  <c r="E299" i="1"/>
  <c r="F298" i="1"/>
  <c r="E298" i="1"/>
  <c r="G299" i="1"/>
  <c r="B299" i="1"/>
  <c r="D299" i="1" s="1"/>
  <c r="K299" i="1" s="1"/>
  <c r="G298" i="1"/>
  <c r="B298" i="1"/>
  <c r="D298" i="1" s="1"/>
  <c r="K298" i="1" s="1"/>
  <c r="E291" i="1"/>
  <c r="F290" i="1"/>
  <c r="E290" i="1"/>
  <c r="G291" i="1"/>
  <c r="B291" i="1"/>
  <c r="D291" i="1" s="1"/>
  <c r="K291" i="1" s="1"/>
  <c r="G290" i="1"/>
  <c r="B290" i="1"/>
  <c r="D290" i="1" s="1"/>
  <c r="K290" i="1" s="1"/>
  <c r="E283" i="1"/>
  <c r="F282" i="1"/>
  <c r="E282" i="1"/>
  <c r="G283" i="1"/>
  <c r="B283" i="1"/>
  <c r="D283" i="1" s="1"/>
  <c r="K283" i="1" s="1"/>
  <c r="G282" i="1"/>
  <c r="B282" i="1"/>
  <c r="D282" i="1" s="1"/>
  <c r="K282" i="1" s="1"/>
  <c r="E275" i="1"/>
  <c r="F274" i="1"/>
  <c r="E274" i="1"/>
  <c r="G275" i="1"/>
  <c r="B275" i="1"/>
  <c r="D275" i="1" s="1"/>
  <c r="K275" i="1" s="1"/>
  <c r="G274" i="1"/>
  <c r="B274" i="1"/>
  <c r="D274" i="1" s="1"/>
  <c r="K274" i="1" s="1"/>
  <c r="G267" i="1"/>
  <c r="E267" i="1"/>
  <c r="G266" i="1"/>
  <c r="F266" i="1"/>
  <c r="E266" i="1"/>
  <c r="D266" i="1"/>
  <c r="K266" i="1"/>
  <c r="L266" i="1"/>
  <c r="D267" i="1"/>
  <c r="K267" i="1"/>
  <c r="L267" i="1"/>
  <c r="E268" i="1"/>
  <c r="E269" i="1"/>
  <c r="E270" i="1"/>
  <c r="B267" i="1"/>
  <c r="B266" i="1"/>
  <c r="E259" i="1"/>
  <c r="F258" i="1"/>
  <c r="E258" i="1"/>
  <c r="G259" i="1"/>
  <c r="B259" i="1"/>
  <c r="D259" i="1" s="1"/>
  <c r="K259" i="1" s="1"/>
  <c r="G258" i="1"/>
  <c r="B258" i="1"/>
  <c r="D258" i="1" s="1"/>
  <c r="K258" i="1" s="1"/>
  <c r="E251" i="1"/>
  <c r="E250" i="1"/>
  <c r="F250" i="1"/>
  <c r="G251" i="1"/>
  <c r="B251" i="1"/>
  <c r="D251" i="1" s="1"/>
  <c r="K251" i="1" s="1"/>
  <c r="G250" i="1"/>
  <c r="B250" i="1"/>
  <c r="D250" i="1" s="1"/>
  <c r="K250" i="1" s="1"/>
  <c r="E243" i="1"/>
  <c r="F242" i="1"/>
  <c r="E242" i="1"/>
  <c r="G243" i="1"/>
  <c r="B243" i="1"/>
  <c r="D243" i="1" s="1"/>
  <c r="K243" i="1" s="1"/>
  <c r="G242" i="1"/>
  <c r="B242" i="1"/>
  <c r="D242" i="1" s="1"/>
  <c r="K242" i="1" s="1"/>
  <c r="Z15" i="2"/>
  <c r="Y15" i="2"/>
  <c r="F234" i="1"/>
  <c r="E235" i="1"/>
  <c r="E234" i="1"/>
  <c r="G235" i="1"/>
  <c r="B235" i="1"/>
  <c r="D235" i="1" s="1"/>
  <c r="K235" i="1" s="1"/>
  <c r="G234" i="1"/>
  <c r="B234" i="1"/>
  <c r="D234" i="1" s="1"/>
  <c r="K234" i="1" s="1"/>
  <c r="V15" i="2"/>
  <c r="U15" i="2"/>
  <c r="R15" i="2"/>
  <c r="Q15" i="2"/>
  <c r="AD15" i="2"/>
  <c r="AC15" i="2"/>
  <c r="E227" i="1"/>
  <c r="E226" i="1"/>
  <c r="E228" i="1" s="1"/>
  <c r="G227" i="1"/>
  <c r="B227" i="1"/>
  <c r="D227" i="1" s="1"/>
  <c r="K227" i="1" s="1"/>
  <c r="G226" i="1"/>
  <c r="B226" i="1"/>
  <c r="D226" i="1" s="1"/>
  <c r="E218" i="1"/>
  <c r="E220" i="1" s="1"/>
  <c r="E219" i="1"/>
  <c r="G219" i="1"/>
  <c r="B219" i="1"/>
  <c r="D219" i="1" s="1"/>
  <c r="G218" i="1"/>
  <c r="B218" i="1"/>
  <c r="D218" i="1" s="1"/>
  <c r="K218" i="1" s="1"/>
  <c r="E211" i="1"/>
  <c r="G210" i="1"/>
  <c r="E210" i="1"/>
  <c r="G211" i="1"/>
  <c r="E213" i="1"/>
  <c r="D211" i="1"/>
  <c r="K211" i="1" s="1"/>
  <c r="B211" i="1"/>
  <c r="B210" i="1"/>
  <c r="D210" i="1" s="1"/>
  <c r="K210" i="1" s="1"/>
  <c r="E203" i="1"/>
  <c r="F202" i="1"/>
  <c r="E204" i="1" s="1"/>
  <c r="E202" i="1"/>
  <c r="E205" i="1"/>
  <c r="G203" i="1"/>
  <c r="B203" i="1"/>
  <c r="D203" i="1" s="1"/>
  <c r="K203" i="1" s="1"/>
  <c r="G202" i="1"/>
  <c r="B202" i="1"/>
  <c r="D202" i="1" s="1"/>
  <c r="K202" i="1" s="1"/>
  <c r="L194" i="1"/>
  <c r="E195" i="1"/>
  <c r="E197" i="1" s="1"/>
  <c r="F194" i="1"/>
  <c r="E194" i="1"/>
  <c r="G195" i="1"/>
  <c r="B195" i="1"/>
  <c r="D195" i="1" s="1"/>
  <c r="G194" i="1"/>
  <c r="B194" i="1"/>
  <c r="D194" i="1" s="1"/>
  <c r="K194" i="1" s="1"/>
  <c r="E189" i="1"/>
  <c r="E190" i="1" s="1"/>
  <c r="E188" i="1"/>
  <c r="D187" i="1"/>
  <c r="L187" i="1" s="1"/>
  <c r="G187" i="1"/>
  <c r="E187" i="1"/>
  <c r="D186" i="1"/>
  <c r="K186" i="1" s="1"/>
  <c r="B187" i="1"/>
  <c r="G186" i="1"/>
  <c r="F186" i="1"/>
  <c r="E186" i="1"/>
  <c r="B186" i="1"/>
  <c r="L147" i="1" a="1"/>
  <c r="L147" i="1" s="1"/>
  <c r="E123" i="1"/>
  <c r="E125" i="1" s="1"/>
  <c r="F123" i="1"/>
  <c r="B123" i="1"/>
  <c r="D123" i="1" s="1"/>
  <c r="E122" i="1"/>
  <c r="E124" i="1" s="1"/>
  <c r="D122" i="1"/>
  <c r="J122" i="1" s="1"/>
  <c r="B122" i="1"/>
  <c r="E316" i="1" l="1"/>
  <c r="L314" i="1"/>
  <c r="E317" i="1"/>
  <c r="L315" i="1"/>
  <c r="E308" i="1"/>
  <c r="L306" i="1"/>
  <c r="E309" i="1"/>
  <c r="L307" i="1"/>
  <c r="E300" i="1"/>
  <c r="L298" i="1"/>
  <c r="E301" i="1"/>
  <c r="L299" i="1"/>
  <c r="E292" i="1"/>
  <c r="L290" i="1"/>
  <c r="E293" i="1"/>
  <c r="L291" i="1"/>
  <c r="E284" i="1"/>
  <c r="L282" i="1"/>
  <c r="E285" i="1"/>
  <c r="L283" i="1"/>
  <c r="E276" i="1"/>
  <c r="L274" i="1"/>
  <c r="E277" i="1"/>
  <c r="L275" i="1"/>
  <c r="E260" i="1"/>
  <c r="L258" i="1"/>
  <c r="E261" i="1"/>
  <c r="L259" i="1"/>
  <c r="E252" i="1"/>
  <c r="L250" i="1"/>
  <c r="E253" i="1"/>
  <c r="L251" i="1"/>
  <c r="E244" i="1"/>
  <c r="L242" i="1"/>
  <c r="E245" i="1"/>
  <c r="L243" i="1"/>
  <c r="E236" i="1"/>
  <c r="L234" i="1"/>
  <c r="E237" i="1"/>
  <c r="L235" i="1"/>
  <c r="AE15" i="2"/>
  <c r="L186" i="1"/>
  <c r="K187" i="1"/>
  <c r="L227" i="1"/>
  <c r="L226" i="1"/>
  <c r="K226" i="1"/>
  <c r="E229" i="1"/>
  <c r="E230" i="1" s="1"/>
  <c r="E221" i="1"/>
  <c r="E222" i="1" s="1"/>
  <c r="L219" i="1"/>
  <c r="K219" i="1"/>
  <c r="L218" i="1"/>
  <c r="E212" i="1"/>
  <c r="L210" i="1"/>
  <c r="E214" i="1"/>
  <c r="L211" i="1"/>
  <c r="E206" i="1"/>
  <c r="L203" i="1"/>
  <c r="L202" i="1"/>
  <c r="E196" i="1"/>
  <c r="E198" i="1" s="1"/>
  <c r="L195" i="1"/>
  <c r="K195" i="1"/>
  <c r="AA15" i="2"/>
  <c r="K122" i="1"/>
  <c r="E126" i="1"/>
  <c r="K123" i="1"/>
  <c r="J123" i="1"/>
  <c r="E115" i="1"/>
  <c r="E318" i="1" l="1"/>
  <c r="E310" i="1"/>
  <c r="E302" i="1"/>
  <c r="E294" i="1"/>
  <c r="E286" i="1"/>
  <c r="E278" i="1"/>
  <c r="E262" i="1"/>
  <c r="E254" i="1"/>
  <c r="E246" i="1"/>
  <c r="E238" i="1"/>
  <c r="E117" i="1"/>
  <c r="F115" i="1"/>
  <c r="B115" i="1"/>
  <c r="D115" i="1" s="1"/>
  <c r="E114" i="1"/>
  <c r="E116" i="1" s="1"/>
  <c r="B114" i="1"/>
  <c r="D114" i="1" s="1"/>
  <c r="J114" i="1" s="1"/>
  <c r="J115" i="1" l="1"/>
  <c r="K115" i="1"/>
  <c r="E118" i="1"/>
  <c r="K114" i="1"/>
  <c r="E107" i="1"/>
  <c r="B106" i="1"/>
  <c r="D106" i="1" s="1"/>
  <c r="J106" i="1" s="1"/>
  <c r="F107" i="1"/>
  <c r="E109" i="1"/>
  <c r="B107" i="1"/>
  <c r="D107" i="1" s="1"/>
  <c r="J107" i="1" s="1"/>
  <c r="E106" i="1"/>
  <c r="E108" i="1" s="1"/>
  <c r="E110" i="1" l="1"/>
  <c r="K106" i="1"/>
  <c r="K107" i="1"/>
  <c r="E99" i="1"/>
  <c r="F99" i="1"/>
  <c r="E101" i="1"/>
  <c r="B99" i="1"/>
  <c r="D99" i="1" s="1"/>
  <c r="J99" i="1" s="1"/>
  <c r="E98" i="1"/>
  <c r="E100" i="1" s="1"/>
  <c r="D98" i="1"/>
  <c r="J98" i="1" s="1"/>
  <c r="E91" i="1"/>
  <c r="E102" i="1" l="1"/>
  <c r="K98" i="1"/>
  <c r="K99" i="1"/>
  <c r="E93" i="1"/>
  <c r="F91" i="1"/>
  <c r="B91" i="1"/>
  <c r="D91" i="1" s="1"/>
  <c r="J91" i="1" s="1"/>
  <c r="E90" i="1"/>
  <c r="E92" i="1" s="1"/>
  <c r="B90" i="1"/>
  <c r="D90" i="1" s="1"/>
  <c r="J90" i="1" s="1"/>
  <c r="E94" i="1" l="1"/>
  <c r="K90" i="1"/>
  <c r="K91" i="1"/>
  <c r="F83" i="1"/>
  <c r="E83" i="1"/>
  <c r="F75" i="1"/>
  <c r="E75" i="1"/>
  <c r="E85" i="1"/>
  <c r="B83" i="1"/>
  <c r="D83" i="1" s="1"/>
  <c r="J83" i="1" s="1"/>
  <c r="E82" i="1"/>
  <c r="E84" i="1" s="1"/>
  <c r="B82" i="1"/>
  <c r="D82" i="1" s="1"/>
  <c r="J82" i="1" s="1"/>
  <c r="E86" i="1" l="1"/>
  <c r="K82" i="1"/>
  <c r="K83" i="1"/>
  <c r="E77" i="1"/>
  <c r="B75" i="1"/>
  <c r="D75" i="1" s="1"/>
  <c r="J75" i="1" s="1"/>
  <c r="E74" i="1"/>
  <c r="E76" i="1" s="1"/>
  <c r="B74" i="1"/>
  <c r="D74" i="1" s="1"/>
  <c r="J74" i="1" s="1"/>
  <c r="E78" i="1" l="1"/>
  <c r="K74" i="1"/>
  <c r="K75" i="1"/>
  <c r="E67" i="1"/>
  <c r="F67" i="1"/>
  <c r="E69" i="1"/>
  <c r="B67" i="1"/>
  <c r="D67" i="1" s="1"/>
  <c r="J67" i="1" s="1"/>
  <c r="E66" i="1"/>
  <c r="E68" i="1" s="1"/>
  <c r="B66" i="1"/>
  <c r="D66" i="1" s="1"/>
  <c r="J66" i="1" s="1"/>
  <c r="E70" i="1" l="1"/>
  <c r="K66" i="1"/>
  <c r="K67" i="1"/>
  <c r="E59" i="1"/>
  <c r="F59" i="1" l="1"/>
  <c r="E61" i="1"/>
  <c r="B59" i="1"/>
  <c r="D59" i="1" s="1"/>
  <c r="J59" i="1" s="1"/>
  <c r="E58" i="1"/>
  <c r="E60" i="1" s="1"/>
  <c r="B58" i="1"/>
  <c r="D58" i="1" s="1"/>
  <c r="J58" i="1" s="1"/>
  <c r="E62" i="1" l="1"/>
  <c r="K58" i="1"/>
  <c r="K59" i="1"/>
  <c r="E51" i="1"/>
  <c r="E53" i="1" s="1"/>
  <c r="B50" i="1"/>
  <c r="F51" i="1"/>
  <c r="B51" i="1"/>
  <c r="D51" i="1" s="1"/>
  <c r="J51" i="1" s="1"/>
  <c r="E50" i="1"/>
  <c r="E52" i="1" s="1"/>
  <c r="D50" i="1"/>
  <c r="J50" i="1" s="1"/>
  <c r="E43" i="1"/>
  <c r="E45" i="1" s="1"/>
  <c r="B43" i="1"/>
  <c r="D43" i="1" s="1"/>
  <c r="J43" i="1" s="1"/>
  <c r="F43" i="1"/>
  <c r="E42" i="1"/>
  <c r="E44" i="1" s="1"/>
  <c r="D42" i="1"/>
  <c r="J42" i="1" s="1"/>
  <c r="B42" i="1"/>
  <c r="E54" i="1" l="1"/>
  <c r="K50" i="1"/>
  <c r="K51" i="1"/>
  <c r="E46" i="1"/>
  <c r="K42" i="1"/>
  <c r="K43" i="1"/>
  <c r="F35" i="1"/>
  <c r="E35" i="1"/>
  <c r="E34" i="1"/>
  <c r="D35" i="1"/>
  <c r="J35" i="1" s="1"/>
  <c r="E36" i="1"/>
  <c r="B34" i="1"/>
  <c r="D34" i="1" s="1"/>
  <c r="J34" i="1" s="1"/>
  <c r="W15" i="2" l="1"/>
  <c r="E37" i="1"/>
  <c r="E38" i="1"/>
  <c r="K34" i="1"/>
  <c r="K35" i="1"/>
  <c r="U29" i="1" l="1"/>
  <c r="K29" i="1"/>
  <c r="M29" i="1" s="1"/>
  <c r="T29" i="1" s="1"/>
  <c r="E29" i="1"/>
  <c r="B29" i="1"/>
  <c r="D29" i="1" s="1"/>
  <c r="S29" i="1" l="1"/>
  <c r="K28" i="1"/>
  <c r="M28" i="1" s="1"/>
  <c r="T28" i="1" s="1"/>
  <c r="E28" i="1"/>
  <c r="U28" i="1" s="1"/>
  <c r="B28" i="1"/>
  <c r="D28" i="1" s="1"/>
  <c r="S28" i="1" l="1"/>
  <c r="U27" i="1"/>
  <c r="N30" i="1"/>
  <c r="K27" i="1"/>
  <c r="M27" i="1" s="1"/>
  <c r="E27" i="1"/>
  <c r="T27" i="1" l="1"/>
  <c r="S27" i="1"/>
  <c r="R27" i="1"/>
  <c r="K26" i="1"/>
  <c r="M26" i="1" s="1"/>
  <c r="E26" i="1"/>
  <c r="U26" i="1" s="1"/>
  <c r="B27" i="1"/>
  <c r="D27" i="1" s="1"/>
  <c r="B26" i="1"/>
  <c r="D26" i="1" s="1"/>
  <c r="T26" i="1" l="1"/>
  <c r="S26" i="1"/>
  <c r="S15" i="2" l="1"/>
  <c r="E30" i="1" l="1"/>
  <c r="K22" i="1"/>
  <c r="M22" i="1" s="1"/>
  <c r="S22" i="1" s="1"/>
  <c r="K23" i="1"/>
  <c r="M23" i="1" s="1"/>
  <c r="S23" i="1" s="1"/>
  <c r="K24" i="1"/>
  <c r="M24" i="1" s="1"/>
  <c r="S24" i="1" s="1"/>
  <c r="K25" i="1"/>
  <c r="M25" i="1" s="1"/>
  <c r="S25" i="1" s="1"/>
  <c r="K21" i="1"/>
  <c r="M21" i="1" s="1"/>
  <c r="S21" i="1" s="1"/>
  <c r="B22" i="1"/>
  <c r="D22" i="1" s="1"/>
  <c r="I22" i="1" s="1"/>
  <c r="B23" i="1"/>
  <c r="D23" i="1" s="1"/>
  <c r="I23" i="1" s="1"/>
  <c r="B24" i="1"/>
  <c r="D24" i="1" s="1"/>
  <c r="I24" i="1" s="1"/>
  <c r="B25" i="1"/>
  <c r="D25" i="1" s="1"/>
  <c r="I25" i="1" s="1"/>
  <c r="B21" i="1"/>
  <c r="D21" i="1" s="1"/>
  <c r="I21" i="1" s="1"/>
  <c r="K20" i="1" l="1"/>
  <c r="M20" i="1" s="1"/>
  <c r="S20" i="1" s="1"/>
  <c r="K19" i="1"/>
  <c r="M19" i="1" s="1"/>
  <c r="S19" i="1" s="1"/>
  <c r="K18" i="1"/>
  <c r="M18" i="1" s="1"/>
  <c r="M5" i="1"/>
  <c r="K7" i="1"/>
  <c r="M7" i="1" s="1"/>
  <c r="K8" i="1"/>
  <c r="M8" i="1" s="1"/>
  <c r="K9" i="1"/>
  <c r="M9" i="1" s="1"/>
  <c r="K10" i="1"/>
  <c r="M10" i="1" s="1"/>
  <c r="K11" i="1"/>
  <c r="M11" i="1" s="1"/>
  <c r="K12" i="1"/>
  <c r="M12" i="1" s="1"/>
  <c r="K13" i="1"/>
  <c r="M13" i="1" s="1"/>
  <c r="K14" i="1"/>
  <c r="M14" i="1" s="1"/>
  <c r="K15" i="1"/>
  <c r="M15" i="1" s="1"/>
  <c r="K16" i="1"/>
  <c r="M16" i="1" s="1"/>
  <c r="K6" i="1"/>
  <c r="M6" i="1" s="1"/>
  <c r="S18" i="1" l="1"/>
  <c r="M30" i="1"/>
  <c r="D8" i="1"/>
  <c r="D6" i="1"/>
  <c r="B20" i="1"/>
  <c r="D20" i="1" s="1"/>
  <c r="B19" i="1"/>
  <c r="D19" i="1" s="1"/>
  <c r="B18" i="1"/>
  <c r="D18" i="1" s="1"/>
  <c r="C7" i="1"/>
  <c r="B9" i="1"/>
  <c r="D9" i="1" s="1"/>
  <c r="B10" i="1"/>
  <c r="D10" i="1" s="1"/>
  <c r="B11" i="1"/>
  <c r="D11" i="1" s="1"/>
  <c r="B12" i="1"/>
  <c r="D12" i="1" s="1"/>
  <c r="B13" i="1"/>
  <c r="D13" i="1" s="1"/>
  <c r="B14" i="1"/>
  <c r="D14" i="1" s="1"/>
  <c r="B15" i="1"/>
  <c r="D15" i="1" s="1"/>
  <c r="B16" i="1"/>
  <c r="D16" i="1" s="1"/>
  <c r="B7" i="1"/>
  <c r="I19" i="1" l="1"/>
  <c r="J19" i="1"/>
  <c r="I20" i="1"/>
  <c r="J20" i="1"/>
  <c r="D7" i="1"/>
  <c r="J18" i="1"/>
  <c r="I18" i="1"/>
  <c r="D3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<sst xmlns="http://schemas.openxmlformats.org/spreadsheetml/2006/main" count="976" uniqueCount="199">
  <si>
    <t>L'Montagne Water Back Date Council Vs. STS</t>
  </si>
  <si>
    <t>Year of 2018</t>
  </si>
  <si>
    <t>Month</t>
  </si>
  <si>
    <t>BC Opening</t>
  </si>
  <si>
    <t>BC Closing</t>
  </si>
  <si>
    <t>BC Usage</t>
  </si>
  <si>
    <t>BC Amount</t>
  </si>
  <si>
    <t>Estimated?</t>
  </si>
  <si>
    <t>Reading Dates</t>
  </si>
  <si>
    <t>Days</t>
  </si>
  <si>
    <t>Kl p/day</t>
  </si>
  <si>
    <t>Rates</t>
  </si>
  <si>
    <t>Council Opening</t>
  </si>
  <si>
    <t>Council Closing</t>
  </si>
  <si>
    <t>Council Usage</t>
  </si>
  <si>
    <t>Council Amount</t>
  </si>
  <si>
    <t>Usage Difference</t>
  </si>
  <si>
    <t>Amount Difference</t>
  </si>
  <si>
    <t>Year of 2019</t>
  </si>
  <si>
    <t>Actual</t>
  </si>
  <si>
    <t>7Jan - 31Jan 2019</t>
  </si>
  <si>
    <t>12Dec 2018 - 9Jan 2019</t>
  </si>
  <si>
    <t>31Jan - 27Feb 2019</t>
  </si>
  <si>
    <t>10Jan - 6Feb 2019</t>
  </si>
  <si>
    <t>27Feb - 30Mar 2019</t>
  </si>
  <si>
    <t>7Feb - 9Mar 2019</t>
  </si>
  <si>
    <t>30Mar - 30Apr 2019</t>
  </si>
  <si>
    <t>8Mar - 3Apr 2019</t>
  </si>
  <si>
    <t>30Apr - 30May 2019</t>
  </si>
  <si>
    <t>Estimated</t>
  </si>
  <si>
    <t>4Apr - 4Jun 2019</t>
  </si>
  <si>
    <t>30May -27Jun 2019</t>
  </si>
  <si>
    <t>5Jun - 5Jul 2019</t>
  </si>
  <si>
    <t>27Jun - 31Jul 2019</t>
  </si>
  <si>
    <t>6Jul - 2Aug 2019</t>
  </si>
  <si>
    <t>31Jul - 3Sept 2019</t>
  </si>
  <si>
    <t>3Aug - 3Sept 2019</t>
  </si>
  <si>
    <t>3Sep - 26Sep 2019</t>
  </si>
  <si>
    <t>4Sep - 2Oct 2019</t>
  </si>
  <si>
    <t>26Sep - 31Oct 2019</t>
  </si>
  <si>
    <t>estimated</t>
  </si>
  <si>
    <t>3Oct - 4Noc 2019</t>
  </si>
  <si>
    <t>31Oct - 28Nov2019</t>
  </si>
  <si>
    <t>5Nov - 3Dec2019</t>
  </si>
  <si>
    <t>28Nov - 6Jan 2020</t>
  </si>
  <si>
    <t>4Dec - 3Jan 2020</t>
  </si>
  <si>
    <t>Totals</t>
  </si>
  <si>
    <t>Unit No</t>
  </si>
  <si>
    <t>Opening Reading</t>
  </si>
  <si>
    <t>Closing Reading</t>
  </si>
  <si>
    <t>Consumption</t>
  </si>
  <si>
    <t>Water Charge</t>
  </si>
  <si>
    <t>Water Surcharge</t>
  </si>
  <si>
    <t>BC Bulk</t>
  </si>
  <si>
    <t>Budgeted</t>
  </si>
  <si>
    <t>6Jan - 30Jan 2020</t>
  </si>
  <si>
    <t>Council Bulk</t>
  </si>
  <si>
    <t>4Jan - 4Feb 2020</t>
  </si>
  <si>
    <t>BC Total</t>
  </si>
  <si>
    <t>Council Total</t>
  </si>
  <si>
    <t>Difference</t>
  </si>
  <si>
    <t>30Jan - 29Feb 2020</t>
  </si>
  <si>
    <t>5Feb - 3Mar 2020</t>
  </si>
  <si>
    <t>29Feb - 25Mar 2020</t>
  </si>
  <si>
    <t>4Mar - 2Apr 2020</t>
  </si>
  <si>
    <t>25Mar - 30Apr 2020</t>
  </si>
  <si>
    <t>3Apr - 6May 2020</t>
  </si>
  <si>
    <t>30Apr - 29May 2020</t>
  </si>
  <si>
    <t>7May - 3Jun 2020</t>
  </si>
  <si>
    <t>25Mar - 1Jul 2020</t>
  </si>
  <si>
    <t>4Jun - 11Jun 2020</t>
  </si>
  <si>
    <t>1Jul - 3Aug 2020</t>
  </si>
  <si>
    <t>12Jun - 4Aug 2020</t>
  </si>
  <si>
    <t>3Aug - 31Aug 2020</t>
  </si>
  <si>
    <t>5Aug - 5Aug 2020</t>
  </si>
  <si>
    <t>31Aug - 30Sept 2020</t>
  </si>
  <si>
    <t>6Aug - 2Oct 2020</t>
  </si>
  <si>
    <t>30Sept - 30Oct 2020</t>
  </si>
  <si>
    <t>3Oct - 3Nov 2020</t>
  </si>
  <si>
    <t>30Oct - 2Dec 2020</t>
  </si>
  <si>
    <t>2Dec 2020 - 4Jan 2021</t>
  </si>
  <si>
    <t>3Dec 2020 - 5Jan 2021</t>
  </si>
  <si>
    <t>Common Property</t>
  </si>
  <si>
    <t>R4,733.78</t>
  </si>
  <si>
    <t xml:space="preserve"> R632.65 </t>
  </si>
  <si>
    <t>R2,805.45</t>
  </si>
  <si>
    <t>4Jan - 1Feb 2021</t>
  </si>
  <si>
    <t>R15.08</t>
  </si>
  <si>
    <t>R14,020.44</t>
  </si>
  <si>
    <t>R1,555.40</t>
  </si>
  <si>
    <t>6Jan - 2Feb 2021</t>
  </si>
  <si>
    <t>R16.57</t>
  </si>
  <si>
    <t>R7,539.23</t>
  </si>
  <si>
    <t>R15,575.84</t>
  </si>
  <si>
    <t>-R8,036.61</t>
  </si>
  <si>
    <t>R3,480.87</t>
  </si>
  <si>
    <t xml:space="preserve"> R1,463.18 </t>
  </si>
  <si>
    <t>1Feb - 25Feb 2021</t>
  </si>
  <si>
    <t>R16.08</t>
  </si>
  <si>
    <t>R18,904.71</t>
  </si>
  <si>
    <t>4Apr 2019 - 5Feb 2021</t>
  </si>
  <si>
    <t>R1.02</t>
  </si>
  <si>
    <t>R6,286.31</t>
  </si>
  <si>
    <t>R20,460.11</t>
  </si>
  <si>
    <t>-R14,173.80</t>
  </si>
  <si>
    <t>R4,611.49</t>
  </si>
  <si>
    <t xml:space="preserve"> R2,469.02 </t>
  </si>
  <si>
    <t>25Feb - 3Apr 2021</t>
  </si>
  <si>
    <t>R14.35</t>
  </si>
  <si>
    <t>-R8,286.81</t>
  </si>
  <si>
    <t>6Feb - 5Mar 2021</t>
  </si>
  <si>
    <t>R7,416.94</t>
  </si>
  <si>
    <t>-R6,731.41</t>
  </si>
  <si>
    <t>R14,148.35</t>
  </si>
  <si>
    <t>R2,559.20</t>
  </si>
  <si>
    <t xml:space="preserve"> R2,664.30 </t>
  </si>
  <si>
    <t>3April - 2May 2021</t>
  </si>
  <si>
    <t>R12.56</t>
  </si>
  <si>
    <t>R2,993.58</t>
  </si>
  <si>
    <t>6Mar - 10Apr 2021</t>
  </si>
  <si>
    <t>R6.00</t>
  </si>
  <si>
    <t>R5,364.65</t>
  </si>
  <si>
    <t>R4,548.97</t>
  </si>
  <si>
    <t>R815.67</t>
  </si>
  <si>
    <t>R3,065.27</t>
  </si>
  <si>
    <t xml:space="preserve"> R1,965.47 </t>
  </si>
  <si>
    <t>2May - 31May 2021</t>
  </si>
  <si>
    <t>R13.75</t>
  </si>
  <si>
    <t>R2,851.22</t>
  </si>
  <si>
    <t>11Apr - 7May 2021</t>
  </si>
  <si>
    <t>R7.09</t>
  </si>
  <si>
    <t>R5,870.72</t>
  </si>
  <si>
    <t>R4,406.62</t>
  </si>
  <si>
    <t>R1,464.10</t>
  </si>
  <si>
    <t>R2,470.23</t>
  </si>
  <si>
    <t xml:space="preserve"> R3,210.26 </t>
  </si>
  <si>
    <t>R2,911.02</t>
  </si>
  <si>
    <t>31May - 29Jun 2021</t>
  </si>
  <si>
    <t>R11.33</t>
  </si>
  <si>
    <t>R3,370.66</t>
  </si>
  <si>
    <t>R1,660.97</t>
  </si>
  <si>
    <t>8May - 7Jun 2021</t>
  </si>
  <si>
    <t>R7.23</t>
  </si>
  <si>
    <t>R5,381.25</t>
  </si>
  <si>
    <t>R5,031.63</t>
  </si>
  <si>
    <t>R349.62</t>
  </si>
  <si>
    <t>29Jun - 2Aug 2021</t>
  </si>
  <si>
    <t>8Jun - 9Jul 2021</t>
  </si>
  <si>
    <t>2Aug - 31Aug 2021</t>
  </si>
  <si>
    <t>10Jul - 10Aug 2021</t>
  </si>
  <si>
    <t>31Aug - 6Oct 2021</t>
  </si>
  <si>
    <t>11Aug - 15Sept 2021</t>
  </si>
  <si>
    <t>6Oct - 1Nov 2021</t>
  </si>
  <si>
    <t>16Sept - 7Oct 2021</t>
  </si>
  <si>
    <t>1nov - 3Dec 2021</t>
  </si>
  <si>
    <t>8Oct - 5Nov 2021</t>
  </si>
  <si>
    <t>3Dec 2021 - 3Jan 2022</t>
  </si>
  <si>
    <t>6Nov - 4Dec 2021</t>
  </si>
  <si>
    <t>3Jan - 31Jan 2022</t>
  </si>
  <si>
    <t>5Dec 2021 - 7Jan 2022</t>
  </si>
  <si>
    <t>31Jan - 28Feb 2022</t>
  </si>
  <si>
    <t>8Jan - 9Feb 2022</t>
  </si>
  <si>
    <t>28Feb - 31Mar 2022</t>
  </si>
  <si>
    <t>10Feb - 3Mar 2022</t>
  </si>
  <si>
    <t>31Mar - 29Apr 2022</t>
  </si>
  <si>
    <t>4Mar - 8Apr 2022</t>
  </si>
  <si>
    <t>29Apr - 31May 2022</t>
  </si>
  <si>
    <t>9Apr - 7May 2022</t>
  </si>
  <si>
    <t>31May - 30Jun 2022</t>
  </si>
  <si>
    <t>8May - 6Jun 2022</t>
  </si>
  <si>
    <t>30Jun - 29Jul 2022</t>
  </si>
  <si>
    <t>7Jun - 6Jul 2022</t>
  </si>
  <si>
    <t>29Jul - 31Aug 2022</t>
  </si>
  <si>
    <t>7Jul - 5Aug 2022</t>
  </si>
  <si>
    <t>31Aug - 30Sept 2022</t>
  </si>
  <si>
    <t>6Aug - 5Sept2022</t>
  </si>
  <si>
    <t>30Sept - 31Oct 2022</t>
  </si>
  <si>
    <t>6Sept - 5Oct 2022</t>
  </si>
  <si>
    <t>31Oct - 30Nov 2022</t>
  </si>
  <si>
    <t>6Oct 2022 - 3Nov 2022</t>
  </si>
  <si>
    <t>30Nov 2022 - 4Jan 2023</t>
  </si>
  <si>
    <t>4Nov - 3Dec 2022</t>
  </si>
  <si>
    <t xml:space="preserve">La' Montagne Water </t>
  </si>
  <si>
    <t>BC</t>
  </si>
  <si>
    <t>Council</t>
  </si>
  <si>
    <t>Estimated / Actual</t>
  </si>
  <si>
    <t xml:space="preserve">A </t>
  </si>
  <si>
    <t>A</t>
  </si>
  <si>
    <t>E</t>
  </si>
  <si>
    <t xml:space="preserve">E </t>
  </si>
  <si>
    <t>Council Back Date</t>
  </si>
  <si>
    <t>LM Water Council Bill is CORRECT</t>
  </si>
  <si>
    <t>STS Collected the water short recoveries due to incorrect budget amount.</t>
  </si>
  <si>
    <t>STS charges according to budget amount.</t>
  </si>
  <si>
    <t>Council charges according to Step Rates.</t>
  </si>
  <si>
    <t>Consumption readings not in line, STS bulk reading on 47665 since May 2019.</t>
  </si>
  <si>
    <t>LM Consumption Graph</t>
  </si>
  <si>
    <t>KL PER DAY</t>
  </si>
  <si>
    <t>LM Rates 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</si>
</sst>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&quot;* #,##0.00_-;\-&quot;R&quot;* #,##0.00_-;_-&quot;R&quot;* &quot;-&quot;??_-;_-@_-"/>
    <numFmt numFmtId="165" formatCode="&quot;R&quot;#,##0.00"/>
    <numFmt numFmtId="166" formatCode="_-[$R-436]* #,##0.00_-;\-[$R-436]* #,##0.00_-;_-[$R-436]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0" fillId="0" borderId="1" xfId="0" applyBorder="1"/>
    <xf numFmtId="17" fontId="0" fillId="0" borderId="1" xfId="0" applyNumberFormat="1" applyBorder="1"/>
    <xf numFmtId="165" fontId="0" fillId="0" borderId="1" xfId="0" applyNumberFormat="1" applyBorder="1"/>
    <xf numFmtId="0" fontId="0" fillId="0" borderId="1" xfId="0" applyBorder="1" applyProtection="1">
      <protection locked="0"/>
    </xf>
    <xf numFmtId="0" fontId="0" fillId="2" borderId="1" xfId="0" applyFill="1" applyBorder="1"/>
    <xf numFmtId="165" fontId="0" fillId="2" borderId="1" xfId="0" applyNumberFormat="1" applyFill="1" applyBorder="1"/>
    <xf numFmtId="0" fontId="0" fillId="3" borderId="1" xfId="0" applyFill="1" applyBorder="1"/>
    <xf numFmtId="17" fontId="0" fillId="0" borderId="2" xfId="0" applyNumberFormat="1" applyBorder="1"/>
    <xf numFmtId="0" fontId="0" fillId="0" borderId="2" xfId="0" applyBorder="1"/>
    <xf numFmtId="0" fontId="0" fillId="0" borderId="2" xfId="0" applyBorder="1" applyAlignment="1" applyProtection="1">
      <alignment horizontal="right"/>
      <protection locked="0"/>
    </xf>
    <xf numFmtId="165" fontId="0" fillId="0" borderId="2" xfId="0" applyNumberFormat="1" applyBorder="1"/>
    <xf numFmtId="0" fontId="1" fillId="0" borderId="3" xfId="0" applyFont="1" applyBorder="1"/>
    <xf numFmtId="0" fontId="0" fillId="0" borderId="1" xfId="0" applyBorder="1" applyAlignment="1" applyProtection="1">
      <alignment horizontal="right"/>
      <protection locked="0"/>
    </xf>
    <xf numFmtId="164" fontId="0" fillId="0" borderId="0" xfId="0" applyNumberFormat="1"/>
    <xf numFmtId="164" fontId="1" fillId="0" borderId="4" xfId="0" applyNumberFormat="1" applyFont="1" applyBorder="1"/>
    <xf numFmtId="1" fontId="0" fillId="0" borderId="1" xfId="0" applyNumberFormat="1" applyBorder="1"/>
    <xf numFmtId="1" fontId="0" fillId="0" borderId="0" xfId="0" applyNumberFormat="1"/>
    <xf numFmtId="0" fontId="3" fillId="0" borderId="0" xfId="0" applyFont="1"/>
    <xf numFmtId="0" fontId="1" fillId="0" borderId="5" xfId="0" applyFont="1" applyBorder="1"/>
    <xf numFmtId="165" fontId="1" fillId="0" borderId="5" xfId="0" applyNumberFormat="1" applyFont="1" applyBorder="1"/>
    <xf numFmtId="165" fontId="1" fillId="0" borderId="6" xfId="0" applyNumberFormat="1" applyFont="1" applyBorder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1" xfId="0" applyNumberFormat="1" applyBorder="1"/>
    <xf numFmtId="2" fontId="0" fillId="2" borderId="1" xfId="0" applyNumberFormat="1" applyFill="1" applyBorder="1"/>
    <xf numFmtId="2" fontId="0" fillId="0" borderId="2" xfId="0" applyNumberFormat="1" applyBorder="1"/>
    <xf numFmtId="2" fontId="1" fillId="0" borderId="5" xfId="0" applyNumberFormat="1" applyFont="1" applyBorder="1"/>
    <xf numFmtId="0" fontId="1" fillId="0" borderId="1" xfId="0" applyFont="1" applyBorder="1"/>
    <xf numFmtId="17" fontId="1" fillId="4" borderId="1" xfId="0" applyNumberFormat="1" applyFont="1" applyFill="1" applyBorder="1"/>
    <xf numFmtId="0" fontId="1" fillId="5" borderId="1" xfId="0" applyFont="1" applyFill="1" applyBorder="1"/>
    <xf numFmtId="17" fontId="1" fillId="0" borderId="0" xfId="0" applyNumberFormat="1" applyFont="1"/>
    <xf numFmtId="164" fontId="0" fillId="0" borderId="0" xfId="1" applyFont="1"/>
    <xf numFmtId="0" fontId="5" fillId="0" borderId="0" xfId="0" applyFont="1"/>
    <xf numFmtId="166" fontId="0" fillId="0" borderId="0" xfId="0" applyNumberFormat="1"/>
    <xf numFmtId="0" fontId="6" fillId="6" borderId="1" xfId="0" applyFont="1" applyFill="1" applyBorder="1"/>
    <xf numFmtId="0" fontId="6" fillId="6" borderId="2" xfId="0" applyFont="1" applyFill="1" applyBorder="1"/>
    <xf numFmtId="0" fontId="7" fillId="0" borderId="0" xfId="0" applyFont="1"/>
    <xf numFmtId="0" fontId="7" fillId="0" borderId="1" xfId="0" applyFont="1" applyBorder="1"/>
    <xf numFmtId="0" fontId="6" fillId="6" borderId="7" xfId="0" applyFont="1" applyFill="1" applyBorder="1"/>
    <xf numFmtId="0" fontId="6" fillId="0" borderId="8" xfId="0" applyFont="1" applyBorder="1"/>
    <xf numFmtId="0" fontId="6" fillId="6" borderId="9" xfId="0" applyFont="1" applyFill="1" applyBorder="1"/>
    <xf numFmtId="0" fontId="6" fillId="0" borderId="1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166" fontId="7" fillId="0" borderId="1" xfId="0" applyNumberFormat="1" applyFont="1" applyBorder="1"/>
    <xf numFmtId="166" fontId="7" fillId="0" borderId="8" xfId="0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5" Type="http://schemas.openxmlformats.org/officeDocument/2006/relationships/customXml" Target="../customXml/item3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Graph!$AC$2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Graph!$AB$3:$AB$14</c:f>
              <c:numCache>
                <c:formatCode>mmm\-yy</c:formatCode>
                <c:ptCount val="12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</c:numCache>
            </c:numRef>
          </c:cat>
          <c:val>
            <c:numRef>
              <c:f>Graph!$AC$3:$AC$14</c:f>
              <c:numCache>
                <c:formatCode>General</c:formatCode>
                <c:ptCount val="12"/>
                <c:pt idx="0">
                  <c:v>4342.9979999999996</c:v>
                </c:pt>
                <c:pt idx="1">
                  <c:v>4133.0999999999995</c:v>
                </c:pt>
                <c:pt idx="2" formatCode="_-[$R-436]* #,##0.00_-;\-[$R-436]* #,##0.00_-;_-[$R-436]* &quot;-&quot;??_-;_-@_-">
                  <c:v>5135.9459999999999</c:v>
                </c:pt>
                <c:pt idx="3" formatCode="_-[$R-436]* #,##0.00_-;\-[$R-436]* #,##0.00_-;_-[$R-436]* &quot;-&quot;??_-;_-@_-">
                  <c:v>4908.6025</c:v>
                </c:pt>
                <c:pt idx="4" formatCode="_-[$R-436]* #,##0.00_-;\-[$R-436]* #,##0.00_-;_-[$R-436]* &quot;-&quot;??_-;_-@_-">
                  <c:v>5534.6970000000001</c:v>
                </c:pt>
                <c:pt idx="5" formatCode="_-[$R-436]* #,##0.00_-;\-[$R-436]* #,##0.00_-;_-[$R-436]* &quot;-&quot;??_-;_-@_-">
                  <c:v>7209.7869999999984</c:v>
                </c:pt>
                <c:pt idx="6" formatCode="_-[$R-436]* #,##0.00_-;\-[$R-436]* #,##0.00_-;_-[$R-436]* &quot;-&quot;??_-;_-@_-">
                  <c:v>6917.0429999999988</c:v>
                </c:pt>
                <c:pt idx="7" formatCode="_-[$R-436]* #,##0.00_-;\-[$R-436]* #,##0.00_-;_-[$R-436]* &quot;-&quot;??_-;_-@_-">
                  <c:v>5776.311999999999</c:v>
                </c:pt>
                <c:pt idx="8" formatCode="_-[$R-436]* #,##0.00_-;\-[$R-436]* #,##0.00_-;_-[$R-436]* &quot;-&quot;??_-;_-@_-">
                  <c:v>4766.7269999999999</c:v>
                </c:pt>
                <c:pt idx="9" formatCode="_-[$R-436]* #,##0.00_-;\-[$R-436]* #,##0.00_-;_-[$R-436]* &quot;-&quot;??_-;_-@_-">
                  <c:v>7931.0784999999987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D5-457E-AB30-FFCAF378B1A0}"/>
            </c:ext>
          </c:extLst>
        </c:ser>
        <c:ser>
          <c:idx val="1"/>
          <c:order val="1"/>
          <c:tx>
            <c:strRef>
              <c:f>Graph!$AD$2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Graph!$AB$3:$AB$14</c:f>
              <c:numCache>
                <c:formatCode>mmm\-yy</c:formatCode>
                <c:ptCount val="12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</c:numCache>
            </c:numRef>
          </c:cat>
          <c:val>
            <c:numRef>
              <c:f>Graph!$AD$3:$AD$14</c:f>
              <c:numCache>
                <c:formatCode>_-[$R-436]* #,##0.00_-;\-[$R-436]* #,##0.00_-;_-[$R-436]* "-"??_-;_-@_-</c:formatCode>
                <c:ptCount val="12"/>
                <c:pt idx="0" formatCode="General">
                  <c:v>3242.7815000000001</c:v>
                </c:pt>
                <c:pt idx="1">
                  <c:v>4274.8490000000002</c:v>
                </c:pt>
                <c:pt idx="2">
                  <c:v>4796.6615000000002</c:v>
                </c:pt>
                <c:pt idx="3">
                  <c:v>4584.1184999999996</c:v>
                </c:pt>
                <c:pt idx="4">
                  <c:v>5184.9359999999997</c:v>
                </c:pt>
                <c:pt idx="5">
                  <c:v>5698.48</c:v>
                </c:pt>
                <c:pt idx="6">
                  <c:v>6823.4789999999994</c:v>
                </c:pt>
                <c:pt idx="7">
                  <c:v>5980.0689999999995</c:v>
                </c:pt>
                <c:pt idx="8">
                  <c:v>4701.4989999999998</c:v>
                </c:pt>
                <c:pt idx="9">
                  <c:v>4981.7079999999996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D5-457E-AB30-FFCAF378B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8336807"/>
        <c:axId val="1657470296"/>
      </c:barChart>
      <c:dateAx>
        <c:axId val="163833680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470296"/>
        <c:crosses val="autoZero"/>
        <c:auto val="1"/>
        <c:lblOffset val="100"/>
        <c:baseTimeUnit val="months"/>
      </c:dateAx>
      <c:valAx>
        <c:axId val="1657470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336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 Graph'!$Y$2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'Cons Graph'!$X$3:$X$14</c:f>
              <c:numCache>
                <c:formatCode>mmm\-yy</c:formatCode>
                <c:ptCount val="12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</c:numCache>
            </c:numRef>
          </c:cat>
          <c:val>
            <c:numRef>
              <c:f>'Cons Graph'!$Y$3:$Y$14</c:f>
              <c:numCache>
                <c:formatCode>General</c:formatCode>
                <c:ptCount val="12"/>
                <c:pt idx="0">
                  <c:v>415</c:v>
                </c:pt>
                <c:pt idx="1">
                  <c:v>406</c:v>
                </c:pt>
                <c:pt idx="2">
                  <c:v>449</c:v>
                </c:pt>
                <c:pt idx="3">
                  <c:v>433</c:v>
                </c:pt>
                <c:pt idx="4">
                  <c:v>445</c:v>
                </c:pt>
                <c:pt idx="5">
                  <c:v>510</c:v>
                </c:pt>
                <c:pt idx="6">
                  <c:v>499</c:v>
                </c:pt>
                <c:pt idx="7">
                  <c:v>430</c:v>
                </c:pt>
                <c:pt idx="8">
                  <c:v>415</c:v>
                </c:pt>
                <c:pt idx="9">
                  <c:v>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83-4660-86F5-403A9119166E}"/>
            </c:ext>
          </c:extLst>
        </c:ser>
        <c:ser>
          <c:idx val="1"/>
          <c:order val="1"/>
          <c:tx>
            <c:strRef>
              <c:f>'Cons Graph'!$Z$2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'Cons Graph'!$X$3:$X$14</c:f>
              <c:numCache>
                <c:formatCode>mmm\-yy</c:formatCode>
                <c:ptCount val="12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</c:numCache>
            </c:numRef>
          </c:cat>
          <c:val>
            <c:numRef>
              <c:f>'Cons Graph'!$Z$3:$Z$14</c:f>
              <c:numCache>
                <c:formatCode>General</c:formatCode>
                <c:ptCount val="12"/>
                <c:pt idx="0">
                  <c:v>289</c:v>
                </c:pt>
                <c:pt idx="1">
                  <c:v>474</c:v>
                </c:pt>
                <c:pt idx="2">
                  <c:v>426</c:v>
                </c:pt>
                <c:pt idx="3">
                  <c:v>420</c:v>
                </c:pt>
                <c:pt idx="4">
                  <c:v>443</c:v>
                </c:pt>
                <c:pt idx="5">
                  <c:v>453</c:v>
                </c:pt>
                <c:pt idx="6">
                  <c:v>507</c:v>
                </c:pt>
                <c:pt idx="7">
                  <c:v>464</c:v>
                </c:pt>
                <c:pt idx="8">
                  <c:v>404</c:v>
                </c:pt>
                <c:pt idx="9">
                  <c:v>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83-4660-86F5-403A91191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7269623"/>
        <c:axId val="1271356520"/>
      </c:barChart>
      <c:dateAx>
        <c:axId val="198726962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356520"/>
        <c:crosses val="autoZero"/>
        <c:auto val="1"/>
        <c:lblOffset val="100"/>
        <c:baseTimeUnit val="months"/>
      </c:dateAx>
      <c:valAx>
        <c:axId val="1271356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269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 Graph'!$Y$24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'Cons Graph'!$X$25:$X$36</c:f>
              <c:numCache>
                <c:formatCode>mmm\-yy</c:formatCode>
                <c:ptCount val="12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</c:numCache>
            </c:numRef>
          </c:cat>
          <c:val>
            <c:numRef>
              <c:f>'Cons Graph'!$Y$25:$Y$36</c:f>
              <c:numCache>
                <c:formatCode>General</c:formatCode>
                <c:ptCount val="12"/>
                <c:pt idx="0" formatCode="0">
                  <c:v>13.387096774193548</c:v>
                </c:pt>
                <c:pt idx="1">
                  <c:v>14</c:v>
                </c:pt>
                <c:pt idx="2">
                  <c:v>15</c:v>
                </c:pt>
                <c:pt idx="3">
                  <c:v>14</c:v>
                </c:pt>
                <c:pt idx="4">
                  <c:v>15</c:v>
                </c:pt>
                <c:pt idx="5">
                  <c:v>15</c:v>
                </c:pt>
                <c:pt idx="6" formatCode="0">
                  <c:v>16.633333333333333</c:v>
                </c:pt>
                <c:pt idx="7" formatCode="0">
                  <c:v>14</c:v>
                </c:pt>
                <c:pt idx="8" formatCode="0">
                  <c:v>14</c:v>
                </c:pt>
                <c:pt idx="9" formatCode="0">
                  <c:v>15.342857142857143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EC-4659-ADB3-533A34929D8F}"/>
            </c:ext>
          </c:extLst>
        </c:ser>
        <c:ser>
          <c:idx val="1"/>
          <c:order val="1"/>
          <c:tx>
            <c:strRef>
              <c:f>'Cons Graph'!$Z$24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'Cons Graph'!$X$25:$X$36</c:f>
              <c:numCache>
                <c:formatCode>mmm\-yy</c:formatCode>
                <c:ptCount val="12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</c:numCache>
            </c:numRef>
          </c:cat>
          <c:val>
            <c:numRef>
              <c:f>'Cons Graph'!$Z$25:$Z$36</c:f>
              <c:numCache>
                <c:formatCode>General</c:formatCode>
                <c:ptCount val="12"/>
                <c:pt idx="0" formatCode="0">
                  <c:v>13.136363636363637</c:v>
                </c:pt>
                <c:pt idx="1">
                  <c:v>13</c:v>
                </c:pt>
                <c:pt idx="2">
                  <c:v>15</c:v>
                </c:pt>
                <c:pt idx="3">
                  <c:v>14</c:v>
                </c:pt>
                <c:pt idx="4">
                  <c:v>15</c:v>
                </c:pt>
                <c:pt idx="5">
                  <c:v>15</c:v>
                </c:pt>
                <c:pt idx="6" formatCode="0">
                  <c:v>16.35483870967742</c:v>
                </c:pt>
                <c:pt idx="7" formatCode="0">
                  <c:v>16</c:v>
                </c:pt>
                <c:pt idx="8" formatCode="0">
                  <c:v>14</c:v>
                </c:pt>
                <c:pt idx="9" formatCode="0">
                  <c:v>14.166666666666666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EC-4659-ADB3-533A34929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7429464"/>
        <c:axId val="1699890392"/>
      </c:barChart>
      <c:dateAx>
        <c:axId val="7474294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890392"/>
        <c:crosses val="autoZero"/>
        <c:auto val="1"/>
        <c:lblOffset val="100"/>
        <c:baseTimeUnit val="months"/>
      </c:dateAx>
      <c:valAx>
        <c:axId val="1699890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429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'Rates Graph'!$W$3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'Rates Graph'!$V$4:$V$15</c:f>
              <c:numCache>
                <c:formatCode>mmm\-yy</c:formatCode>
                <c:ptCount val="12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</c:numCache>
            </c:numRef>
          </c:cat>
          <c:val>
            <c:numRef>
              <c:f>'Rates Graph'!$W$4:$W$15</c:f>
              <c:numCache>
                <c:formatCode>_-[$R-436]* #,##0.00_-;\-[$R-436]* #,##0.00_-;_-[$R-436]* "-"??_-;_-@_-</c:formatCode>
                <c:ptCount val="12"/>
                <c:pt idx="0">
                  <c:v>6.4627228915662647</c:v>
                </c:pt>
                <c:pt idx="1">
                  <c:v>6.088995073891625</c:v>
                </c:pt>
                <c:pt idx="2">
                  <c:v>7.7393719376391985</c:v>
                </c:pt>
                <c:pt idx="3">
                  <c:v>7.1264676674364891</c:v>
                </c:pt>
                <c:pt idx="4">
                  <c:v>8.3412471910112362</c:v>
                </c:pt>
                <c:pt idx="5">
                  <c:v>10.562637254901958</c:v>
                </c:pt>
                <c:pt idx="6">
                  <c:v>10.208819639278556</c:v>
                </c:pt>
                <c:pt idx="7">
                  <c:v>9.1941162790697657</c:v>
                </c:pt>
                <c:pt idx="8">
                  <c:v>7.093698795180722</c:v>
                </c:pt>
                <c:pt idx="9">
                  <c:v>11.374742085661078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57-4986-ADF7-52B55BF029F0}"/>
            </c:ext>
          </c:extLst>
        </c:ser>
        <c:ser>
          <c:idx val="1"/>
          <c:order val="1"/>
          <c:tx>
            <c:strRef>
              <c:f>'Rates Graph'!$X$3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'Rates Graph'!$V$4:$V$15</c:f>
              <c:numCache>
                <c:formatCode>mmm\-yy</c:formatCode>
                <c:ptCount val="12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</c:numCache>
            </c:numRef>
          </c:cat>
          <c:val>
            <c:numRef>
              <c:f>'Rates Graph'!$X$4:$X$15</c:f>
              <c:numCache>
                <c:formatCode>_-[$R-436]* #,##0.00_-;\-[$R-436]* #,##0.00_-;_-[$R-436]* "-"??_-;_-@_-</c:formatCode>
                <c:ptCount val="12"/>
                <c:pt idx="0">
                  <c:v>5.4734031141868513</c:v>
                </c:pt>
                <c:pt idx="1">
                  <c:v>5.5145168776371305</c:v>
                </c:pt>
                <c:pt idx="2">
                  <c:v>7.3607828638497645</c:v>
                </c:pt>
                <c:pt idx="3">
                  <c:v>6.5744678571428574</c:v>
                </c:pt>
                <c:pt idx="4">
                  <c:v>7.5893769751693005</c:v>
                </c:pt>
                <c:pt idx="5">
                  <c:v>8.5554922737306836</c:v>
                </c:pt>
                <c:pt idx="6">
                  <c:v>9.8631893491124263</c:v>
                </c:pt>
                <c:pt idx="7">
                  <c:v>8.9595409482758619</c:v>
                </c:pt>
                <c:pt idx="8">
                  <c:v>7.1253886138613858</c:v>
                </c:pt>
                <c:pt idx="9">
                  <c:v>7.4326258823529407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57-4986-ADF7-52B55BF02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2289752"/>
        <c:axId val="154407112"/>
      </c:barChart>
      <c:dateAx>
        <c:axId val="39228975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07112"/>
        <c:crosses val="autoZero"/>
        <c:auto val="1"/>
        <c:lblOffset val="100"/>
        <c:baseTimeUnit val="months"/>
      </c:dateAx>
      <c:valAx>
        <c:axId val="154407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436]* #,##0.00_-;\-[$R-436]* #,##0.00_-;_-[$R-436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28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</xdr:row>
      <xdr:rowOff>104775</xdr:rowOff>
    </xdr:from>
    <xdr:to>
      <xdr:col>9</xdr:col>
      <xdr:colOff>285750</xdr:colOff>
      <xdr:row>19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58CAE6-D372-1220-12B2-066CFCE694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1</xdr:row>
      <xdr:rowOff>104775</xdr:rowOff>
    </xdr:from>
    <xdr:to>
      <xdr:col>10</xdr:col>
      <xdr:colOff>47625</xdr:colOff>
      <xdr:row>19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46EAF3-3AB9-CB7A-5C63-AF3B1D029D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419100</xdr:colOff>
      <xdr:row>22</xdr:row>
      <xdr:rowOff>28575</xdr:rowOff>
    </xdr:from>
    <xdr:to>
      <xdr:col>10</xdr:col>
      <xdr:colOff>114300</xdr:colOff>
      <xdr:row>36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907105B-E31C-C43C-F51D-25CEB1DBC2A6}"/>
            </a:ext>
            <a:ext uri="{147F2762-F138-4A5C-976F-8EAC2B608ADB}">
              <a16:predDERef xmlns:a16="http://schemas.microsoft.com/office/drawing/2014/main" pred="{1646EAF3-3AB9-CB7A-5C63-AF3B1D029D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</xdr:row>
      <xdr:rowOff>133350</xdr:rowOff>
    </xdr:from>
    <xdr:to>
      <xdr:col>8</xdr:col>
      <xdr:colOff>352425</xdr:colOff>
      <xdr:row>17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CFAABD-4ADC-9982-E265-4AA3207991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12</v>
    <v>45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field" t="s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1A849-1593-45FD-B305-A56B5A5A2483}">
  <sheetPr>
    <pageSetUpPr fitToPage="1"/>
  </sheetPr>
  <dimension ref="A1:U318"/>
  <sheetViews>
    <sheetView tabSelected="1" topLeftCell="A297" workbookViewId="0">
      <selection activeCell="D328" sqref="D328"/>
    </sheetView>
  </sheetViews>
  <sheetFormatPr defaultRowHeight="15"/>
  <cols>
    <col min="1" max="1" width="13" customWidth="1"/>
    <col min="2" max="2" width="16.28515625" bestFit="1" customWidth="1"/>
    <col min="3" max="3" width="15.140625" bestFit="1" customWidth="1"/>
    <col min="4" max="4" width="12.85546875" bestFit="1" customWidth="1"/>
    <col min="5" max="5" width="13.28515625" bestFit="1" customWidth="1"/>
    <col min="6" max="6" width="17.42578125" bestFit="1" customWidth="1"/>
    <col min="7" max="7" width="18.140625" bestFit="1" customWidth="1"/>
    <col min="8" max="8" width="19.85546875" bestFit="1" customWidth="1"/>
    <col min="9" max="9" width="21.28515625" customWidth="1"/>
    <col min="10" max="10" width="11.5703125" customWidth="1"/>
    <col min="11" max="11" width="15.7109375" bestFit="1" customWidth="1"/>
    <col min="12" max="12" width="14.5703125" bestFit="1" customWidth="1"/>
    <col min="13" max="13" width="13.42578125" bestFit="1" customWidth="1"/>
    <col min="14" max="14" width="15.28515625" bestFit="1" customWidth="1"/>
    <col min="15" max="15" width="16.28515625" bestFit="1" customWidth="1"/>
    <col min="16" max="16" width="18.28515625" bestFit="1" customWidth="1"/>
    <col min="17" max="19" width="11.5703125" customWidth="1"/>
    <col min="20" max="20" width="16.28515625" bestFit="1" customWidth="1"/>
    <col min="21" max="21" width="18.28515625" bestFit="1" customWidth="1"/>
  </cols>
  <sheetData>
    <row r="1" spans="1:21" ht="18.75">
      <c r="A1" s="1" t="s">
        <v>0</v>
      </c>
    </row>
    <row r="3" spans="1:21">
      <c r="A3" s="8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 hidden="1">
      <c r="A4" s="29" t="s">
        <v>2</v>
      </c>
      <c r="B4" s="29" t="s">
        <v>3</v>
      </c>
      <c r="C4" s="29" t="s">
        <v>4</v>
      </c>
      <c r="D4" s="29" t="s">
        <v>5</v>
      </c>
      <c r="E4" s="29" t="s">
        <v>6</v>
      </c>
      <c r="F4" s="29" t="s">
        <v>7</v>
      </c>
      <c r="G4" s="29" t="s">
        <v>8</v>
      </c>
      <c r="H4" s="29" t="s">
        <v>9</v>
      </c>
      <c r="I4" s="29" t="s">
        <v>10</v>
      </c>
      <c r="J4" s="29" t="s">
        <v>11</v>
      </c>
      <c r="K4" s="29" t="s">
        <v>12</v>
      </c>
      <c r="L4" s="29" t="s">
        <v>13</v>
      </c>
      <c r="M4" s="29" t="s">
        <v>14</v>
      </c>
      <c r="N4" s="29" t="s">
        <v>15</v>
      </c>
      <c r="O4" s="29" t="s">
        <v>7</v>
      </c>
      <c r="P4" s="29" t="s">
        <v>8</v>
      </c>
      <c r="Q4" s="29" t="s">
        <v>9</v>
      </c>
      <c r="R4" s="29" t="s">
        <v>10</v>
      </c>
      <c r="S4" s="29" t="s">
        <v>11</v>
      </c>
      <c r="T4" s="29" t="s">
        <v>16</v>
      </c>
      <c r="U4" s="29" t="s">
        <v>17</v>
      </c>
    </row>
    <row r="5" spans="1:21" hidden="1">
      <c r="A5" s="3">
        <v>43101</v>
      </c>
      <c r="B5" s="2"/>
      <c r="C5" s="2">
        <v>37555</v>
      </c>
      <c r="D5" s="2"/>
      <c r="E5" s="4">
        <v>4886.03</v>
      </c>
      <c r="F5" s="4"/>
      <c r="G5" s="4"/>
      <c r="H5" s="4"/>
      <c r="I5" s="4"/>
      <c r="J5" s="4"/>
      <c r="K5" s="2">
        <v>36237</v>
      </c>
      <c r="L5" s="2">
        <v>37044</v>
      </c>
      <c r="M5" s="2">
        <f>L5-K5</f>
        <v>807</v>
      </c>
      <c r="N5" s="4">
        <v>9029.7800000000007</v>
      </c>
      <c r="O5" s="2"/>
      <c r="P5" s="4"/>
      <c r="Q5" s="4"/>
      <c r="R5" s="4"/>
      <c r="S5" s="4"/>
      <c r="T5" s="25">
        <v>-807</v>
      </c>
      <c r="U5" s="4">
        <v>-4143.7500000000009</v>
      </c>
    </row>
    <row r="6" spans="1:21" hidden="1">
      <c r="A6" s="3">
        <v>43132</v>
      </c>
      <c r="B6" s="5">
        <v>37555</v>
      </c>
      <c r="C6" s="5">
        <v>38277</v>
      </c>
      <c r="D6" s="2">
        <f>C6-B6</f>
        <v>722</v>
      </c>
      <c r="E6" s="4">
        <v>4886.03</v>
      </c>
      <c r="F6" s="4"/>
      <c r="G6" s="4"/>
      <c r="H6" s="4"/>
      <c r="I6" s="4"/>
      <c r="J6" s="4"/>
      <c r="K6" s="2">
        <f>L5</f>
        <v>37044</v>
      </c>
      <c r="L6" s="2">
        <v>37698</v>
      </c>
      <c r="M6" s="2">
        <f t="shared" ref="M6:M16" si="0">L6-K6</f>
        <v>654</v>
      </c>
      <c r="N6" s="4">
        <v>7739.04</v>
      </c>
      <c r="O6" s="2"/>
      <c r="P6" s="4"/>
      <c r="Q6" s="4"/>
      <c r="R6" s="4"/>
      <c r="S6" s="4"/>
      <c r="T6" s="25">
        <v>68</v>
      </c>
      <c r="U6" s="4">
        <v>-2853.01</v>
      </c>
    </row>
    <row r="7" spans="1:21" hidden="1">
      <c r="A7" s="3">
        <v>43160</v>
      </c>
      <c r="B7" s="2">
        <f>C6</f>
        <v>38277</v>
      </c>
      <c r="C7" s="2">
        <f>B8</f>
        <v>39037</v>
      </c>
      <c r="D7" s="2">
        <f t="shared" ref="D7:D16" si="1">C7-B7</f>
        <v>760</v>
      </c>
      <c r="E7" s="4">
        <v>4886.03</v>
      </c>
      <c r="F7" s="4"/>
      <c r="G7" s="4"/>
      <c r="H7" s="4"/>
      <c r="I7" s="4"/>
      <c r="J7" s="4"/>
      <c r="K7" s="2">
        <f t="shared" ref="K7:K16" si="2">L6</f>
        <v>37698</v>
      </c>
      <c r="L7" s="2">
        <v>38527</v>
      </c>
      <c r="M7" s="2">
        <f t="shared" si="0"/>
        <v>829</v>
      </c>
      <c r="N7" s="4">
        <v>10510.04</v>
      </c>
      <c r="O7" s="2"/>
      <c r="P7" s="4"/>
      <c r="Q7" s="4"/>
      <c r="R7" s="4"/>
      <c r="S7" s="4"/>
      <c r="T7" s="25">
        <v>-69</v>
      </c>
      <c r="U7" s="4">
        <v>-5624.0100000000011</v>
      </c>
    </row>
    <row r="8" spans="1:21" hidden="1">
      <c r="A8" s="3">
        <v>43191</v>
      </c>
      <c r="B8" s="5">
        <v>39037</v>
      </c>
      <c r="C8" s="5">
        <v>39799</v>
      </c>
      <c r="D8" s="2">
        <f t="shared" si="1"/>
        <v>762</v>
      </c>
      <c r="E8" s="4">
        <v>4886.03</v>
      </c>
      <c r="F8" s="4"/>
      <c r="G8" s="4"/>
      <c r="H8" s="4"/>
      <c r="I8" s="4"/>
      <c r="J8" s="4"/>
      <c r="K8" s="2">
        <f t="shared" si="2"/>
        <v>38527</v>
      </c>
      <c r="L8" s="2">
        <v>39308</v>
      </c>
      <c r="M8" s="2">
        <f t="shared" si="0"/>
        <v>781</v>
      </c>
      <c r="N8" s="4">
        <v>9342.8799999999992</v>
      </c>
      <c r="O8" s="2"/>
      <c r="P8" s="4"/>
      <c r="Q8" s="4"/>
      <c r="R8" s="4"/>
      <c r="S8" s="4"/>
      <c r="T8" s="25">
        <v>-19</v>
      </c>
      <c r="U8" s="4">
        <v>-4456.8499999999995</v>
      </c>
    </row>
    <row r="9" spans="1:21" hidden="1">
      <c r="A9" s="3">
        <v>43221</v>
      </c>
      <c r="B9" s="2">
        <f t="shared" ref="B9:B16" si="3">C8</f>
        <v>39799</v>
      </c>
      <c r="C9" s="5">
        <v>40459</v>
      </c>
      <c r="D9" s="2">
        <f t="shared" si="1"/>
        <v>660</v>
      </c>
      <c r="E9" s="4">
        <v>4886.03</v>
      </c>
      <c r="F9" s="4"/>
      <c r="G9" s="4"/>
      <c r="H9" s="4"/>
      <c r="I9" s="4"/>
      <c r="J9" s="4"/>
      <c r="K9" s="2">
        <f t="shared" si="2"/>
        <v>39308</v>
      </c>
      <c r="L9" s="2">
        <v>40001</v>
      </c>
      <c r="M9" s="2">
        <f t="shared" si="0"/>
        <v>693</v>
      </c>
      <c r="N9" s="4">
        <v>8284.82</v>
      </c>
      <c r="O9" s="2"/>
      <c r="P9" s="4"/>
      <c r="Q9" s="4"/>
      <c r="R9" s="4"/>
      <c r="S9" s="4"/>
      <c r="T9" s="25">
        <v>-33</v>
      </c>
      <c r="U9" s="4">
        <v>-3398.79</v>
      </c>
    </row>
    <row r="10" spans="1:21" hidden="1">
      <c r="A10" s="3">
        <v>43252</v>
      </c>
      <c r="B10" s="2">
        <f t="shared" si="3"/>
        <v>40459</v>
      </c>
      <c r="C10" s="5">
        <v>41316</v>
      </c>
      <c r="D10" s="2">
        <f t="shared" si="1"/>
        <v>857</v>
      </c>
      <c r="E10" s="4">
        <v>4313.7700000000004</v>
      </c>
      <c r="F10" s="4"/>
      <c r="G10" s="4"/>
      <c r="H10" s="4"/>
      <c r="I10" s="4"/>
      <c r="J10" s="4"/>
      <c r="K10" s="2">
        <f t="shared" si="2"/>
        <v>40001</v>
      </c>
      <c r="L10" s="2">
        <v>40996</v>
      </c>
      <c r="M10" s="2">
        <f t="shared" si="0"/>
        <v>995</v>
      </c>
      <c r="N10" s="4">
        <v>11772.78</v>
      </c>
      <c r="O10" s="2"/>
      <c r="P10" s="4"/>
      <c r="Q10" s="4"/>
      <c r="R10" s="4"/>
      <c r="S10" s="4"/>
      <c r="T10" s="25">
        <v>-138</v>
      </c>
      <c r="U10" s="4">
        <v>-7459.01</v>
      </c>
    </row>
    <row r="11" spans="1:21" hidden="1">
      <c r="A11" s="3">
        <v>43282</v>
      </c>
      <c r="B11" s="2">
        <f t="shared" si="3"/>
        <v>41316</v>
      </c>
      <c r="C11" s="5">
        <v>41933</v>
      </c>
      <c r="D11" s="2">
        <f t="shared" si="1"/>
        <v>617</v>
      </c>
      <c r="E11" s="4">
        <v>5751.87</v>
      </c>
      <c r="F11" s="4"/>
      <c r="G11" s="4"/>
      <c r="H11" s="4"/>
      <c r="I11" s="4"/>
      <c r="J11" s="4"/>
      <c r="K11" s="2">
        <f t="shared" si="2"/>
        <v>40996</v>
      </c>
      <c r="L11" s="2">
        <v>41430</v>
      </c>
      <c r="M11" s="2">
        <f t="shared" si="0"/>
        <v>434</v>
      </c>
      <c r="N11" s="4">
        <v>6321.35</v>
      </c>
      <c r="O11" s="2"/>
      <c r="P11" s="4"/>
      <c r="Q11" s="4"/>
      <c r="R11" s="4"/>
      <c r="S11" s="4"/>
      <c r="T11" s="25">
        <v>183</v>
      </c>
      <c r="U11" s="4">
        <v>-569.48000000000047</v>
      </c>
    </row>
    <row r="12" spans="1:21" hidden="1">
      <c r="A12" s="3">
        <v>43313</v>
      </c>
      <c r="B12" s="2">
        <f t="shared" si="3"/>
        <v>41933</v>
      </c>
      <c r="C12" s="5">
        <v>42569</v>
      </c>
      <c r="D12" s="2">
        <f t="shared" si="1"/>
        <v>636</v>
      </c>
      <c r="E12" s="4">
        <v>5006.29</v>
      </c>
      <c r="F12" s="4"/>
      <c r="G12" s="4"/>
      <c r="H12" s="4"/>
      <c r="I12" s="4"/>
      <c r="J12" s="4"/>
      <c r="K12" s="2">
        <f t="shared" si="2"/>
        <v>41430</v>
      </c>
      <c r="L12" s="2">
        <v>42158</v>
      </c>
      <c r="M12" s="2">
        <f t="shared" si="0"/>
        <v>728</v>
      </c>
      <c r="N12" s="4">
        <v>9616.91</v>
      </c>
      <c r="O12" s="2"/>
      <c r="P12" s="4"/>
      <c r="Q12" s="4"/>
      <c r="R12" s="4"/>
      <c r="S12" s="4"/>
      <c r="T12" s="25">
        <v>-92</v>
      </c>
      <c r="U12" s="4">
        <v>-4610.62</v>
      </c>
    </row>
    <row r="13" spans="1:21" hidden="1">
      <c r="A13" s="3">
        <v>43344</v>
      </c>
      <c r="B13" s="2">
        <f t="shared" si="3"/>
        <v>42569</v>
      </c>
      <c r="C13" s="5">
        <v>43246</v>
      </c>
      <c r="D13" s="2">
        <f t="shared" si="1"/>
        <v>677</v>
      </c>
      <c r="E13" s="4">
        <v>5772.08</v>
      </c>
      <c r="F13" s="4"/>
      <c r="G13" s="4"/>
      <c r="H13" s="4"/>
      <c r="I13" s="4"/>
      <c r="J13" s="4"/>
      <c r="K13" s="2">
        <f t="shared" si="2"/>
        <v>42158</v>
      </c>
      <c r="L13" s="2">
        <v>42718</v>
      </c>
      <c r="M13" s="2">
        <f t="shared" si="0"/>
        <v>560</v>
      </c>
      <c r="N13" s="4">
        <v>7597.81</v>
      </c>
      <c r="O13" s="2"/>
      <c r="P13" s="4"/>
      <c r="Q13" s="4"/>
      <c r="R13" s="4"/>
      <c r="S13" s="4"/>
      <c r="T13" s="25">
        <v>117</v>
      </c>
      <c r="U13" s="4">
        <v>-1825.7300000000005</v>
      </c>
    </row>
    <row r="14" spans="1:21" hidden="1">
      <c r="A14" s="3">
        <v>43374</v>
      </c>
      <c r="B14" s="2">
        <f t="shared" si="3"/>
        <v>43246</v>
      </c>
      <c r="C14" s="5">
        <v>44067</v>
      </c>
      <c r="D14" s="2">
        <f t="shared" si="1"/>
        <v>821</v>
      </c>
      <c r="E14" s="4">
        <v>5772.08</v>
      </c>
      <c r="F14" s="4"/>
      <c r="G14" s="4"/>
      <c r="H14" s="4"/>
      <c r="I14" s="4"/>
      <c r="J14" s="4"/>
      <c r="K14" s="2">
        <f t="shared" si="2"/>
        <v>42718</v>
      </c>
      <c r="L14" s="2">
        <v>43398</v>
      </c>
      <c r="M14" s="2">
        <f t="shared" si="0"/>
        <v>680</v>
      </c>
      <c r="N14" s="4">
        <v>9040.02</v>
      </c>
      <c r="O14" s="2"/>
      <c r="P14" s="4"/>
      <c r="Q14" s="4"/>
      <c r="R14" s="4"/>
      <c r="S14" s="4"/>
      <c r="T14" s="25">
        <v>141</v>
      </c>
      <c r="U14" s="4">
        <v>-3267.9400000000005</v>
      </c>
    </row>
    <row r="15" spans="1:21" hidden="1">
      <c r="A15" s="3">
        <v>43405</v>
      </c>
      <c r="B15" s="2">
        <f t="shared" si="3"/>
        <v>44067</v>
      </c>
      <c r="C15" s="5">
        <v>44969</v>
      </c>
      <c r="D15" s="2">
        <f t="shared" si="1"/>
        <v>902</v>
      </c>
      <c r="E15" s="4">
        <v>5772.08</v>
      </c>
      <c r="F15" s="4"/>
      <c r="G15" s="4"/>
      <c r="H15" s="4"/>
      <c r="I15" s="4"/>
      <c r="J15" s="4"/>
      <c r="K15" s="2">
        <f t="shared" si="2"/>
        <v>43398</v>
      </c>
      <c r="L15" s="2">
        <v>44253</v>
      </c>
      <c r="M15" s="2">
        <f t="shared" si="0"/>
        <v>855</v>
      </c>
      <c r="N15" s="4">
        <v>13103.16</v>
      </c>
      <c r="O15" s="2"/>
      <c r="P15" s="4"/>
      <c r="Q15" s="4"/>
      <c r="R15" s="4"/>
      <c r="S15" s="4"/>
      <c r="T15" s="25">
        <v>47</v>
      </c>
      <c r="U15" s="4">
        <v>-7331.08</v>
      </c>
    </row>
    <row r="16" spans="1:21" hidden="1">
      <c r="A16" s="3">
        <v>43435</v>
      </c>
      <c r="B16" s="2">
        <f t="shared" si="3"/>
        <v>44969</v>
      </c>
      <c r="C16" s="5">
        <v>46353</v>
      </c>
      <c r="D16" s="2">
        <f t="shared" si="1"/>
        <v>1384</v>
      </c>
      <c r="E16" s="4">
        <v>5772.08</v>
      </c>
      <c r="F16" s="4"/>
      <c r="G16" s="4"/>
      <c r="H16" s="4"/>
      <c r="I16" s="4"/>
      <c r="J16" s="4"/>
      <c r="K16" s="2">
        <f t="shared" si="2"/>
        <v>44253</v>
      </c>
      <c r="L16" s="2">
        <v>45393</v>
      </c>
      <c r="M16" s="2">
        <f t="shared" si="0"/>
        <v>1140</v>
      </c>
      <c r="N16" s="4">
        <v>18971.849999999999</v>
      </c>
      <c r="O16" s="2"/>
      <c r="P16" s="4"/>
      <c r="Q16" s="4"/>
      <c r="R16" s="4"/>
      <c r="S16" s="4"/>
      <c r="T16" s="25">
        <v>244</v>
      </c>
      <c r="U16" s="4">
        <v>-13199.769999999999</v>
      </c>
    </row>
    <row r="17" spans="1:21">
      <c r="A17" s="6" t="s">
        <v>18</v>
      </c>
      <c r="B17" s="6"/>
      <c r="C17" s="6"/>
      <c r="D17" s="6"/>
      <c r="E17" s="7"/>
      <c r="F17" s="7"/>
      <c r="G17" s="7"/>
      <c r="H17" s="7"/>
      <c r="I17" s="7"/>
      <c r="J17" s="7"/>
      <c r="K17" s="6"/>
      <c r="L17" s="6"/>
      <c r="M17" s="6"/>
      <c r="N17" s="7"/>
      <c r="O17" s="6"/>
      <c r="P17" s="7"/>
      <c r="Q17" s="7"/>
      <c r="R17" s="7"/>
      <c r="S17" s="7"/>
      <c r="T17" s="26"/>
      <c r="U17" s="7"/>
    </row>
    <row r="18" spans="1:21" hidden="1">
      <c r="A18" s="3">
        <v>43466</v>
      </c>
      <c r="B18" s="2">
        <f>C16</f>
        <v>46353</v>
      </c>
      <c r="C18" s="5">
        <v>47000</v>
      </c>
      <c r="D18" s="2">
        <f>C18-B18</f>
        <v>647</v>
      </c>
      <c r="E18" s="4">
        <v>5772.08</v>
      </c>
      <c r="F18" s="4" t="s">
        <v>19</v>
      </c>
      <c r="G18" s="4" t="s">
        <v>20</v>
      </c>
      <c r="H18" s="2">
        <v>24</v>
      </c>
      <c r="I18" s="17">
        <f>D18/H18</f>
        <v>26.958333333333332</v>
      </c>
      <c r="J18" s="4">
        <f>E18/D18</f>
        <v>8.9212982998454411</v>
      </c>
      <c r="K18" s="2">
        <f>L16</f>
        <v>45393</v>
      </c>
      <c r="L18" s="2">
        <v>46429</v>
      </c>
      <c r="M18" s="2">
        <f>L18-K18</f>
        <v>1036</v>
      </c>
      <c r="N18" s="4">
        <v>18571.5</v>
      </c>
      <c r="O18" s="2" t="s">
        <v>19</v>
      </c>
      <c r="P18" s="4" t="s">
        <v>21</v>
      </c>
      <c r="Q18" s="2">
        <v>29</v>
      </c>
      <c r="R18" s="2">
        <v>35</v>
      </c>
      <c r="S18" s="4">
        <f>N18/M18</f>
        <v>17.926158301158303</v>
      </c>
      <c r="T18" s="25">
        <v>-389</v>
      </c>
      <c r="U18" s="4">
        <v>-12799.42</v>
      </c>
    </row>
    <row r="19" spans="1:21" hidden="1">
      <c r="A19" s="3">
        <v>43497</v>
      </c>
      <c r="B19" s="2">
        <f>C18</f>
        <v>47000</v>
      </c>
      <c r="C19" s="2">
        <v>47477</v>
      </c>
      <c r="D19" s="2">
        <f t="shared" ref="D19:D20" si="4">C19-B19</f>
        <v>477</v>
      </c>
      <c r="E19" s="4">
        <v>5772.08</v>
      </c>
      <c r="F19" s="4" t="s">
        <v>19</v>
      </c>
      <c r="G19" s="4" t="s">
        <v>22</v>
      </c>
      <c r="H19" s="2">
        <v>27</v>
      </c>
      <c r="I19" s="17">
        <f t="shared" ref="I19:I25" si="5">D19/H19</f>
        <v>17.666666666666668</v>
      </c>
      <c r="J19" s="4">
        <f t="shared" ref="J19:J20" si="6">E19/D19</f>
        <v>12.100796645702307</v>
      </c>
      <c r="K19" s="2">
        <f>L18</f>
        <v>46429</v>
      </c>
      <c r="L19" s="2">
        <v>47108</v>
      </c>
      <c r="M19" s="2">
        <f t="shared" ref="M19:M29" si="7">L19-K19</f>
        <v>679</v>
      </c>
      <c r="N19" s="4">
        <v>9525</v>
      </c>
      <c r="O19" s="2" t="s">
        <v>19</v>
      </c>
      <c r="P19" s="4" t="s">
        <v>23</v>
      </c>
      <c r="Q19" s="2">
        <v>28</v>
      </c>
      <c r="R19" s="2">
        <v>24</v>
      </c>
      <c r="S19" s="4">
        <f t="shared" ref="S19:S29" si="8">N19/M19</f>
        <v>14.027982326951399</v>
      </c>
      <c r="T19" s="25">
        <v>-202</v>
      </c>
      <c r="U19" s="4">
        <v>-3752.92</v>
      </c>
    </row>
    <row r="20" spans="1:21" hidden="1">
      <c r="A20" s="9">
        <v>43525</v>
      </c>
      <c r="B20" s="10">
        <f>C19</f>
        <v>47477</v>
      </c>
      <c r="C20" s="11">
        <v>47665</v>
      </c>
      <c r="D20" s="10">
        <f t="shared" si="4"/>
        <v>188</v>
      </c>
      <c r="E20" s="12">
        <v>5772.08</v>
      </c>
      <c r="F20" s="4" t="s">
        <v>19</v>
      </c>
      <c r="G20" s="12" t="s">
        <v>24</v>
      </c>
      <c r="H20" s="10">
        <v>30</v>
      </c>
      <c r="I20" s="17">
        <f t="shared" si="5"/>
        <v>6.2666666666666666</v>
      </c>
      <c r="J20" s="4">
        <f t="shared" si="6"/>
        <v>30.702553191489361</v>
      </c>
      <c r="K20" s="10">
        <f>L19</f>
        <v>47108</v>
      </c>
      <c r="L20" s="10">
        <v>47615</v>
      </c>
      <c r="M20" s="10">
        <f t="shared" si="7"/>
        <v>507</v>
      </c>
      <c r="N20" s="12">
        <v>6432.44</v>
      </c>
      <c r="O20" s="10" t="s">
        <v>19</v>
      </c>
      <c r="P20" s="12" t="s">
        <v>25</v>
      </c>
      <c r="Q20" s="10">
        <v>31</v>
      </c>
      <c r="R20" s="10">
        <v>26</v>
      </c>
      <c r="S20" s="4">
        <f t="shared" si="8"/>
        <v>12.687258382642998</v>
      </c>
      <c r="T20" s="27">
        <v>-319</v>
      </c>
      <c r="U20" s="12">
        <v>-660.35999999999967</v>
      </c>
    </row>
    <row r="21" spans="1:21" hidden="1">
      <c r="A21" s="3">
        <v>43556</v>
      </c>
      <c r="B21" s="2">
        <f>C20</f>
        <v>47665</v>
      </c>
      <c r="C21" s="14">
        <v>47665</v>
      </c>
      <c r="D21" s="2">
        <f>C21-B21</f>
        <v>0</v>
      </c>
      <c r="E21" s="4">
        <v>4072.5</v>
      </c>
      <c r="F21" s="4" t="s">
        <v>19</v>
      </c>
      <c r="G21" s="4" t="s">
        <v>26</v>
      </c>
      <c r="H21" s="2">
        <v>31</v>
      </c>
      <c r="I21" s="2">
        <f t="shared" si="5"/>
        <v>0</v>
      </c>
      <c r="J21" s="4">
        <v>0</v>
      </c>
      <c r="K21" s="2">
        <f>L20</f>
        <v>47615</v>
      </c>
      <c r="L21" s="2">
        <v>47665</v>
      </c>
      <c r="M21" s="2">
        <f t="shared" si="7"/>
        <v>50</v>
      </c>
      <c r="N21" s="4">
        <v>1803.94</v>
      </c>
      <c r="O21" s="2" t="s">
        <v>19</v>
      </c>
      <c r="P21" s="4" t="s">
        <v>27</v>
      </c>
      <c r="Q21" s="2">
        <v>27</v>
      </c>
      <c r="R21" s="2">
        <v>2</v>
      </c>
      <c r="S21" s="4">
        <f t="shared" si="8"/>
        <v>36.078800000000001</v>
      </c>
      <c r="T21" s="25">
        <v>-50</v>
      </c>
      <c r="U21" s="4">
        <v>2268.56</v>
      </c>
    </row>
    <row r="22" spans="1:21" hidden="1">
      <c r="A22" s="9">
        <v>43586</v>
      </c>
      <c r="B22" s="2">
        <f t="shared" ref="B22:B25" si="9">C21</f>
        <v>47665</v>
      </c>
      <c r="C22" s="14">
        <v>47665</v>
      </c>
      <c r="D22" s="2">
        <f t="shared" ref="D22:D25" si="10">C22-B22</f>
        <v>0</v>
      </c>
      <c r="E22" s="4">
        <v>5751.89</v>
      </c>
      <c r="F22" s="4" t="s">
        <v>19</v>
      </c>
      <c r="G22" s="4" t="s">
        <v>28</v>
      </c>
      <c r="H22" s="2">
        <v>30</v>
      </c>
      <c r="I22" s="2">
        <f t="shared" si="5"/>
        <v>0</v>
      </c>
      <c r="J22" s="4">
        <v>0</v>
      </c>
      <c r="K22" s="2">
        <f t="shared" ref="K22:K25" si="11">L21</f>
        <v>47665</v>
      </c>
      <c r="L22" s="2">
        <v>49112</v>
      </c>
      <c r="M22" s="2">
        <f t="shared" si="7"/>
        <v>1447</v>
      </c>
      <c r="N22" s="4">
        <v>18509.28</v>
      </c>
      <c r="O22" s="2" t="s">
        <v>29</v>
      </c>
      <c r="P22" s="4" t="s">
        <v>30</v>
      </c>
      <c r="Q22" s="2">
        <v>62</v>
      </c>
      <c r="R22" s="2">
        <v>23</v>
      </c>
      <c r="S22" s="4">
        <f t="shared" si="8"/>
        <v>12.791485832757429</v>
      </c>
      <c r="T22" s="25">
        <v>-1447</v>
      </c>
      <c r="U22" s="4">
        <v>-12757.39</v>
      </c>
    </row>
    <row r="23" spans="1:21" hidden="1">
      <c r="A23" s="3">
        <v>43617</v>
      </c>
      <c r="B23" s="2">
        <f t="shared" si="9"/>
        <v>47665</v>
      </c>
      <c r="C23" s="14">
        <v>47665</v>
      </c>
      <c r="D23" s="2">
        <f t="shared" si="10"/>
        <v>0</v>
      </c>
      <c r="E23" s="4">
        <v>5626.59</v>
      </c>
      <c r="F23" s="4" t="s">
        <v>19</v>
      </c>
      <c r="G23" s="4" t="s">
        <v>31</v>
      </c>
      <c r="H23" s="2">
        <v>28</v>
      </c>
      <c r="I23" s="2">
        <f t="shared" si="5"/>
        <v>0</v>
      </c>
      <c r="J23" s="4">
        <v>0</v>
      </c>
      <c r="K23" s="2">
        <f t="shared" si="11"/>
        <v>49112</v>
      </c>
      <c r="L23" s="2">
        <v>49836</v>
      </c>
      <c r="M23" s="2">
        <f t="shared" si="7"/>
        <v>724</v>
      </c>
      <c r="N23" s="4">
        <v>10199.42</v>
      </c>
      <c r="O23" s="2" t="s">
        <v>29</v>
      </c>
      <c r="P23" s="4" t="s">
        <v>32</v>
      </c>
      <c r="Q23" s="2">
        <v>31</v>
      </c>
      <c r="R23" s="2">
        <v>23</v>
      </c>
      <c r="S23" s="4">
        <f t="shared" si="8"/>
        <v>14.087596685082874</v>
      </c>
      <c r="T23" s="25">
        <v>-724</v>
      </c>
      <c r="U23" s="4">
        <v>-4572.83</v>
      </c>
    </row>
    <row r="24" spans="1:21" hidden="1">
      <c r="A24" s="9">
        <v>43647</v>
      </c>
      <c r="B24" s="2">
        <f t="shared" si="9"/>
        <v>47665</v>
      </c>
      <c r="C24" s="14">
        <v>47665</v>
      </c>
      <c r="D24" s="2">
        <f t="shared" si="10"/>
        <v>0</v>
      </c>
      <c r="E24" s="4">
        <v>10918.09</v>
      </c>
      <c r="F24" s="4" t="s">
        <v>19</v>
      </c>
      <c r="G24" s="4" t="s">
        <v>33</v>
      </c>
      <c r="H24" s="2">
        <v>34</v>
      </c>
      <c r="I24" s="2">
        <f t="shared" si="5"/>
        <v>0</v>
      </c>
      <c r="J24" s="4">
        <v>0</v>
      </c>
      <c r="K24" s="2">
        <f t="shared" si="11"/>
        <v>49836</v>
      </c>
      <c r="L24" s="2">
        <v>50487</v>
      </c>
      <c r="M24" s="2">
        <f t="shared" si="7"/>
        <v>651</v>
      </c>
      <c r="N24" s="4">
        <v>9931.2199999999993</v>
      </c>
      <c r="O24" s="2" t="s">
        <v>29</v>
      </c>
      <c r="P24" s="4" t="s">
        <v>34</v>
      </c>
      <c r="Q24" s="2">
        <v>28</v>
      </c>
      <c r="R24" s="2">
        <v>23</v>
      </c>
      <c r="S24" s="4">
        <f t="shared" si="8"/>
        <v>15.255330261136711</v>
      </c>
      <c r="T24" s="25">
        <v>-651</v>
      </c>
      <c r="U24" s="4">
        <v>986.8700000000008</v>
      </c>
    </row>
    <row r="25" spans="1:21" hidden="1">
      <c r="A25" s="3">
        <v>43678</v>
      </c>
      <c r="B25" s="2">
        <f t="shared" si="9"/>
        <v>47665</v>
      </c>
      <c r="C25" s="14">
        <v>47665</v>
      </c>
      <c r="D25" s="2">
        <f t="shared" si="10"/>
        <v>0</v>
      </c>
      <c r="E25" s="4">
        <v>10762.28</v>
      </c>
      <c r="F25" s="4" t="s">
        <v>19</v>
      </c>
      <c r="G25" s="4" t="s">
        <v>35</v>
      </c>
      <c r="H25" s="2">
        <v>34</v>
      </c>
      <c r="I25" s="2">
        <f t="shared" si="5"/>
        <v>0</v>
      </c>
      <c r="J25" s="4">
        <v>0</v>
      </c>
      <c r="K25" s="2">
        <f t="shared" si="11"/>
        <v>50487</v>
      </c>
      <c r="L25" s="2">
        <v>51226</v>
      </c>
      <c r="M25" s="2">
        <f t="shared" si="7"/>
        <v>739</v>
      </c>
      <c r="N25" s="4">
        <v>11053.92</v>
      </c>
      <c r="O25" s="2" t="s">
        <v>29</v>
      </c>
      <c r="P25" s="4" t="s">
        <v>36</v>
      </c>
      <c r="Q25" s="2">
        <v>32</v>
      </c>
      <c r="R25" s="2">
        <v>23</v>
      </c>
      <c r="S25" s="4">
        <f t="shared" si="8"/>
        <v>14.957943166441137</v>
      </c>
      <c r="T25" s="25">
        <v>-739</v>
      </c>
      <c r="U25" s="4">
        <v>-291.63999999999942</v>
      </c>
    </row>
    <row r="26" spans="1:21" hidden="1">
      <c r="A26" s="3">
        <v>43709</v>
      </c>
      <c r="B26" s="2">
        <f>C25</f>
        <v>47665</v>
      </c>
      <c r="C26" s="14">
        <v>47665</v>
      </c>
      <c r="D26" s="2">
        <f>C26-B26</f>
        <v>0</v>
      </c>
      <c r="E26" s="4">
        <f>9566.97*1.15</f>
        <v>11002.015499999998</v>
      </c>
      <c r="F26" s="4" t="s">
        <v>19</v>
      </c>
      <c r="G26" s="4" t="s">
        <v>37</v>
      </c>
      <c r="H26" s="2">
        <v>23</v>
      </c>
      <c r="I26" s="2">
        <v>0</v>
      </c>
      <c r="J26" s="4">
        <v>0</v>
      </c>
      <c r="K26" s="2">
        <f>L25</f>
        <v>51226</v>
      </c>
      <c r="L26" s="2">
        <v>51902</v>
      </c>
      <c r="M26" s="2">
        <f t="shared" si="7"/>
        <v>676</v>
      </c>
      <c r="N26" s="4">
        <v>10287.6</v>
      </c>
      <c r="O26" s="2" t="s">
        <v>29</v>
      </c>
      <c r="P26" s="4" t="s">
        <v>38</v>
      </c>
      <c r="Q26" s="2">
        <v>29</v>
      </c>
      <c r="R26" s="2">
        <v>23</v>
      </c>
      <c r="S26" s="4">
        <f t="shared" si="8"/>
        <v>15.218343195266273</v>
      </c>
      <c r="T26" s="25">
        <f>I26-M26</f>
        <v>-676</v>
      </c>
      <c r="U26" s="4">
        <f>E26-N26</f>
        <v>714.41549999999734</v>
      </c>
    </row>
    <row r="27" spans="1:21" hidden="1">
      <c r="A27" s="9">
        <v>43739</v>
      </c>
      <c r="B27" s="2">
        <f>C26</f>
        <v>47665</v>
      </c>
      <c r="C27" s="14">
        <v>47665</v>
      </c>
      <c r="D27" s="2">
        <f>C27-B27</f>
        <v>0</v>
      </c>
      <c r="E27" s="4">
        <f>9566.96585750199*1.15</f>
        <v>11002.010736127288</v>
      </c>
      <c r="F27" s="4" t="s">
        <v>19</v>
      </c>
      <c r="G27" s="4" t="s">
        <v>39</v>
      </c>
      <c r="H27" s="2">
        <v>34</v>
      </c>
      <c r="I27" s="2">
        <v>0</v>
      </c>
      <c r="J27" s="4">
        <v>0</v>
      </c>
      <c r="K27" s="2">
        <f>L26</f>
        <v>51902</v>
      </c>
      <c r="L27" s="2">
        <v>52684</v>
      </c>
      <c r="M27" s="2">
        <f t="shared" si="7"/>
        <v>782</v>
      </c>
      <c r="N27" s="4">
        <v>11715</v>
      </c>
      <c r="O27" s="2" t="s">
        <v>40</v>
      </c>
      <c r="P27" s="4" t="s">
        <v>41</v>
      </c>
      <c r="Q27" s="2">
        <v>31</v>
      </c>
      <c r="R27" s="2">
        <f>M27/Q27</f>
        <v>25.225806451612904</v>
      </c>
      <c r="S27" s="4">
        <f t="shared" si="8"/>
        <v>14.98081841432225</v>
      </c>
      <c r="T27" s="25">
        <f>I27-M27</f>
        <v>-782</v>
      </c>
      <c r="U27" s="4">
        <f>E27-N27</f>
        <v>-712.9892638727124</v>
      </c>
    </row>
    <row r="28" spans="1:21" hidden="1">
      <c r="A28" s="3">
        <v>43770</v>
      </c>
      <c r="B28" s="2">
        <f>C27</f>
        <v>47665</v>
      </c>
      <c r="C28" s="14">
        <v>47665</v>
      </c>
      <c r="D28" s="2">
        <f>C28-B28</f>
        <v>0</v>
      </c>
      <c r="E28" s="4">
        <f>9566.96585750199*1.15</f>
        <v>11002.010736127288</v>
      </c>
      <c r="F28" s="4" t="s">
        <v>19</v>
      </c>
      <c r="G28" s="4" t="s">
        <v>42</v>
      </c>
      <c r="H28" s="2">
        <v>28</v>
      </c>
      <c r="I28" s="2">
        <v>0</v>
      </c>
      <c r="J28" s="4">
        <v>0</v>
      </c>
      <c r="K28" s="2">
        <f>L27</f>
        <v>52684</v>
      </c>
      <c r="L28" s="2">
        <v>53383</v>
      </c>
      <c r="M28" s="2">
        <f t="shared" si="7"/>
        <v>699</v>
      </c>
      <c r="N28" s="4">
        <v>10712.48</v>
      </c>
      <c r="O28" s="2" t="s">
        <v>29</v>
      </c>
      <c r="P28" s="4" t="s">
        <v>43</v>
      </c>
      <c r="Q28" s="2">
        <v>29</v>
      </c>
      <c r="R28" s="2">
        <v>24</v>
      </c>
      <c r="S28" s="4">
        <f t="shared" si="8"/>
        <v>15.325436337625177</v>
      </c>
      <c r="T28" s="25">
        <f>I28-M28</f>
        <v>-699</v>
      </c>
      <c r="U28" s="4">
        <f>E28-N28</f>
        <v>289.53073612728804</v>
      </c>
    </row>
    <row r="29" spans="1:21" ht="15.75" hidden="1" thickBot="1">
      <c r="A29" s="3">
        <v>43800</v>
      </c>
      <c r="B29" s="2">
        <f>C28</f>
        <v>47665</v>
      </c>
      <c r="C29" s="14">
        <v>47665</v>
      </c>
      <c r="D29" s="2">
        <f>C29-B29</f>
        <v>0</v>
      </c>
      <c r="E29" s="4">
        <f>9566.96585750199*1.15</f>
        <v>11002.010736127288</v>
      </c>
      <c r="F29" s="4" t="s">
        <v>19</v>
      </c>
      <c r="G29" s="4" t="s">
        <v>44</v>
      </c>
      <c r="H29" s="2">
        <v>40</v>
      </c>
      <c r="I29" s="2">
        <v>0</v>
      </c>
      <c r="J29" s="4">
        <v>0</v>
      </c>
      <c r="K29" s="2">
        <f>L28</f>
        <v>53383</v>
      </c>
      <c r="L29" s="2">
        <v>54102</v>
      </c>
      <c r="M29" s="2">
        <f t="shared" si="7"/>
        <v>719</v>
      </c>
      <c r="N29" s="4">
        <v>10823.63</v>
      </c>
      <c r="O29" s="2" t="s">
        <v>29</v>
      </c>
      <c r="P29" s="4" t="s">
        <v>45</v>
      </c>
      <c r="Q29" s="2">
        <v>31</v>
      </c>
      <c r="R29" s="2">
        <v>23</v>
      </c>
      <c r="S29" s="4">
        <f t="shared" si="8"/>
        <v>15.053727399165506</v>
      </c>
      <c r="T29" s="25">
        <f>I29-M29</f>
        <v>-719</v>
      </c>
      <c r="U29" s="4">
        <f>E29-N29</f>
        <v>178.3807361272884</v>
      </c>
    </row>
    <row r="30" spans="1:21" ht="15.75" hidden="1" thickBot="1">
      <c r="A30" s="13" t="s">
        <v>46</v>
      </c>
      <c r="B30" s="20"/>
      <c r="C30" s="20"/>
      <c r="D30" s="20">
        <f>SUM(D5:D21)</f>
        <v>10110</v>
      </c>
      <c r="E30" s="21">
        <f>SUM(E5:E25)</f>
        <v>117037.99</v>
      </c>
      <c r="F30" s="21"/>
      <c r="G30" s="21"/>
      <c r="H30" s="21"/>
      <c r="I30" s="21"/>
      <c r="J30" s="21"/>
      <c r="K30" s="20"/>
      <c r="L30" s="20"/>
      <c r="M30" s="20">
        <f>SUM(M5:M29)</f>
        <v>17865</v>
      </c>
      <c r="N30" s="21">
        <f>SUM(N5:N27)</f>
        <v>229359.76000000004</v>
      </c>
      <c r="O30" s="20"/>
      <c r="P30" s="22"/>
      <c r="Q30" s="21"/>
      <c r="R30" s="21"/>
      <c r="S30" s="21"/>
      <c r="T30" s="28">
        <v>-4879</v>
      </c>
      <c r="U30" s="21">
        <v>-90319.170000000027</v>
      </c>
    </row>
    <row r="32" spans="1:21">
      <c r="A32" s="30">
        <v>43831</v>
      </c>
      <c r="B32" s="31"/>
      <c r="C32" s="31"/>
      <c r="D32" s="31"/>
      <c r="E32" s="31"/>
      <c r="F32" s="31"/>
      <c r="G32" s="2"/>
      <c r="H32" s="2"/>
      <c r="I32" s="2"/>
      <c r="J32" s="2"/>
      <c r="K32" s="2"/>
    </row>
    <row r="33" spans="1:11" hidden="1">
      <c r="A33" s="31" t="s">
        <v>47</v>
      </c>
      <c r="B33" s="31" t="s">
        <v>48</v>
      </c>
      <c r="C33" s="31" t="s">
        <v>49</v>
      </c>
      <c r="D33" s="31" t="s">
        <v>50</v>
      </c>
      <c r="E33" s="31" t="s">
        <v>51</v>
      </c>
      <c r="F33" s="31" t="s">
        <v>52</v>
      </c>
      <c r="G33" s="29" t="s">
        <v>7</v>
      </c>
      <c r="H33" s="29" t="s">
        <v>8</v>
      </c>
      <c r="I33" s="29" t="s">
        <v>9</v>
      </c>
      <c r="J33" s="29" t="s">
        <v>10</v>
      </c>
      <c r="K33" s="29" t="s">
        <v>11</v>
      </c>
    </row>
    <row r="34" spans="1:11" hidden="1">
      <c r="A34" s="2" t="s">
        <v>53</v>
      </c>
      <c r="B34" s="2">
        <f>C26</f>
        <v>47665</v>
      </c>
      <c r="C34" s="2">
        <v>47665</v>
      </c>
      <c r="D34" s="2">
        <f>C34-B34</f>
        <v>0</v>
      </c>
      <c r="E34" s="4">
        <f>9566.97*1.15</f>
        <v>11002.015499999998</v>
      </c>
      <c r="F34" s="4"/>
      <c r="G34" s="2" t="s">
        <v>54</v>
      </c>
      <c r="H34" s="2" t="s">
        <v>55</v>
      </c>
      <c r="I34" s="2">
        <v>24</v>
      </c>
      <c r="J34" s="2">
        <f>D34/I34</f>
        <v>0</v>
      </c>
      <c r="K34" s="4" t="e">
        <f>E36/D34</f>
        <v>#DIV/0!</v>
      </c>
    </row>
    <row r="35" spans="1:11" hidden="1">
      <c r="A35" s="2" t="s">
        <v>56</v>
      </c>
      <c r="B35" s="2">
        <v>54102</v>
      </c>
      <c r="C35" s="2">
        <v>54746</v>
      </c>
      <c r="D35" s="2">
        <f>C35-B35</f>
        <v>644</v>
      </c>
      <c r="E35" s="4">
        <f>6767.36*1.15</f>
        <v>7782.463999999999</v>
      </c>
      <c r="F35" s="4">
        <f>1268.88*1.15</f>
        <v>1459.212</v>
      </c>
      <c r="G35" s="2" t="s">
        <v>29</v>
      </c>
      <c r="H35" s="2" t="s">
        <v>57</v>
      </c>
      <c r="I35" s="2">
        <v>32</v>
      </c>
      <c r="J35" s="2">
        <f>D35/I35</f>
        <v>20.125</v>
      </c>
      <c r="K35" s="4">
        <f>E35/D35</f>
        <v>12.084571428571428</v>
      </c>
    </row>
    <row r="36" spans="1:11" hidden="1">
      <c r="A36" s="2" t="s">
        <v>58</v>
      </c>
      <c r="B36" s="2"/>
      <c r="C36" s="2"/>
      <c r="D36" s="2"/>
      <c r="E36" s="4">
        <f>E34+F34</f>
        <v>11002.015499999998</v>
      </c>
      <c r="F36" s="4"/>
      <c r="G36" s="2"/>
      <c r="H36" s="2"/>
      <c r="I36" s="2"/>
      <c r="J36" s="2"/>
      <c r="K36" s="2"/>
    </row>
    <row r="37" spans="1:11" hidden="1">
      <c r="A37" s="2" t="s">
        <v>59</v>
      </c>
      <c r="B37" s="2"/>
      <c r="C37" s="2"/>
      <c r="D37" s="2"/>
      <c r="E37" s="4">
        <f>E35+F35</f>
        <v>9241.6759999999995</v>
      </c>
      <c r="F37" s="4"/>
      <c r="G37" s="2"/>
      <c r="H37" s="2"/>
      <c r="I37" s="2"/>
      <c r="J37" s="2"/>
      <c r="K37" s="2"/>
    </row>
    <row r="38" spans="1:11" hidden="1">
      <c r="A38" s="2" t="s">
        <v>60</v>
      </c>
      <c r="B38" s="2"/>
      <c r="C38" s="2"/>
      <c r="D38" s="2"/>
      <c r="E38" s="4">
        <f>E36-E37</f>
        <v>1760.3394999999982</v>
      </c>
      <c r="F38" s="4"/>
      <c r="G38" s="2"/>
      <c r="H38" s="2"/>
      <c r="I38" s="2"/>
      <c r="J38" s="2"/>
      <c r="K38" s="2"/>
    </row>
    <row r="39" spans="1:11" hidden="1"/>
    <row r="40" spans="1:11" hidden="1">
      <c r="A40" s="30">
        <v>43862</v>
      </c>
      <c r="B40" s="31"/>
      <c r="C40" s="31"/>
      <c r="D40" s="31"/>
      <c r="E40" s="31"/>
      <c r="F40" s="31"/>
      <c r="G40" s="2"/>
      <c r="H40" s="2"/>
      <c r="I40" s="2"/>
      <c r="J40" s="2"/>
      <c r="K40" s="2"/>
    </row>
    <row r="41" spans="1:11" hidden="1">
      <c r="A41" s="31" t="s">
        <v>47</v>
      </c>
      <c r="B41" s="31" t="s">
        <v>48</v>
      </c>
      <c r="C41" s="31" t="s">
        <v>49</v>
      </c>
      <c r="D41" s="31" t="s">
        <v>50</v>
      </c>
      <c r="E41" s="31" t="s">
        <v>51</v>
      </c>
      <c r="F41" s="31" t="s">
        <v>52</v>
      </c>
      <c r="G41" s="29" t="s">
        <v>7</v>
      </c>
      <c r="H41" s="29" t="s">
        <v>8</v>
      </c>
      <c r="I41" s="29" t="s">
        <v>9</v>
      </c>
      <c r="J41" s="29" t="s">
        <v>10</v>
      </c>
      <c r="K41" s="29" t="s">
        <v>11</v>
      </c>
    </row>
    <row r="42" spans="1:11" hidden="1">
      <c r="A42" s="2" t="s">
        <v>53</v>
      </c>
      <c r="B42" s="2">
        <f>C34</f>
        <v>47665</v>
      </c>
      <c r="C42" s="2">
        <v>47665</v>
      </c>
      <c r="D42" s="2">
        <f>C42-B42</f>
        <v>0</v>
      </c>
      <c r="E42" s="4">
        <f>9566.97*1.15</f>
        <v>11002.015499999998</v>
      </c>
      <c r="F42" s="4"/>
      <c r="G42" s="2" t="s">
        <v>54</v>
      </c>
      <c r="H42" s="2" t="s">
        <v>61</v>
      </c>
      <c r="I42" s="2">
        <v>29</v>
      </c>
      <c r="J42" s="2">
        <f>D42/I42</f>
        <v>0</v>
      </c>
      <c r="K42" s="4" t="e">
        <f>E44/D42</f>
        <v>#DIV/0!</v>
      </c>
    </row>
    <row r="43" spans="1:11" hidden="1">
      <c r="A43" s="2" t="s">
        <v>56</v>
      </c>
      <c r="B43" s="2">
        <f>C35</f>
        <v>54746</v>
      </c>
      <c r="C43" s="2">
        <v>55158</v>
      </c>
      <c r="D43" s="2">
        <f>C43-B43</f>
        <v>412</v>
      </c>
      <c r="E43" s="4">
        <f>3822.28*1.15</f>
        <v>4395.6220000000003</v>
      </c>
      <c r="F43" s="4">
        <f>1268.88*1.15</f>
        <v>1459.212</v>
      </c>
      <c r="G43" s="2" t="s">
        <v>29</v>
      </c>
      <c r="H43" s="2" t="s">
        <v>62</v>
      </c>
      <c r="I43" s="2">
        <v>28</v>
      </c>
      <c r="J43" s="2">
        <f>D43/I43</f>
        <v>14.714285714285714</v>
      </c>
      <c r="K43" s="4">
        <f>E43/D43</f>
        <v>10.668985436893205</v>
      </c>
    </row>
    <row r="44" spans="1:11" hidden="1">
      <c r="A44" s="2" t="s">
        <v>58</v>
      </c>
      <c r="B44" s="2"/>
      <c r="C44" s="2"/>
      <c r="D44" s="2"/>
      <c r="E44" s="4">
        <f>E42+F42</f>
        <v>11002.015499999998</v>
      </c>
      <c r="F44" s="4"/>
      <c r="G44" s="2"/>
      <c r="H44" s="2"/>
      <c r="I44" s="2"/>
      <c r="J44" s="2"/>
      <c r="K44" s="2"/>
    </row>
    <row r="45" spans="1:11" hidden="1">
      <c r="A45" s="2" t="s">
        <v>59</v>
      </c>
      <c r="B45" s="2"/>
      <c r="C45" s="2"/>
      <c r="D45" s="2"/>
      <c r="E45" s="4">
        <f>E43+F43</f>
        <v>5854.8340000000007</v>
      </c>
      <c r="F45" s="4"/>
      <c r="G45" s="2"/>
      <c r="H45" s="2"/>
      <c r="I45" s="2"/>
      <c r="J45" s="2"/>
      <c r="K45" s="2"/>
    </row>
    <row r="46" spans="1:11" hidden="1">
      <c r="A46" s="2" t="s">
        <v>60</v>
      </c>
      <c r="B46" s="2"/>
      <c r="C46" s="2"/>
      <c r="D46" s="2"/>
      <c r="E46" s="4">
        <f>E44-E45</f>
        <v>5147.181499999997</v>
      </c>
      <c r="F46" s="4"/>
      <c r="G46" s="2"/>
      <c r="H46" s="2"/>
      <c r="I46" s="2"/>
      <c r="J46" s="2"/>
      <c r="K46" s="2"/>
    </row>
    <row r="47" spans="1:11" hidden="1"/>
    <row r="48" spans="1:11" hidden="1">
      <c r="A48" s="30">
        <v>43891</v>
      </c>
      <c r="B48" s="31"/>
      <c r="C48" s="31"/>
      <c r="D48" s="31"/>
      <c r="E48" s="31"/>
      <c r="F48" s="31"/>
      <c r="G48" s="2"/>
      <c r="H48" s="2"/>
      <c r="I48" s="2"/>
      <c r="J48" s="2"/>
      <c r="K48" s="2"/>
    </row>
    <row r="49" spans="1:11" hidden="1">
      <c r="A49" s="31" t="s">
        <v>47</v>
      </c>
      <c r="B49" s="31" t="s">
        <v>48</v>
      </c>
      <c r="C49" s="31" t="s">
        <v>49</v>
      </c>
      <c r="D49" s="31" t="s">
        <v>50</v>
      </c>
      <c r="E49" s="31" t="s">
        <v>51</v>
      </c>
      <c r="F49" s="31" t="s">
        <v>52</v>
      </c>
      <c r="G49" s="29" t="s">
        <v>7</v>
      </c>
      <c r="H49" s="29" t="s">
        <v>8</v>
      </c>
      <c r="I49" s="29" t="s">
        <v>9</v>
      </c>
      <c r="J49" s="29" t="s">
        <v>10</v>
      </c>
      <c r="K49" s="29" t="s">
        <v>11</v>
      </c>
    </row>
    <row r="50" spans="1:11" hidden="1">
      <c r="A50" s="2" t="s">
        <v>53</v>
      </c>
      <c r="B50" s="2">
        <f>C42</f>
        <v>47665</v>
      </c>
      <c r="C50" s="2">
        <v>47665</v>
      </c>
      <c r="D50" s="2">
        <f>C50-B50</f>
        <v>0</v>
      </c>
      <c r="E50" s="4">
        <f>9566.97*1.15</f>
        <v>11002.015499999998</v>
      </c>
      <c r="F50" s="4"/>
      <c r="G50" s="2" t="s">
        <v>54</v>
      </c>
      <c r="H50" s="2" t="s">
        <v>63</v>
      </c>
      <c r="I50" s="2">
        <v>29</v>
      </c>
      <c r="J50" s="2">
        <f>D50/I50</f>
        <v>0</v>
      </c>
      <c r="K50" s="4" t="e">
        <f>E52/D50</f>
        <v>#DIV/0!</v>
      </c>
    </row>
    <row r="51" spans="1:11" hidden="1">
      <c r="A51" s="2" t="s">
        <v>56</v>
      </c>
      <c r="B51" s="2">
        <f>C43</f>
        <v>55158</v>
      </c>
      <c r="C51" s="2">
        <v>55456</v>
      </c>
      <c r="D51" s="2">
        <f>C51-B51</f>
        <v>298</v>
      </c>
      <c r="E51" s="4">
        <f>2715.38*1.15</f>
        <v>3122.6869999999999</v>
      </c>
      <c r="F51" s="4">
        <f>1268.88*1.15</f>
        <v>1459.212</v>
      </c>
      <c r="G51" s="2" t="s">
        <v>29</v>
      </c>
      <c r="H51" s="2" t="s">
        <v>64</v>
      </c>
      <c r="I51" s="2">
        <v>30</v>
      </c>
      <c r="J51" s="2">
        <f>D51/I51</f>
        <v>9.9333333333333336</v>
      </c>
      <c r="K51" s="4">
        <f>E51/D51</f>
        <v>10.478815436241611</v>
      </c>
    </row>
    <row r="52" spans="1:11" hidden="1">
      <c r="A52" s="2" t="s">
        <v>58</v>
      </c>
      <c r="B52" s="2"/>
      <c r="C52" s="2"/>
      <c r="D52" s="2"/>
      <c r="E52" s="4">
        <f>E50+F50</f>
        <v>11002.015499999998</v>
      </c>
      <c r="F52" s="4"/>
      <c r="G52" s="2"/>
      <c r="H52" s="2"/>
      <c r="I52" s="2"/>
      <c r="J52" s="2"/>
      <c r="K52" s="2"/>
    </row>
    <row r="53" spans="1:11" hidden="1">
      <c r="A53" s="2" t="s">
        <v>59</v>
      </c>
      <c r="B53" s="2"/>
      <c r="C53" s="2"/>
      <c r="D53" s="2"/>
      <c r="E53" s="4">
        <f>E51+F51</f>
        <v>4581.8989999999994</v>
      </c>
      <c r="F53" s="4"/>
      <c r="G53" s="2"/>
      <c r="H53" s="2"/>
      <c r="I53" s="2"/>
      <c r="J53" s="2"/>
      <c r="K53" s="2"/>
    </row>
    <row r="54" spans="1:11" hidden="1">
      <c r="A54" s="2" t="s">
        <v>60</v>
      </c>
      <c r="B54" s="2"/>
      <c r="C54" s="2"/>
      <c r="D54" s="2"/>
      <c r="E54" s="4">
        <f>E52-E53</f>
        <v>6420.1164999999983</v>
      </c>
      <c r="F54" s="4"/>
      <c r="G54" s="2"/>
      <c r="H54" s="2"/>
      <c r="I54" s="2"/>
      <c r="J54" s="2"/>
      <c r="K54" s="2"/>
    </row>
    <row r="55" spans="1:11" hidden="1"/>
    <row r="56" spans="1:11" hidden="1">
      <c r="A56" s="30">
        <v>43922</v>
      </c>
      <c r="B56" s="31"/>
      <c r="C56" s="31"/>
      <c r="D56" s="31"/>
      <c r="E56" s="31"/>
      <c r="F56" s="31"/>
      <c r="G56" s="2"/>
      <c r="H56" s="2"/>
      <c r="I56" s="2"/>
      <c r="J56" s="2"/>
      <c r="K56" s="2"/>
    </row>
    <row r="57" spans="1:11" hidden="1">
      <c r="A57" s="31" t="s">
        <v>47</v>
      </c>
      <c r="B57" s="31" t="s">
        <v>48</v>
      </c>
      <c r="C57" s="31" t="s">
        <v>49</v>
      </c>
      <c r="D57" s="31" t="s">
        <v>50</v>
      </c>
      <c r="E57" s="31" t="s">
        <v>51</v>
      </c>
      <c r="F57" s="31" t="s">
        <v>52</v>
      </c>
      <c r="G57" s="29" t="s">
        <v>7</v>
      </c>
      <c r="H57" s="29" t="s">
        <v>8</v>
      </c>
      <c r="I57" s="29" t="s">
        <v>9</v>
      </c>
      <c r="J57" s="29" t="s">
        <v>10</v>
      </c>
      <c r="K57" s="29" t="s">
        <v>11</v>
      </c>
    </row>
    <row r="58" spans="1:11" hidden="1">
      <c r="A58" s="2" t="s">
        <v>53</v>
      </c>
      <c r="B58" s="2">
        <f>C50</f>
        <v>47665</v>
      </c>
      <c r="C58" s="2">
        <v>47665</v>
      </c>
      <c r="D58" s="2">
        <f>C58-B58</f>
        <v>0</v>
      </c>
      <c r="E58" s="4">
        <f>9566.97*1.15</f>
        <v>11002.015499999998</v>
      </c>
      <c r="F58" s="4"/>
      <c r="G58" s="2" t="s">
        <v>54</v>
      </c>
      <c r="H58" s="2" t="s">
        <v>65</v>
      </c>
      <c r="I58" s="2">
        <v>34</v>
      </c>
      <c r="J58" s="2">
        <f>D58/I58</f>
        <v>0</v>
      </c>
      <c r="K58" s="4" t="e">
        <f>E60/D58</f>
        <v>#DIV/0!</v>
      </c>
    </row>
    <row r="59" spans="1:11" hidden="1">
      <c r="A59" s="2" t="s">
        <v>56</v>
      </c>
      <c r="B59" s="2">
        <f>C51</f>
        <v>55456</v>
      </c>
      <c r="C59" s="2">
        <v>56484</v>
      </c>
      <c r="D59" s="2">
        <f>C59-B59</f>
        <v>1028</v>
      </c>
      <c r="E59" s="4">
        <f>14179.48*1.15</f>
        <v>16306.401999999998</v>
      </c>
      <c r="F59" s="4">
        <f>1268.88*1.15</f>
        <v>1459.212</v>
      </c>
      <c r="G59" s="2" t="s">
        <v>29</v>
      </c>
      <c r="H59" s="2" t="s">
        <v>66</v>
      </c>
      <c r="I59" s="2">
        <v>34</v>
      </c>
      <c r="J59" s="2">
        <f>D59/I59</f>
        <v>30.235294117647058</v>
      </c>
      <c r="K59" s="4">
        <f>E59/D59</f>
        <v>15.862258754863811</v>
      </c>
    </row>
    <row r="60" spans="1:11" hidden="1">
      <c r="A60" s="2" t="s">
        <v>58</v>
      </c>
      <c r="B60" s="2"/>
      <c r="C60" s="2"/>
      <c r="D60" s="2"/>
      <c r="E60" s="4">
        <f>E58+F58</f>
        <v>11002.015499999998</v>
      </c>
      <c r="F60" s="4"/>
      <c r="G60" s="2"/>
      <c r="H60" s="2"/>
      <c r="I60" s="2"/>
      <c r="J60" s="2"/>
      <c r="K60" s="2"/>
    </row>
    <row r="61" spans="1:11" hidden="1">
      <c r="A61" s="2" t="s">
        <v>59</v>
      </c>
      <c r="B61" s="2"/>
      <c r="C61" s="2"/>
      <c r="D61" s="2"/>
      <c r="E61" s="4">
        <f>E59+F59</f>
        <v>17765.613999999998</v>
      </c>
      <c r="F61" s="4"/>
      <c r="G61" s="2"/>
      <c r="H61" s="2"/>
      <c r="I61" s="2"/>
      <c r="J61" s="2"/>
      <c r="K61" s="2"/>
    </row>
    <row r="62" spans="1:11" hidden="1">
      <c r="A62" s="2" t="s">
        <v>60</v>
      </c>
      <c r="B62" s="2"/>
      <c r="C62" s="2"/>
      <c r="D62" s="2"/>
      <c r="E62" s="4">
        <f>E60-E61</f>
        <v>-6763.5985000000001</v>
      </c>
      <c r="F62" s="4"/>
      <c r="G62" s="2"/>
      <c r="H62" s="2"/>
      <c r="I62" s="2"/>
      <c r="J62" s="2"/>
      <c r="K62" s="2"/>
    </row>
    <row r="63" spans="1:11" hidden="1"/>
    <row r="64" spans="1:11" hidden="1">
      <c r="A64" s="30">
        <v>43952</v>
      </c>
      <c r="B64" s="31"/>
      <c r="C64" s="31"/>
      <c r="D64" s="31"/>
      <c r="E64" s="31"/>
      <c r="F64" s="31"/>
      <c r="G64" s="2"/>
      <c r="H64" s="2"/>
      <c r="I64" s="2"/>
      <c r="J64" s="2"/>
      <c r="K64" s="2"/>
    </row>
    <row r="65" spans="1:11" hidden="1">
      <c r="A65" s="31" t="s">
        <v>47</v>
      </c>
      <c r="B65" s="31" t="s">
        <v>48</v>
      </c>
      <c r="C65" s="31" t="s">
        <v>49</v>
      </c>
      <c r="D65" s="31" t="s">
        <v>50</v>
      </c>
      <c r="E65" s="31" t="s">
        <v>51</v>
      </c>
      <c r="F65" s="31" t="s">
        <v>52</v>
      </c>
      <c r="G65" s="29" t="s">
        <v>7</v>
      </c>
      <c r="H65" s="29" t="s">
        <v>8</v>
      </c>
      <c r="I65" s="29" t="s">
        <v>9</v>
      </c>
      <c r="J65" s="29" t="s">
        <v>10</v>
      </c>
      <c r="K65" s="29" t="s">
        <v>11</v>
      </c>
    </row>
    <row r="66" spans="1:11" hidden="1">
      <c r="A66" s="2" t="s">
        <v>53</v>
      </c>
      <c r="B66" s="2">
        <f>C58</f>
        <v>47665</v>
      </c>
      <c r="C66" s="2">
        <v>47665</v>
      </c>
      <c r="D66" s="2">
        <f>C66-B66</f>
        <v>0</v>
      </c>
      <c r="E66" s="4">
        <f>9566.97*1.15</f>
        <v>11002.015499999998</v>
      </c>
      <c r="F66" s="4"/>
      <c r="G66" s="2" t="s">
        <v>54</v>
      </c>
      <c r="H66" s="2" t="s">
        <v>67</v>
      </c>
      <c r="I66" s="2">
        <v>29</v>
      </c>
      <c r="J66" s="2">
        <f>D66/I66</f>
        <v>0</v>
      </c>
      <c r="K66" s="4" t="e">
        <f>E68/D66</f>
        <v>#DIV/0!</v>
      </c>
    </row>
    <row r="67" spans="1:11" hidden="1">
      <c r="A67" s="2" t="s">
        <v>56</v>
      </c>
      <c r="B67" s="2">
        <f>C59</f>
        <v>56484</v>
      </c>
      <c r="C67" s="2">
        <v>57331</v>
      </c>
      <c r="D67" s="2">
        <f>C67-B67</f>
        <v>847</v>
      </c>
      <c r="E67" s="4">
        <f>11677.21*1.15</f>
        <v>13428.791499999998</v>
      </c>
      <c r="F67" s="4">
        <f>1268.88*1.15</f>
        <v>1459.212</v>
      </c>
      <c r="G67" s="2" t="s">
        <v>29</v>
      </c>
      <c r="H67" s="2" t="s">
        <v>68</v>
      </c>
      <c r="I67" s="2">
        <v>28</v>
      </c>
      <c r="J67" s="2">
        <f>D67/I67</f>
        <v>30.25</v>
      </c>
      <c r="K67" s="4">
        <f>E67/D67</f>
        <v>15.854535419126325</v>
      </c>
    </row>
    <row r="68" spans="1:11" hidden="1">
      <c r="A68" s="2" t="s">
        <v>58</v>
      </c>
      <c r="B68" s="2"/>
      <c r="C68" s="2"/>
      <c r="D68" s="2"/>
      <c r="E68" s="4">
        <f>E66+F66</f>
        <v>11002.015499999998</v>
      </c>
      <c r="F68" s="4"/>
      <c r="G68" s="2"/>
      <c r="H68" s="2"/>
      <c r="I68" s="2"/>
      <c r="J68" s="2"/>
      <c r="K68" s="2"/>
    </row>
    <row r="69" spans="1:11" hidden="1">
      <c r="A69" s="2" t="s">
        <v>59</v>
      </c>
      <c r="B69" s="2"/>
      <c r="C69" s="2"/>
      <c r="D69" s="2"/>
      <c r="E69" s="4">
        <f>E67+F67</f>
        <v>14888.003499999997</v>
      </c>
      <c r="F69" s="4"/>
      <c r="G69" s="2"/>
      <c r="H69" s="2"/>
      <c r="I69" s="2"/>
      <c r="J69" s="2"/>
      <c r="K69" s="2"/>
    </row>
    <row r="70" spans="1:11" hidden="1">
      <c r="A70" s="2" t="s">
        <v>60</v>
      </c>
      <c r="B70" s="2"/>
      <c r="C70" s="2"/>
      <c r="D70" s="2"/>
      <c r="E70" s="4">
        <f>E68-E69</f>
        <v>-3885.9879999999994</v>
      </c>
      <c r="F70" s="4"/>
      <c r="G70" s="2"/>
      <c r="H70" s="2"/>
      <c r="I70" s="2"/>
      <c r="J70" s="2"/>
      <c r="K70" s="2"/>
    </row>
    <row r="71" spans="1:11" hidden="1"/>
    <row r="72" spans="1:11" hidden="1">
      <c r="A72" s="30">
        <v>43983</v>
      </c>
      <c r="B72" s="31"/>
      <c r="C72" s="31"/>
      <c r="D72" s="31"/>
      <c r="E72" s="31"/>
      <c r="F72" s="31"/>
      <c r="G72" s="2"/>
      <c r="H72" s="2"/>
      <c r="I72" s="2"/>
      <c r="J72" s="2"/>
      <c r="K72" s="2"/>
    </row>
    <row r="73" spans="1:11" hidden="1">
      <c r="A73" s="31" t="s">
        <v>47</v>
      </c>
      <c r="B73" s="31" t="s">
        <v>48</v>
      </c>
      <c r="C73" s="31" t="s">
        <v>49</v>
      </c>
      <c r="D73" s="31" t="s">
        <v>50</v>
      </c>
      <c r="E73" s="31" t="s">
        <v>51</v>
      </c>
      <c r="F73" s="31" t="s">
        <v>52</v>
      </c>
      <c r="G73" s="29" t="s">
        <v>7</v>
      </c>
      <c r="H73" s="29" t="s">
        <v>8</v>
      </c>
      <c r="I73" s="29" t="s">
        <v>9</v>
      </c>
      <c r="J73" s="29" t="s">
        <v>10</v>
      </c>
      <c r="K73" s="29" t="s">
        <v>11</v>
      </c>
    </row>
    <row r="74" spans="1:11" hidden="1">
      <c r="A74" s="2" t="s">
        <v>53</v>
      </c>
      <c r="B74" s="2">
        <f>C66</f>
        <v>47665</v>
      </c>
      <c r="C74" s="2">
        <v>47665</v>
      </c>
      <c r="D74" s="2">
        <f>C74-B74</f>
        <v>0</v>
      </c>
      <c r="E74" s="4">
        <f>9566.97*1.15</f>
        <v>11002.015499999998</v>
      </c>
      <c r="F74" s="4"/>
      <c r="G74" s="2" t="s">
        <v>54</v>
      </c>
      <c r="H74" s="2" t="s">
        <v>69</v>
      </c>
      <c r="I74" s="2">
        <v>95</v>
      </c>
      <c r="J74" s="2">
        <f>D74/I74</f>
        <v>0</v>
      </c>
      <c r="K74" s="4" t="e">
        <f>E76/D74</f>
        <v>#DIV/0!</v>
      </c>
    </row>
    <row r="75" spans="1:11" hidden="1">
      <c r="A75" s="2" t="s">
        <v>56</v>
      </c>
      <c r="B75" s="2">
        <f>C67</f>
        <v>57331</v>
      </c>
      <c r="C75" s="2">
        <v>57573</v>
      </c>
      <c r="D75" s="2">
        <f>C75-B75</f>
        <v>242</v>
      </c>
      <c r="E75" s="4">
        <f>3336.35*1.15</f>
        <v>3836.8024999999998</v>
      </c>
      <c r="F75" s="4">
        <f>1352.52*1.15</f>
        <v>1555.3979999999999</v>
      </c>
      <c r="G75" s="2" t="s">
        <v>29</v>
      </c>
      <c r="H75" s="2" t="s">
        <v>70</v>
      </c>
      <c r="I75" s="2">
        <v>8</v>
      </c>
      <c r="J75" s="2">
        <f>D75/I75</f>
        <v>30.25</v>
      </c>
      <c r="K75" s="4">
        <f>E75/D75</f>
        <v>15.854555785123965</v>
      </c>
    </row>
    <row r="76" spans="1:11" hidden="1">
      <c r="A76" s="2" t="s">
        <v>58</v>
      </c>
      <c r="B76" s="2"/>
      <c r="C76" s="2"/>
      <c r="D76" s="2"/>
      <c r="E76" s="4">
        <f>E74+F74</f>
        <v>11002.015499999998</v>
      </c>
      <c r="F76" s="4"/>
      <c r="G76" s="2"/>
      <c r="H76" s="2"/>
      <c r="I76" s="2"/>
      <c r="J76" s="2"/>
      <c r="K76" s="2"/>
    </row>
    <row r="77" spans="1:11" hidden="1">
      <c r="A77" s="2" t="s">
        <v>59</v>
      </c>
      <c r="B77" s="2"/>
      <c r="C77" s="2"/>
      <c r="D77" s="2"/>
      <c r="E77" s="4">
        <f>E75+F75</f>
        <v>5392.2004999999999</v>
      </c>
      <c r="F77" s="4"/>
      <c r="G77" s="2"/>
      <c r="H77" s="2"/>
      <c r="I77" s="2"/>
      <c r="J77" s="2"/>
      <c r="K77" s="2"/>
    </row>
    <row r="78" spans="1:11" hidden="1">
      <c r="A78" s="2" t="s">
        <v>60</v>
      </c>
      <c r="B78" s="2"/>
      <c r="C78" s="2"/>
      <c r="D78" s="2"/>
      <c r="E78" s="4">
        <f>E76-E77</f>
        <v>5609.8149999999978</v>
      </c>
      <c r="F78" s="4"/>
      <c r="G78" s="2"/>
      <c r="H78" s="2"/>
      <c r="I78" s="2"/>
      <c r="J78" s="2"/>
      <c r="K78" s="2"/>
    </row>
    <row r="79" spans="1:11" hidden="1"/>
    <row r="80" spans="1:11" hidden="1">
      <c r="A80" s="30">
        <v>44013</v>
      </c>
      <c r="B80" s="31"/>
      <c r="C80" s="31"/>
      <c r="D80" s="31"/>
      <c r="E80" s="31"/>
      <c r="F80" s="31"/>
      <c r="G80" s="2"/>
      <c r="H80" s="2"/>
      <c r="I80" s="2"/>
      <c r="J80" s="2"/>
      <c r="K80" s="2"/>
    </row>
    <row r="81" spans="1:11" hidden="1">
      <c r="A81" s="31" t="s">
        <v>47</v>
      </c>
      <c r="B81" s="31" t="s">
        <v>48</v>
      </c>
      <c r="C81" s="31" t="s">
        <v>49</v>
      </c>
      <c r="D81" s="31" t="s">
        <v>50</v>
      </c>
      <c r="E81" s="31" t="s">
        <v>51</v>
      </c>
      <c r="F81" s="31" t="s">
        <v>52</v>
      </c>
      <c r="G81" s="29" t="s">
        <v>7</v>
      </c>
      <c r="H81" s="29" t="s">
        <v>8</v>
      </c>
      <c r="I81" s="29" t="s">
        <v>9</v>
      </c>
      <c r="J81" s="29" t="s">
        <v>10</v>
      </c>
      <c r="K81" s="29" t="s">
        <v>11</v>
      </c>
    </row>
    <row r="82" spans="1:11" hidden="1">
      <c r="A82" s="2" t="s">
        <v>53</v>
      </c>
      <c r="B82" s="2">
        <f>C74</f>
        <v>47665</v>
      </c>
      <c r="C82" s="2">
        <v>47665</v>
      </c>
      <c r="D82" s="2">
        <f>C82-B82</f>
        <v>0</v>
      </c>
      <c r="E82" s="4">
        <f>9566.97*1.15</f>
        <v>11002.015499999998</v>
      </c>
      <c r="F82" s="4"/>
      <c r="G82" s="2" t="s">
        <v>54</v>
      </c>
      <c r="H82" s="2" t="s">
        <v>71</v>
      </c>
      <c r="I82" s="2">
        <v>33</v>
      </c>
      <c r="J82" s="2">
        <f>D82/I82</f>
        <v>0</v>
      </c>
      <c r="K82" s="4" t="e">
        <f>E84/D82</f>
        <v>#DIV/0!</v>
      </c>
    </row>
    <row r="83" spans="1:11" hidden="1">
      <c r="A83" s="2" t="s">
        <v>56</v>
      </c>
      <c r="B83" s="2">
        <f>C75</f>
        <v>57573</v>
      </c>
      <c r="C83" s="2">
        <v>59207</v>
      </c>
      <c r="D83" s="2">
        <f>C83-B83</f>
        <v>1634</v>
      </c>
      <c r="E83" s="4">
        <f>(7923.82+15239.61)*1.15</f>
        <v>26637.944499999998</v>
      </c>
      <c r="F83" s="4">
        <f>1352.52*1.15</f>
        <v>1555.3979999999999</v>
      </c>
      <c r="G83" s="2" t="s">
        <v>29</v>
      </c>
      <c r="H83" s="2" t="s">
        <v>72</v>
      </c>
      <c r="I83" s="2">
        <v>54</v>
      </c>
      <c r="J83" s="2">
        <f>D83/I83</f>
        <v>30.25925925925926</v>
      </c>
      <c r="K83" s="4">
        <f>E83/D83</f>
        <v>16.302291615667073</v>
      </c>
    </row>
    <row r="84" spans="1:11" hidden="1">
      <c r="A84" s="2" t="s">
        <v>58</v>
      </c>
      <c r="B84" s="2"/>
      <c r="C84" s="2"/>
      <c r="D84" s="2"/>
      <c r="E84" s="4">
        <f>E82+F82</f>
        <v>11002.015499999998</v>
      </c>
      <c r="F84" s="4"/>
      <c r="G84" s="2"/>
      <c r="H84" s="2"/>
      <c r="I84" s="2"/>
      <c r="J84" s="2"/>
      <c r="K84" s="2"/>
    </row>
    <row r="85" spans="1:11" hidden="1">
      <c r="A85" s="2" t="s">
        <v>59</v>
      </c>
      <c r="B85" s="2"/>
      <c r="C85" s="2"/>
      <c r="D85" s="2"/>
      <c r="E85" s="4">
        <f>E83+F83</f>
        <v>28193.342499999999</v>
      </c>
      <c r="F85" s="4"/>
      <c r="G85" s="2"/>
      <c r="H85" s="2"/>
      <c r="I85" s="2"/>
      <c r="J85" s="2"/>
      <c r="K85" s="2"/>
    </row>
    <row r="86" spans="1:11" hidden="1">
      <c r="A86" s="2" t="s">
        <v>60</v>
      </c>
      <c r="B86" s="2"/>
      <c r="C86" s="2"/>
      <c r="D86" s="2"/>
      <c r="E86" s="4">
        <f>E84-E85</f>
        <v>-17191.327000000001</v>
      </c>
      <c r="F86" s="4"/>
      <c r="G86" s="2"/>
      <c r="H86" s="2"/>
      <c r="I86" s="2"/>
      <c r="J86" s="2"/>
      <c r="K86" s="2"/>
    </row>
    <row r="87" spans="1:11" hidden="1"/>
    <row r="88" spans="1:11" hidden="1">
      <c r="A88" s="30">
        <v>44044</v>
      </c>
      <c r="B88" s="31"/>
      <c r="C88" s="31"/>
      <c r="D88" s="31"/>
      <c r="E88" s="31"/>
      <c r="F88" s="31"/>
      <c r="G88" s="2"/>
      <c r="H88" s="2"/>
      <c r="I88" s="2"/>
      <c r="J88" s="2"/>
      <c r="K88" s="2"/>
    </row>
    <row r="89" spans="1:11" hidden="1">
      <c r="A89" s="31" t="s">
        <v>47</v>
      </c>
      <c r="B89" s="31" t="s">
        <v>48</v>
      </c>
      <c r="C89" s="31" t="s">
        <v>49</v>
      </c>
      <c r="D89" s="31" t="s">
        <v>50</v>
      </c>
      <c r="E89" s="31" t="s">
        <v>51</v>
      </c>
      <c r="F89" s="31" t="s">
        <v>52</v>
      </c>
      <c r="G89" s="29" t="s">
        <v>7</v>
      </c>
      <c r="H89" s="29" t="s">
        <v>8</v>
      </c>
      <c r="I89" s="29" t="s">
        <v>9</v>
      </c>
      <c r="J89" s="29" t="s">
        <v>10</v>
      </c>
      <c r="K89" s="29" t="s">
        <v>11</v>
      </c>
    </row>
    <row r="90" spans="1:11" hidden="1">
      <c r="A90" s="2" t="s">
        <v>53</v>
      </c>
      <c r="B90" s="2">
        <f>C82</f>
        <v>47665</v>
      </c>
      <c r="C90" s="2">
        <v>47665</v>
      </c>
      <c r="D90" s="2">
        <f>C90-B90</f>
        <v>0</v>
      </c>
      <c r="E90" s="4">
        <f>9566.97*1.15</f>
        <v>11002.015499999998</v>
      </c>
      <c r="F90" s="4"/>
      <c r="G90" s="2" t="s">
        <v>54</v>
      </c>
      <c r="H90" s="2" t="s">
        <v>73</v>
      </c>
      <c r="I90" s="2">
        <v>28</v>
      </c>
      <c r="J90" s="2">
        <f>D90/I90</f>
        <v>0</v>
      </c>
      <c r="K90" s="4" t="e">
        <f>E92/D90</f>
        <v>#DIV/0!</v>
      </c>
    </row>
    <row r="91" spans="1:11" hidden="1">
      <c r="A91" s="2" t="s">
        <v>56</v>
      </c>
      <c r="B91" s="2">
        <f>C83</f>
        <v>59207</v>
      </c>
      <c r="C91" s="2">
        <v>59237</v>
      </c>
      <c r="D91" s="2">
        <f>C91-B91</f>
        <v>30</v>
      </c>
      <c r="E91" s="4">
        <f>435.43*1.15</f>
        <v>500.74449999999996</v>
      </c>
      <c r="F91" s="4">
        <f>1352.52*1.15</f>
        <v>1555.3979999999999</v>
      </c>
      <c r="G91" s="2" t="s">
        <v>29</v>
      </c>
      <c r="H91" s="2" t="s">
        <v>74</v>
      </c>
      <c r="I91" s="2">
        <v>1</v>
      </c>
      <c r="J91" s="2">
        <f>D91/I91</f>
        <v>30</v>
      </c>
      <c r="K91" s="4">
        <f>E91/D91</f>
        <v>16.691483333333331</v>
      </c>
    </row>
    <row r="92" spans="1:11" hidden="1">
      <c r="A92" s="2" t="s">
        <v>58</v>
      </c>
      <c r="B92" s="2"/>
      <c r="C92" s="2"/>
      <c r="D92" s="2"/>
      <c r="E92" s="4">
        <f>E90+F90</f>
        <v>11002.015499999998</v>
      </c>
      <c r="F92" s="4"/>
      <c r="G92" s="2"/>
      <c r="H92" s="2"/>
      <c r="I92" s="2"/>
      <c r="J92" s="2"/>
      <c r="K92" s="2"/>
    </row>
    <row r="93" spans="1:11" hidden="1">
      <c r="A93" s="2" t="s">
        <v>59</v>
      </c>
      <c r="B93" s="2"/>
      <c r="C93" s="2"/>
      <c r="D93" s="2"/>
      <c r="E93" s="4">
        <f>E91+F91</f>
        <v>2056.1424999999999</v>
      </c>
      <c r="F93" s="4"/>
      <c r="G93" s="2"/>
      <c r="H93" s="2"/>
      <c r="I93" s="2"/>
      <c r="J93" s="2"/>
      <c r="K93" s="2"/>
    </row>
    <row r="94" spans="1:11" hidden="1">
      <c r="A94" s="2" t="s">
        <v>60</v>
      </c>
      <c r="B94" s="2"/>
      <c r="C94" s="2"/>
      <c r="D94" s="2"/>
      <c r="E94" s="4">
        <f>E92-E93</f>
        <v>8945.8729999999978</v>
      </c>
      <c r="F94" s="4"/>
      <c r="G94" s="2"/>
      <c r="H94" s="2"/>
      <c r="I94" s="2"/>
      <c r="J94" s="2"/>
      <c r="K94" s="2"/>
    </row>
    <row r="95" spans="1:11" hidden="1"/>
    <row r="96" spans="1:11" hidden="1">
      <c r="A96" s="30">
        <v>44075</v>
      </c>
      <c r="B96" s="31"/>
      <c r="C96" s="31"/>
      <c r="D96" s="31"/>
      <c r="E96" s="31"/>
      <c r="F96" s="31"/>
      <c r="G96" s="2"/>
      <c r="H96" s="2"/>
      <c r="I96" s="2"/>
      <c r="J96" s="2"/>
      <c r="K96" s="2"/>
    </row>
    <row r="97" spans="1:11" hidden="1">
      <c r="A97" s="31" t="s">
        <v>47</v>
      </c>
      <c r="B97" s="31" t="s">
        <v>48</v>
      </c>
      <c r="C97" s="31" t="s">
        <v>49</v>
      </c>
      <c r="D97" s="31" t="s">
        <v>50</v>
      </c>
      <c r="E97" s="31" t="s">
        <v>51</v>
      </c>
      <c r="F97" s="31" t="s">
        <v>52</v>
      </c>
      <c r="G97" s="29" t="s">
        <v>7</v>
      </c>
      <c r="H97" s="29" t="s">
        <v>8</v>
      </c>
      <c r="I97" s="29" t="s">
        <v>9</v>
      </c>
      <c r="J97" s="29" t="s">
        <v>10</v>
      </c>
      <c r="K97" s="29" t="s">
        <v>11</v>
      </c>
    </row>
    <row r="98" spans="1:11" hidden="1">
      <c r="A98" s="2" t="s">
        <v>53</v>
      </c>
      <c r="B98" s="2">
        <v>0</v>
      </c>
      <c r="C98" s="2">
        <v>4</v>
      </c>
      <c r="D98" s="2">
        <f>C98-B98</f>
        <v>4</v>
      </c>
      <c r="E98" s="4">
        <f>9566.97*1.15</f>
        <v>11002.015499999998</v>
      </c>
      <c r="F98" s="4"/>
      <c r="G98" s="2" t="s">
        <v>54</v>
      </c>
      <c r="H98" s="2" t="s">
        <v>75</v>
      </c>
      <c r="I98" s="2">
        <v>30</v>
      </c>
      <c r="J98" s="2">
        <f>D98/I98</f>
        <v>0.13333333333333333</v>
      </c>
      <c r="K98" s="4">
        <f>E100/D98</f>
        <v>2750.5038749999994</v>
      </c>
    </row>
    <row r="99" spans="1:11" hidden="1">
      <c r="A99" s="2" t="s">
        <v>56</v>
      </c>
      <c r="B99" s="2">
        <f>C91</f>
        <v>59237</v>
      </c>
      <c r="C99" s="2">
        <v>60991</v>
      </c>
      <c r="D99" s="2">
        <f>C99-B99</f>
        <v>1754</v>
      </c>
      <c r="E99" s="4">
        <f>25254.21*1.15</f>
        <v>29042.341499999995</v>
      </c>
      <c r="F99" s="4">
        <f>1352.52*1.15</f>
        <v>1555.3979999999999</v>
      </c>
      <c r="G99" s="2" t="s">
        <v>29</v>
      </c>
      <c r="H99" s="2" t="s">
        <v>76</v>
      </c>
      <c r="I99" s="2">
        <v>58</v>
      </c>
      <c r="J99" s="2">
        <f>D99/I99</f>
        <v>30.241379310344829</v>
      </c>
      <c r="K99" s="4">
        <f>E99/D99</f>
        <v>16.55777736602052</v>
      </c>
    </row>
    <row r="100" spans="1:11" hidden="1">
      <c r="A100" s="2" t="s">
        <v>58</v>
      </c>
      <c r="B100" s="2"/>
      <c r="C100" s="2"/>
      <c r="D100" s="2"/>
      <c r="E100" s="4">
        <f>E98+F98</f>
        <v>11002.015499999998</v>
      </c>
      <c r="F100" s="4"/>
      <c r="G100" s="2"/>
      <c r="H100" s="2"/>
      <c r="I100" s="2"/>
      <c r="J100" s="2"/>
      <c r="K100" s="2"/>
    </row>
    <row r="101" spans="1:11" hidden="1">
      <c r="A101" s="2" t="s">
        <v>59</v>
      </c>
      <c r="B101" s="2"/>
      <c r="C101" s="2"/>
      <c r="D101" s="2"/>
      <c r="E101" s="4">
        <f>E99+F99</f>
        <v>30597.739499999996</v>
      </c>
      <c r="F101" s="4"/>
      <c r="G101" s="2"/>
      <c r="H101" s="2"/>
      <c r="I101" s="2"/>
      <c r="J101" s="2"/>
      <c r="K101" s="2"/>
    </row>
    <row r="102" spans="1:11" hidden="1">
      <c r="A102" s="2" t="s">
        <v>60</v>
      </c>
      <c r="B102" s="2"/>
      <c r="C102" s="2"/>
      <c r="D102" s="2"/>
      <c r="E102" s="4">
        <f>E100-E101</f>
        <v>-19595.723999999998</v>
      </c>
      <c r="F102" s="4"/>
      <c r="G102" s="2"/>
      <c r="H102" s="2"/>
      <c r="I102" s="2"/>
      <c r="J102" s="2"/>
      <c r="K102" s="2"/>
    </row>
    <row r="103" spans="1:11" hidden="1"/>
    <row r="104" spans="1:11" hidden="1">
      <c r="A104" s="30">
        <v>44105</v>
      </c>
      <c r="B104" s="31"/>
      <c r="C104" s="31"/>
      <c r="D104" s="31"/>
      <c r="E104" s="31"/>
      <c r="F104" s="31"/>
      <c r="G104" s="2"/>
      <c r="H104" s="2"/>
      <c r="I104" s="2"/>
      <c r="J104" s="2"/>
      <c r="K104" s="2"/>
    </row>
    <row r="105" spans="1:11" hidden="1">
      <c r="A105" s="31" t="s">
        <v>47</v>
      </c>
      <c r="B105" s="31" t="s">
        <v>48</v>
      </c>
      <c r="C105" s="31" t="s">
        <v>49</v>
      </c>
      <c r="D105" s="31" t="s">
        <v>50</v>
      </c>
      <c r="E105" s="31" t="s">
        <v>51</v>
      </c>
      <c r="F105" s="31" t="s">
        <v>52</v>
      </c>
      <c r="G105" s="29" t="s">
        <v>7</v>
      </c>
      <c r="H105" s="29" t="s">
        <v>8</v>
      </c>
      <c r="I105" s="29" t="s">
        <v>9</v>
      </c>
      <c r="J105" s="29" t="s">
        <v>10</v>
      </c>
      <c r="K105" s="29" t="s">
        <v>11</v>
      </c>
    </row>
    <row r="106" spans="1:11" hidden="1">
      <c r="A106" s="2" t="s">
        <v>53</v>
      </c>
      <c r="B106" s="2">
        <f>C98</f>
        <v>4</v>
      </c>
      <c r="C106" s="2">
        <v>4</v>
      </c>
      <c r="D106" s="2">
        <f>C106-B106</f>
        <v>0</v>
      </c>
      <c r="E106" s="4">
        <f>9566.97*1.15</f>
        <v>11002.015499999998</v>
      </c>
      <c r="F106" s="4"/>
      <c r="G106" s="2" t="s">
        <v>54</v>
      </c>
      <c r="H106" s="2" t="s">
        <v>77</v>
      </c>
      <c r="I106" s="2">
        <v>30</v>
      </c>
      <c r="J106" s="2">
        <f>D106/I106</f>
        <v>0</v>
      </c>
      <c r="K106" s="4" t="e">
        <f>E108/D106</f>
        <v>#DIV/0!</v>
      </c>
    </row>
    <row r="107" spans="1:11" hidden="1">
      <c r="A107" s="2" t="s">
        <v>56</v>
      </c>
      <c r="B107" s="2">
        <f>C99</f>
        <v>60991</v>
      </c>
      <c r="C107" s="2">
        <v>61956</v>
      </c>
      <c r="D107" s="2">
        <f>C107-B107</f>
        <v>965</v>
      </c>
      <c r="E107" s="4">
        <f>13933.36*1.15</f>
        <v>16023.364</v>
      </c>
      <c r="F107" s="4">
        <f>1352.52*1.15</f>
        <v>1555.3979999999999</v>
      </c>
      <c r="G107" s="2" t="s">
        <v>29</v>
      </c>
      <c r="H107" s="2" t="s">
        <v>78</v>
      </c>
      <c r="I107" s="2">
        <v>32</v>
      </c>
      <c r="J107" s="2">
        <f>D107/I107</f>
        <v>30.15625</v>
      </c>
      <c r="K107" s="4">
        <f>E107/D107</f>
        <v>16.604522279792747</v>
      </c>
    </row>
    <row r="108" spans="1:11" hidden="1">
      <c r="A108" s="2" t="s">
        <v>58</v>
      </c>
      <c r="B108" s="2"/>
      <c r="C108" s="2"/>
      <c r="D108" s="2"/>
      <c r="E108" s="4">
        <f>E106+F106</f>
        <v>11002.015499999998</v>
      </c>
      <c r="F108" s="4"/>
      <c r="G108" s="2"/>
      <c r="H108" s="2"/>
      <c r="I108" s="2"/>
      <c r="J108" s="2"/>
      <c r="K108" s="2"/>
    </row>
    <row r="109" spans="1:11" hidden="1">
      <c r="A109" s="2" t="s">
        <v>59</v>
      </c>
      <c r="B109" s="2"/>
      <c r="C109" s="2"/>
      <c r="D109" s="2"/>
      <c r="E109" s="4">
        <f>E107+F107</f>
        <v>17578.761999999999</v>
      </c>
      <c r="F109" s="4"/>
      <c r="G109" s="2"/>
      <c r="H109" s="2"/>
      <c r="I109" s="2"/>
      <c r="J109" s="2"/>
      <c r="K109" s="2"/>
    </row>
    <row r="110" spans="1:11" hidden="1">
      <c r="A110" s="2" t="s">
        <v>60</v>
      </c>
      <c r="B110" s="2"/>
      <c r="C110" s="2"/>
      <c r="D110" s="2"/>
      <c r="E110" s="4">
        <f>E108-E109</f>
        <v>-6576.7465000000011</v>
      </c>
      <c r="F110" s="4"/>
      <c r="G110" s="2"/>
      <c r="H110" s="2"/>
      <c r="I110" s="2"/>
      <c r="J110" s="2"/>
      <c r="K110" s="2"/>
    </row>
    <row r="111" spans="1:11" hidden="1"/>
    <row r="112" spans="1:11" hidden="1">
      <c r="A112" s="30">
        <v>44136</v>
      </c>
      <c r="B112" s="31"/>
      <c r="C112" s="31"/>
      <c r="D112" s="31"/>
      <c r="E112" s="31"/>
      <c r="F112" s="31"/>
      <c r="G112" s="2"/>
      <c r="H112" s="2"/>
      <c r="I112" s="2"/>
      <c r="J112" s="2"/>
      <c r="K112" s="2"/>
    </row>
    <row r="113" spans="1:12" hidden="1">
      <c r="A113" s="31" t="s">
        <v>47</v>
      </c>
      <c r="B113" s="31" t="s">
        <v>48</v>
      </c>
      <c r="C113" s="31" t="s">
        <v>49</v>
      </c>
      <c r="D113" s="31" t="s">
        <v>50</v>
      </c>
      <c r="E113" s="31" t="s">
        <v>51</v>
      </c>
      <c r="F113" s="31" t="s">
        <v>52</v>
      </c>
      <c r="G113" s="29" t="s">
        <v>7</v>
      </c>
      <c r="H113" s="29" t="s">
        <v>8</v>
      </c>
      <c r="I113" s="29" t="s">
        <v>9</v>
      </c>
      <c r="J113" s="29" t="s">
        <v>10</v>
      </c>
      <c r="K113" s="29" t="s">
        <v>11</v>
      </c>
    </row>
    <row r="114" spans="1:12" hidden="1">
      <c r="A114" s="2" t="s">
        <v>53</v>
      </c>
      <c r="B114" s="2">
        <f>C106</f>
        <v>4</v>
      </c>
      <c r="C114" s="2">
        <v>228</v>
      </c>
      <c r="D114" s="2">
        <f>C114-B114</f>
        <v>224</v>
      </c>
      <c r="E114" s="4">
        <f>9566.97*1.15</f>
        <v>11002.015499999998</v>
      </c>
      <c r="F114" s="4"/>
      <c r="G114" s="2" t="s">
        <v>54</v>
      </c>
      <c r="H114" s="2" t="s">
        <v>79</v>
      </c>
      <c r="I114" s="2">
        <v>33</v>
      </c>
      <c r="J114" s="2">
        <f>D114/I114</f>
        <v>6.7878787878787881</v>
      </c>
      <c r="K114" s="4">
        <f>E116/D114</f>
        <v>49.116140624999993</v>
      </c>
    </row>
    <row r="115" spans="1:12" hidden="1">
      <c r="A115" s="2" t="s">
        <v>56</v>
      </c>
      <c r="B115" s="2">
        <f>C107</f>
        <v>61956</v>
      </c>
      <c r="C115" s="2">
        <v>62836</v>
      </c>
      <c r="D115" s="2">
        <f>C115-B115</f>
        <v>880</v>
      </c>
      <c r="E115" s="4">
        <f>12627.11*1.15</f>
        <v>14521.1765</v>
      </c>
      <c r="F115" s="4">
        <f>1352.52*1.15</f>
        <v>1555.3979999999999</v>
      </c>
      <c r="G115" s="2" t="s">
        <v>29</v>
      </c>
      <c r="H115" s="2" t="s">
        <v>78</v>
      </c>
      <c r="I115" s="2">
        <v>32</v>
      </c>
      <c r="J115" s="2">
        <f>D115/I115</f>
        <v>27.5</v>
      </c>
      <c r="K115" s="4">
        <f>E115/D115</f>
        <v>16.50133693181818</v>
      </c>
    </row>
    <row r="116" spans="1:12" hidden="1">
      <c r="A116" s="2" t="s">
        <v>58</v>
      </c>
      <c r="B116" s="2"/>
      <c r="C116" s="2"/>
      <c r="D116" s="2"/>
      <c r="E116" s="4">
        <f>E114+F114</f>
        <v>11002.015499999998</v>
      </c>
      <c r="F116" s="4"/>
      <c r="G116" s="2"/>
      <c r="H116" s="2"/>
      <c r="I116" s="2"/>
      <c r="J116" s="2"/>
      <c r="K116" s="2"/>
    </row>
    <row r="117" spans="1:12" hidden="1">
      <c r="A117" s="2" t="s">
        <v>59</v>
      </c>
      <c r="B117" s="2"/>
      <c r="C117" s="2"/>
      <c r="D117" s="2"/>
      <c r="E117" s="4">
        <f>E115+F115</f>
        <v>16076.574499999999</v>
      </c>
      <c r="F117" s="4"/>
      <c r="G117" s="2"/>
      <c r="H117" s="2"/>
      <c r="I117" s="2"/>
      <c r="J117" s="2"/>
      <c r="K117" s="2"/>
    </row>
    <row r="118" spans="1:12" hidden="1">
      <c r="A118" s="2" t="s">
        <v>60</v>
      </c>
      <c r="B118" s="2"/>
      <c r="C118" s="2"/>
      <c r="D118" s="2"/>
      <c r="E118" s="4">
        <f>E116-E117</f>
        <v>-5074.5590000000011</v>
      </c>
      <c r="F118" s="4"/>
      <c r="G118" s="2"/>
      <c r="H118" s="2"/>
      <c r="I118" s="2"/>
      <c r="J118" s="2"/>
      <c r="K118" s="2"/>
    </row>
    <row r="119" spans="1:12" hidden="1"/>
    <row r="120" spans="1:12" hidden="1">
      <c r="A120" s="30">
        <v>44166</v>
      </c>
      <c r="B120" s="31"/>
      <c r="C120" s="31"/>
      <c r="D120" s="31"/>
      <c r="E120" s="31"/>
      <c r="F120" s="31"/>
      <c r="G120" s="2"/>
      <c r="H120" s="2"/>
      <c r="I120" s="2"/>
      <c r="J120" s="2"/>
      <c r="K120" s="2"/>
    </row>
    <row r="121" spans="1:12" hidden="1">
      <c r="A121" s="31" t="s">
        <v>47</v>
      </c>
      <c r="B121" s="31" t="s">
        <v>48</v>
      </c>
      <c r="C121" s="31" t="s">
        <v>49</v>
      </c>
      <c r="D121" s="31" t="s">
        <v>50</v>
      </c>
      <c r="E121" s="31" t="s">
        <v>51</v>
      </c>
      <c r="F121" s="31" t="s">
        <v>52</v>
      </c>
      <c r="G121" s="29" t="s">
        <v>7</v>
      </c>
      <c r="H121" s="29" t="s">
        <v>8</v>
      </c>
      <c r="I121" s="29" t="s">
        <v>9</v>
      </c>
      <c r="J121" s="29" t="s">
        <v>10</v>
      </c>
      <c r="K121" s="29" t="s">
        <v>11</v>
      </c>
    </row>
    <row r="122" spans="1:12" hidden="1">
      <c r="A122" s="2" t="s">
        <v>53</v>
      </c>
      <c r="B122" s="2">
        <f>C114</f>
        <v>228</v>
      </c>
      <c r="C122" s="2">
        <v>729</v>
      </c>
      <c r="D122" s="2">
        <f>C122-B122</f>
        <v>501</v>
      </c>
      <c r="E122" s="4">
        <f>9566.97*1.15</f>
        <v>11002.015499999998</v>
      </c>
      <c r="F122" s="4"/>
      <c r="G122" s="2" t="s">
        <v>54</v>
      </c>
      <c r="H122" s="2" t="s">
        <v>80</v>
      </c>
      <c r="I122" s="2">
        <v>32</v>
      </c>
      <c r="J122" s="2">
        <f>D122/I122</f>
        <v>15.65625</v>
      </c>
      <c r="K122" s="4">
        <f>E124/D122</f>
        <v>21.960110778443109</v>
      </c>
    </row>
    <row r="123" spans="1:12" hidden="1">
      <c r="A123" s="2" t="s">
        <v>56</v>
      </c>
      <c r="B123" s="2">
        <f>C115</f>
        <v>62836</v>
      </c>
      <c r="C123" s="2">
        <v>63865</v>
      </c>
      <c r="D123" s="2">
        <f>C123-B123</f>
        <v>1029</v>
      </c>
      <c r="E123" s="4">
        <f>14804.2*1.15</f>
        <v>17024.829999999998</v>
      </c>
      <c r="F123" s="4">
        <f>1352.52*1.15</f>
        <v>1555.3979999999999</v>
      </c>
      <c r="G123" s="2" t="s">
        <v>29</v>
      </c>
      <c r="H123" s="2" t="s">
        <v>81</v>
      </c>
      <c r="I123" s="2">
        <v>34</v>
      </c>
      <c r="J123" s="2">
        <f>D123/I123</f>
        <v>30.264705882352942</v>
      </c>
      <c r="K123" s="4">
        <f>E123/D123</f>
        <v>16.545024295432455</v>
      </c>
    </row>
    <row r="124" spans="1:12" hidden="1">
      <c r="A124" s="2" t="s">
        <v>58</v>
      </c>
      <c r="B124" s="2"/>
      <c r="C124" s="2"/>
      <c r="D124" s="2"/>
      <c r="E124" s="4">
        <f>E122+F122</f>
        <v>11002.015499999998</v>
      </c>
      <c r="F124" s="4"/>
      <c r="G124" s="2"/>
      <c r="H124" s="2"/>
      <c r="I124" s="2"/>
      <c r="J124" s="2"/>
      <c r="K124" s="2"/>
    </row>
    <row r="125" spans="1:12" hidden="1">
      <c r="A125" s="2" t="s">
        <v>59</v>
      </c>
      <c r="B125" s="2"/>
      <c r="C125" s="2"/>
      <c r="D125" s="2"/>
      <c r="E125" s="4">
        <f>E123+F123</f>
        <v>18580.227999999999</v>
      </c>
      <c r="F125" s="4"/>
      <c r="G125" s="2"/>
      <c r="H125" s="2"/>
      <c r="I125" s="2"/>
      <c r="J125" s="2"/>
      <c r="K125" s="2"/>
    </row>
    <row r="126" spans="1:12" hidden="1">
      <c r="A126" s="2" t="s">
        <v>60</v>
      </c>
      <c r="B126" s="2"/>
      <c r="C126" s="2"/>
      <c r="D126" s="2"/>
      <c r="E126" s="4">
        <f>E124-E125</f>
        <v>-7578.2125000000015</v>
      </c>
      <c r="F126" s="4"/>
      <c r="G126" s="2"/>
      <c r="H126" s="2"/>
      <c r="I126" s="2"/>
      <c r="J126" s="2"/>
      <c r="K126" s="2"/>
    </row>
    <row r="128" spans="1:12">
      <c r="A128" s="30">
        <v>44197</v>
      </c>
      <c r="B128" s="36"/>
      <c r="C128" s="36"/>
      <c r="D128" s="36"/>
      <c r="E128" s="36"/>
      <c r="F128" s="37"/>
      <c r="G128" s="39"/>
      <c r="H128" s="39"/>
      <c r="I128" s="39"/>
      <c r="J128" s="39"/>
      <c r="K128" s="39"/>
      <c r="L128" s="39"/>
    </row>
    <row r="129" spans="1:12" hidden="1">
      <c r="A129" s="36" t="s">
        <v>47</v>
      </c>
      <c r="B129" s="36" t="s">
        <v>48</v>
      </c>
      <c r="C129" s="36" t="s">
        <v>49</v>
      </c>
      <c r="D129" s="36" t="s">
        <v>50</v>
      </c>
      <c r="E129" s="40" t="s">
        <v>51</v>
      </c>
      <c r="F129" s="41" t="s">
        <v>82</v>
      </c>
      <c r="G129" s="42" t="s">
        <v>52</v>
      </c>
      <c r="H129" s="43" t="s">
        <v>7</v>
      </c>
      <c r="I129" s="43" t="s">
        <v>8</v>
      </c>
      <c r="J129" s="43" t="s">
        <v>9</v>
      </c>
      <c r="K129" s="43" t="s">
        <v>10</v>
      </c>
      <c r="L129" s="43" t="s">
        <v>11</v>
      </c>
    </row>
    <row r="130" spans="1:12" hidden="1">
      <c r="A130" s="39" t="s">
        <v>53</v>
      </c>
      <c r="B130" s="39">
        <v>729</v>
      </c>
      <c r="C130" s="39">
        <v>1229</v>
      </c>
      <c r="D130" s="39">
        <v>500</v>
      </c>
      <c r="E130" s="44" t="s">
        <v>83</v>
      </c>
      <c r="F130" s="45" t="s">
        <v>84</v>
      </c>
      <c r="G130" s="46" t="s">
        <v>85</v>
      </c>
      <c r="H130" s="39" t="s">
        <v>19</v>
      </c>
      <c r="I130" s="39" t="s">
        <v>86</v>
      </c>
      <c r="J130" s="39">
        <v>27</v>
      </c>
      <c r="K130" s="39">
        <v>18.518518520000001</v>
      </c>
      <c r="L130" s="39" t="s">
        <v>87</v>
      </c>
    </row>
    <row r="131" spans="1:12" hidden="1">
      <c r="A131" s="39" t="s">
        <v>56</v>
      </c>
      <c r="B131" s="39">
        <v>63865</v>
      </c>
      <c r="C131" s="39">
        <v>64711</v>
      </c>
      <c r="D131" s="39">
        <v>846</v>
      </c>
      <c r="E131" s="44" t="s">
        <v>88</v>
      </c>
      <c r="F131" s="45"/>
      <c r="G131" s="46" t="s">
        <v>89</v>
      </c>
      <c r="H131" s="39" t="s">
        <v>29</v>
      </c>
      <c r="I131" s="39" t="s">
        <v>90</v>
      </c>
      <c r="J131" s="39">
        <v>28</v>
      </c>
      <c r="K131" s="39">
        <v>30.214285709999999</v>
      </c>
      <c r="L131" s="39" t="s">
        <v>91</v>
      </c>
    </row>
    <row r="132" spans="1:12" hidden="1">
      <c r="A132" s="39" t="s">
        <v>58</v>
      </c>
      <c r="B132" s="39"/>
      <c r="C132" s="39"/>
      <c r="D132" s="39"/>
      <c r="E132" s="44" t="s">
        <v>92</v>
      </c>
      <c r="F132" s="45"/>
      <c r="G132" s="46"/>
      <c r="H132" s="39"/>
      <c r="I132" s="39"/>
      <c r="J132" s="39"/>
      <c r="K132" s="39"/>
      <c r="L132" s="39"/>
    </row>
    <row r="133" spans="1:12" hidden="1">
      <c r="A133" s="39" t="s">
        <v>59</v>
      </c>
      <c r="B133" s="39"/>
      <c r="C133" s="39"/>
      <c r="D133" s="39"/>
      <c r="E133" s="44" t="s">
        <v>93</v>
      </c>
      <c r="F133" s="45"/>
      <c r="G133" s="46"/>
      <c r="H133" s="39"/>
      <c r="I133" s="39"/>
      <c r="J133" s="39"/>
      <c r="K133" s="39"/>
      <c r="L133" s="39"/>
    </row>
    <row r="134" spans="1:12" hidden="1">
      <c r="A134" s="39" t="s">
        <v>60</v>
      </c>
      <c r="B134" s="39"/>
      <c r="C134" s="39"/>
      <c r="D134" s="39"/>
      <c r="E134" s="44" t="s">
        <v>94</v>
      </c>
      <c r="F134" s="45"/>
      <c r="G134" s="46"/>
      <c r="H134" s="39"/>
      <c r="I134" s="39"/>
      <c r="J134" s="39"/>
      <c r="K134" s="39"/>
      <c r="L134" s="39"/>
    </row>
    <row r="135" spans="1:12" hidden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</row>
    <row r="136" spans="1:12" hidden="1">
      <c r="A136" s="30">
        <v>44228</v>
      </c>
      <c r="B136" s="36"/>
      <c r="C136" s="36"/>
      <c r="D136" s="36"/>
      <c r="E136" s="36"/>
      <c r="F136" s="37"/>
      <c r="G136" s="36"/>
      <c r="H136" s="39"/>
      <c r="I136" s="39"/>
      <c r="J136" s="39"/>
      <c r="K136" s="39"/>
      <c r="L136" s="39"/>
    </row>
    <row r="137" spans="1:12" hidden="1">
      <c r="A137" s="36" t="s">
        <v>47</v>
      </c>
      <c r="B137" s="36" t="s">
        <v>48</v>
      </c>
      <c r="C137" s="36" t="s">
        <v>49</v>
      </c>
      <c r="D137" s="36" t="s">
        <v>50</v>
      </c>
      <c r="E137" s="36" t="s">
        <v>51</v>
      </c>
      <c r="F137" s="41" t="s">
        <v>82</v>
      </c>
      <c r="G137" s="36" t="s">
        <v>52</v>
      </c>
      <c r="H137" s="43" t="s">
        <v>7</v>
      </c>
      <c r="I137" s="43" t="s">
        <v>8</v>
      </c>
      <c r="J137" s="43" t="s">
        <v>9</v>
      </c>
      <c r="K137" s="43" t="s">
        <v>10</v>
      </c>
      <c r="L137" s="43" t="s">
        <v>11</v>
      </c>
    </row>
    <row r="138" spans="1:12" hidden="1">
      <c r="A138" s="39" t="s">
        <v>53</v>
      </c>
      <c r="B138" s="39">
        <v>1229</v>
      </c>
      <c r="C138" s="39">
        <v>1620</v>
      </c>
      <c r="D138" s="39">
        <v>391</v>
      </c>
      <c r="E138" s="39" t="s">
        <v>95</v>
      </c>
      <c r="F138" s="45" t="s">
        <v>96</v>
      </c>
      <c r="G138" s="39" t="s">
        <v>85</v>
      </c>
      <c r="H138" s="39" t="s">
        <v>19</v>
      </c>
      <c r="I138" s="39" t="s">
        <v>97</v>
      </c>
      <c r="J138" s="39">
        <v>25</v>
      </c>
      <c r="K138" s="39">
        <v>15.64</v>
      </c>
      <c r="L138" s="39" t="s">
        <v>98</v>
      </c>
    </row>
    <row r="139" spans="1:12" hidden="1">
      <c r="A139" s="39" t="s">
        <v>56</v>
      </c>
      <c r="B139" s="39">
        <v>47665</v>
      </c>
      <c r="C139" s="39">
        <v>66130</v>
      </c>
      <c r="D139" s="39">
        <v>18465</v>
      </c>
      <c r="E139" s="39" t="s">
        <v>99</v>
      </c>
      <c r="F139" s="45"/>
      <c r="G139" s="39" t="s">
        <v>89</v>
      </c>
      <c r="H139" s="39" t="s">
        <v>19</v>
      </c>
      <c r="I139" s="39" t="s">
        <v>100</v>
      </c>
      <c r="J139" s="39">
        <v>674</v>
      </c>
      <c r="K139" s="39">
        <v>27.396142430000001</v>
      </c>
      <c r="L139" s="39" t="s">
        <v>101</v>
      </c>
    </row>
    <row r="140" spans="1:12" hidden="1">
      <c r="A140" s="39" t="s">
        <v>58</v>
      </c>
      <c r="B140" s="39"/>
      <c r="C140" s="39"/>
      <c r="D140" s="39"/>
      <c r="E140" s="39" t="s">
        <v>102</v>
      </c>
      <c r="F140" s="45"/>
      <c r="G140" s="39"/>
      <c r="H140" s="39"/>
      <c r="I140" s="39"/>
      <c r="J140" s="39"/>
      <c r="K140" s="39"/>
      <c r="L140" s="39"/>
    </row>
    <row r="141" spans="1:12" hidden="1">
      <c r="A141" s="39" t="s">
        <v>59</v>
      </c>
      <c r="B141" s="39"/>
      <c r="C141" s="39"/>
      <c r="D141" s="39"/>
      <c r="E141" s="39" t="s">
        <v>103</v>
      </c>
      <c r="F141" s="45"/>
      <c r="G141" s="39"/>
      <c r="H141" s="39"/>
      <c r="I141" s="39"/>
      <c r="J141" s="39"/>
      <c r="K141" s="39"/>
      <c r="L141" s="39"/>
    </row>
    <row r="142" spans="1:12" hidden="1">
      <c r="A142" s="39" t="s">
        <v>60</v>
      </c>
      <c r="B142" s="39"/>
      <c r="C142" s="39"/>
      <c r="D142" s="39"/>
      <c r="E142" s="39" t="s">
        <v>104</v>
      </c>
      <c r="F142" s="45"/>
      <c r="G142" s="39"/>
      <c r="H142" s="39"/>
      <c r="I142" s="39"/>
      <c r="J142" s="39"/>
      <c r="K142" s="39"/>
      <c r="L142" s="39"/>
    </row>
    <row r="143" spans="1:12" hidden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</row>
    <row r="144" spans="1:12" hidden="1">
      <c r="A144" s="30">
        <v>44256</v>
      </c>
      <c r="B144" s="36"/>
      <c r="C144" s="36"/>
      <c r="D144" s="36"/>
      <c r="E144" s="36"/>
      <c r="F144" s="37"/>
      <c r="G144" s="36"/>
      <c r="H144" s="39"/>
      <c r="I144" s="39"/>
      <c r="J144" s="39"/>
      <c r="K144" s="39"/>
      <c r="L144" s="39"/>
    </row>
    <row r="145" spans="1:12" hidden="1">
      <c r="A145" s="36" t="s">
        <v>47</v>
      </c>
      <c r="B145" s="36" t="s">
        <v>48</v>
      </c>
      <c r="C145" s="36" t="s">
        <v>49</v>
      </c>
      <c r="D145" s="36" t="s">
        <v>50</v>
      </c>
      <c r="E145" s="36" t="s">
        <v>51</v>
      </c>
      <c r="F145" s="41" t="s">
        <v>82</v>
      </c>
      <c r="G145" s="36" t="s">
        <v>52</v>
      </c>
      <c r="H145" s="43" t="s">
        <v>7</v>
      </c>
      <c r="I145" s="43" t="s">
        <v>8</v>
      </c>
      <c r="J145" s="43" t="s">
        <v>9</v>
      </c>
      <c r="K145" s="43" t="s">
        <v>10</v>
      </c>
      <c r="L145" s="43" t="s">
        <v>11</v>
      </c>
    </row>
    <row r="146" spans="1:12" hidden="1">
      <c r="A146" s="39" t="s">
        <v>53</v>
      </c>
      <c r="B146" s="39">
        <v>1620</v>
      </c>
      <c r="C146" s="39">
        <v>2137</v>
      </c>
      <c r="D146" s="39">
        <v>517</v>
      </c>
      <c r="E146" s="39" t="s">
        <v>105</v>
      </c>
      <c r="F146" s="45" t="s">
        <v>106</v>
      </c>
      <c r="G146" s="39" t="s">
        <v>85</v>
      </c>
      <c r="H146" s="39" t="s">
        <v>19</v>
      </c>
      <c r="I146" s="39" t="s">
        <v>107</v>
      </c>
      <c r="J146" s="39">
        <v>37</v>
      </c>
      <c r="K146" s="39">
        <v>13.972972970000001</v>
      </c>
      <c r="L146" s="39" t="s">
        <v>108</v>
      </c>
    </row>
    <row r="147" spans="1:12" hidden="1">
      <c r="A147" s="39" t="s">
        <v>56</v>
      </c>
      <c r="B147" s="39">
        <v>1260</v>
      </c>
      <c r="C147" s="39">
        <v>1735</v>
      </c>
      <c r="D147" s="39">
        <v>475</v>
      </c>
      <c r="E147" s="39" t="s">
        <v>109</v>
      </c>
      <c r="F147" s="45"/>
      <c r="G147" s="39" t="s">
        <v>89</v>
      </c>
      <c r="H147" s="39" t="s">
        <v>19</v>
      </c>
      <c r="I147" s="39" t="s">
        <v>110</v>
      </c>
      <c r="J147" s="39">
        <v>28</v>
      </c>
      <c r="K147" s="39">
        <v>16.964285709999999</v>
      </c>
      <c r="L147" s="39" t="e" cm="1" vm="1">
        <f t="array" ref="L147">-_FV(R17,"45")</f>
        <v>#VALUE!</v>
      </c>
    </row>
    <row r="148" spans="1:12" hidden="1">
      <c r="A148" s="39" t="s">
        <v>58</v>
      </c>
      <c r="B148" s="39"/>
      <c r="C148" s="39"/>
      <c r="D148" s="39"/>
      <c r="E148" s="39" t="s">
        <v>111</v>
      </c>
      <c r="F148" s="45"/>
      <c r="G148" s="39"/>
      <c r="H148" s="39"/>
      <c r="I148" s="39"/>
      <c r="J148" s="39"/>
      <c r="K148" s="39"/>
      <c r="L148" s="39"/>
    </row>
    <row r="149" spans="1:12" hidden="1">
      <c r="A149" s="39" t="s">
        <v>59</v>
      </c>
      <c r="B149" s="39"/>
      <c r="C149" s="39"/>
      <c r="D149" s="39"/>
      <c r="E149" s="39" t="s">
        <v>112</v>
      </c>
      <c r="F149" s="45"/>
      <c r="G149" s="39"/>
      <c r="H149" s="39"/>
      <c r="I149" s="39"/>
      <c r="J149" s="39"/>
      <c r="K149" s="39"/>
      <c r="L149" s="39"/>
    </row>
    <row r="150" spans="1:12" hidden="1">
      <c r="A150" s="39" t="s">
        <v>60</v>
      </c>
      <c r="B150" s="39"/>
      <c r="C150" s="39"/>
      <c r="D150" s="39"/>
      <c r="E150" s="39" t="s">
        <v>113</v>
      </c>
      <c r="F150" s="45"/>
      <c r="G150" s="39"/>
      <c r="H150" s="39"/>
      <c r="I150" s="39"/>
      <c r="J150" s="39"/>
      <c r="K150" s="39"/>
      <c r="L150" s="39"/>
    </row>
    <row r="151" spans="1:12" hidden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</row>
    <row r="152" spans="1:12" hidden="1">
      <c r="A152" s="30">
        <v>44287</v>
      </c>
      <c r="B152" s="36"/>
      <c r="C152" s="36"/>
      <c r="D152" s="36"/>
      <c r="E152" s="36"/>
      <c r="F152" s="37"/>
      <c r="G152" s="36"/>
      <c r="H152" s="39"/>
      <c r="I152" s="39"/>
      <c r="J152" s="39"/>
      <c r="K152" s="39"/>
      <c r="L152" s="39"/>
    </row>
    <row r="153" spans="1:12" hidden="1">
      <c r="A153" s="36" t="s">
        <v>47</v>
      </c>
      <c r="B153" s="36" t="s">
        <v>48</v>
      </c>
      <c r="C153" s="36" t="s">
        <v>49</v>
      </c>
      <c r="D153" s="36" t="s">
        <v>50</v>
      </c>
      <c r="E153" s="36" t="s">
        <v>51</v>
      </c>
      <c r="F153" s="41" t="s">
        <v>82</v>
      </c>
      <c r="G153" s="36" t="s">
        <v>52</v>
      </c>
      <c r="H153" s="43" t="s">
        <v>7</v>
      </c>
      <c r="I153" s="43" t="s">
        <v>8</v>
      </c>
      <c r="J153" s="43" t="s">
        <v>9</v>
      </c>
      <c r="K153" s="43" t="s">
        <v>10</v>
      </c>
      <c r="L153" s="43" t="s">
        <v>11</v>
      </c>
    </row>
    <row r="154" spans="1:12" hidden="1">
      <c r="A154" s="39" t="s">
        <v>53</v>
      </c>
      <c r="B154" s="39">
        <v>2137</v>
      </c>
      <c r="C154" s="39">
        <v>2564</v>
      </c>
      <c r="D154" s="39">
        <v>427</v>
      </c>
      <c r="E154" s="39" t="s">
        <v>114</v>
      </c>
      <c r="F154" s="45" t="s">
        <v>115</v>
      </c>
      <c r="G154" s="39" t="s">
        <v>85</v>
      </c>
      <c r="H154" s="39" t="s">
        <v>19</v>
      </c>
      <c r="I154" s="39" t="s">
        <v>116</v>
      </c>
      <c r="J154" s="39">
        <v>29</v>
      </c>
      <c r="K154" s="39">
        <v>14.724137929999999</v>
      </c>
      <c r="L154" s="39" t="s">
        <v>117</v>
      </c>
    </row>
    <row r="155" spans="1:12" hidden="1">
      <c r="A155" s="39" t="s">
        <v>56</v>
      </c>
      <c r="B155" s="39">
        <v>1735</v>
      </c>
      <c r="C155" s="39">
        <v>2234</v>
      </c>
      <c r="D155" s="39">
        <v>499</v>
      </c>
      <c r="E155" s="39" t="s">
        <v>118</v>
      </c>
      <c r="F155" s="45"/>
      <c r="G155" s="39" t="s">
        <v>89</v>
      </c>
      <c r="H155" s="39" t="s">
        <v>19</v>
      </c>
      <c r="I155" s="39" t="s">
        <v>119</v>
      </c>
      <c r="J155" s="39">
        <v>36</v>
      </c>
      <c r="K155" s="39">
        <v>13.86111111</v>
      </c>
      <c r="L155" s="39" t="s">
        <v>120</v>
      </c>
    </row>
    <row r="156" spans="1:12" hidden="1">
      <c r="A156" s="39" t="s">
        <v>58</v>
      </c>
      <c r="B156" s="39"/>
      <c r="C156" s="39"/>
      <c r="D156" s="39"/>
      <c r="E156" s="39" t="s">
        <v>121</v>
      </c>
      <c r="F156" s="45"/>
      <c r="G156" s="39"/>
      <c r="H156" s="39"/>
      <c r="I156" s="39"/>
      <c r="J156" s="39"/>
      <c r="K156" s="39"/>
      <c r="L156" s="39"/>
    </row>
    <row r="157" spans="1:12" hidden="1">
      <c r="A157" s="39" t="s">
        <v>59</v>
      </c>
      <c r="B157" s="39"/>
      <c r="C157" s="39"/>
      <c r="D157" s="39"/>
      <c r="E157" s="39" t="s">
        <v>122</v>
      </c>
      <c r="F157" s="45"/>
      <c r="G157" s="39"/>
      <c r="H157" s="39"/>
      <c r="I157" s="39"/>
      <c r="J157" s="39"/>
      <c r="K157" s="39"/>
      <c r="L157" s="39"/>
    </row>
    <row r="158" spans="1:12" hidden="1">
      <c r="A158" s="39" t="s">
        <v>60</v>
      </c>
      <c r="B158" s="39"/>
      <c r="C158" s="39"/>
      <c r="D158" s="39"/>
      <c r="E158" s="39" t="s">
        <v>123</v>
      </c>
      <c r="F158" s="45"/>
      <c r="G158" s="39"/>
      <c r="H158" s="39"/>
      <c r="I158" s="39"/>
      <c r="J158" s="39"/>
      <c r="K158" s="39"/>
      <c r="L158" s="39"/>
    </row>
    <row r="159" spans="1:12" hidden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</row>
    <row r="160" spans="1:12" hidden="1">
      <c r="A160" s="30">
        <v>44317</v>
      </c>
      <c r="B160" s="36"/>
      <c r="C160" s="36"/>
      <c r="D160" s="36"/>
      <c r="E160" s="36"/>
      <c r="F160" s="37"/>
      <c r="G160" s="36"/>
      <c r="H160" s="39"/>
      <c r="I160" s="39"/>
      <c r="J160" s="39"/>
      <c r="K160" s="39"/>
      <c r="L160" s="39"/>
    </row>
    <row r="161" spans="1:12" hidden="1">
      <c r="A161" s="36" t="s">
        <v>47</v>
      </c>
      <c r="B161" s="36" t="s">
        <v>48</v>
      </c>
      <c r="C161" s="36" t="s">
        <v>49</v>
      </c>
      <c r="D161" s="36" t="s">
        <v>50</v>
      </c>
      <c r="E161" s="36" t="s">
        <v>51</v>
      </c>
      <c r="F161" s="41" t="s">
        <v>82</v>
      </c>
      <c r="G161" s="36" t="s">
        <v>52</v>
      </c>
      <c r="H161" s="43" t="s">
        <v>7</v>
      </c>
      <c r="I161" s="43" t="s">
        <v>8</v>
      </c>
      <c r="J161" s="43" t="s">
        <v>9</v>
      </c>
      <c r="K161" s="43" t="s">
        <v>10</v>
      </c>
      <c r="L161" s="43" t="s">
        <v>11</v>
      </c>
    </row>
    <row r="162" spans="1:12" hidden="1">
      <c r="A162" s="39" t="s">
        <v>53</v>
      </c>
      <c r="B162" s="39">
        <v>2564</v>
      </c>
      <c r="C162" s="39">
        <v>2991</v>
      </c>
      <c r="D162" s="39">
        <v>427</v>
      </c>
      <c r="E162" s="39" t="s">
        <v>124</v>
      </c>
      <c r="F162" s="45" t="s">
        <v>125</v>
      </c>
      <c r="G162" s="39" t="s">
        <v>85</v>
      </c>
      <c r="H162" s="39" t="s">
        <v>19</v>
      </c>
      <c r="I162" s="39" t="s">
        <v>126</v>
      </c>
      <c r="J162" s="39">
        <v>29</v>
      </c>
      <c r="K162" s="39">
        <v>14.724137929999999</v>
      </c>
      <c r="L162" s="39" t="s">
        <v>127</v>
      </c>
    </row>
    <row r="163" spans="1:12" hidden="1">
      <c r="A163" s="39" t="s">
        <v>56</v>
      </c>
      <c r="B163" s="39">
        <v>2234</v>
      </c>
      <c r="C163" s="39">
        <v>2636</v>
      </c>
      <c r="D163" s="39">
        <v>402</v>
      </c>
      <c r="E163" s="39" t="s">
        <v>128</v>
      </c>
      <c r="F163" s="45"/>
      <c r="G163" s="39" t="s">
        <v>89</v>
      </c>
      <c r="H163" s="39" t="s">
        <v>19</v>
      </c>
      <c r="I163" s="39" t="s">
        <v>129</v>
      </c>
      <c r="J163" s="39">
        <v>27</v>
      </c>
      <c r="K163" s="39">
        <v>14.88888889</v>
      </c>
      <c r="L163" s="39" t="s">
        <v>130</v>
      </c>
    </row>
    <row r="164" spans="1:12" hidden="1">
      <c r="A164" s="39" t="s">
        <v>58</v>
      </c>
      <c r="B164" s="39"/>
      <c r="C164" s="39"/>
      <c r="D164" s="39"/>
      <c r="E164" s="39" t="s">
        <v>131</v>
      </c>
      <c r="F164" s="45"/>
      <c r="G164" s="39"/>
      <c r="H164" s="39"/>
      <c r="I164" s="39"/>
      <c r="J164" s="39"/>
      <c r="K164" s="39"/>
      <c r="L164" s="39"/>
    </row>
    <row r="165" spans="1:12" hidden="1">
      <c r="A165" s="39" t="s">
        <v>59</v>
      </c>
      <c r="B165" s="39"/>
      <c r="C165" s="39"/>
      <c r="D165" s="39"/>
      <c r="E165" s="39" t="s">
        <v>132</v>
      </c>
      <c r="F165" s="45"/>
      <c r="G165" s="39"/>
      <c r="H165" s="39"/>
      <c r="I165" s="39"/>
      <c r="J165" s="39"/>
      <c r="K165" s="39"/>
      <c r="L165" s="39"/>
    </row>
    <row r="166" spans="1:12" hidden="1">
      <c r="A166" s="39" t="s">
        <v>60</v>
      </c>
      <c r="B166" s="39"/>
      <c r="C166" s="39"/>
      <c r="D166" s="39"/>
      <c r="E166" s="39" t="s">
        <v>133</v>
      </c>
      <c r="F166" s="45"/>
      <c r="G166" s="39"/>
      <c r="H166" s="39"/>
      <c r="I166" s="39"/>
      <c r="J166" s="39"/>
      <c r="K166" s="39"/>
      <c r="L166" s="39"/>
    </row>
    <row r="167" spans="1:12" hidden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</row>
    <row r="168" spans="1:12" hidden="1">
      <c r="A168" s="30">
        <v>44348</v>
      </c>
      <c r="B168" s="36"/>
      <c r="C168" s="36"/>
      <c r="D168" s="36"/>
      <c r="E168" s="36"/>
      <c r="F168" s="37"/>
      <c r="G168" s="36"/>
      <c r="H168" s="39"/>
      <c r="I168" s="39"/>
      <c r="J168" s="39"/>
      <c r="K168" s="39"/>
      <c r="L168" s="39"/>
    </row>
    <row r="169" spans="1:12" hidden="1">
      <c r="A169" s="36" t="s">
        <v>47</v>
      </c>
      <c r="B169" s="36" t="s">
        <v>48</v>
      </c>
      <c r="C169" s="36" t="s">
        <v>49</v>
      </c>
      <c r="D169" s="36" t="s">
        <v>50</v>
      </c>
      <c r="E169" s="36" t="s">
        <v>51</v>
      </c>
      <c r="F169" s="41" t="s">
        <v>82</v>
      </c>
      <c r="G169" s="36" t="s">
        <v>52</v>
      </c>
      <c r="H169" s="43" t="s">
        <v>7</v>
      </c>
      <c r="I169" s="43" t="s">
        <v>8</v>
      </c>
      <c r="J169" s="43" t="s">
        <v>9</v>
      </c>
      <c r="K169" s="43" t="s">
        <v>10</v>
      </c>
      <c r="L169" s="43" t="s">
        <v>11</v>
      </c>
    </row>
    <row r="170" spans="1:12" hidden="1">
      <c r="A170" s="39" t="s">
        <v>53</v>
      </c>
      <c r="B170" s="39">
        <v>2991</v>
      </c>
      <c r="C170" s="39">
        <v>3466</v>
      </c>
      <c r="D170" s="39">
        <v>475</v>
      </c>
      <c r="E170" s="39" t="s">
        <v>134</v>
      </c>
      <c r="F170" s="45" t="s">
        <v>135</v>
      </c>
      <c r="G170" s="39" t="s">
        <v>136</v>
      </c>
      <c r="H170" s="39" t="s">
        <v>19</v>
      </c>
      <c r="I170" s="39" t="s">
        <v>137</v>
      </c>
      <c r="J170" s="39">
        <v>29</v>
      </c>
      <c r="K170" s="39">
        <v>16.37931034</v>
      </c>
      <c r="L170" s="39" t="s">
        <v>138</v>
      </c>
    </row>
    <row r="171" spans="1:12" hidden="1">
      <c r="A171" s="39" t="s">
        <v>56</v>
      </c>
      <c r="B171" s="39">
        <v>2636</v>
      </c>
      <c r="C171" s="39">
        <v>3102</v>
      </c>
      <c r="D171" s="39">
        <v>466</v>
      </c>
      <c r="E171" s="39" t="s">
        <v>139</v>
      </c>
      <c r="F171" s="45"/>
      <c r="G171" s="39" t="s">
        <v>140</v>
      </c>
      <c r="H171" s="39" t="s">
        <v>19</v>
      </c>
      <c r="I171" s="39" t="s">
        <v>141</v>
      </c>
      <c r="J171" s="39">
        <v>31</v>
      </c>
      <c r="K171" s="39">
        <v>15.03225806</v>
      </c>
      <c r="L171" s="39" t="s">
        <v>142</v>
      </c>
    </row>
    <row r="172" spans="1:12" hidden="1">
      <c r="A172" s="39" t="s">
        <v>58</v>
      </c>
      <c r="B172" s="39"/>
      <c r="C172" s="39"/>
      <c r="D172" s="39"/>
      <c r="E172" s="39" t="s">
        <v>143</v>
      </c>
      <c r="F172" s="45"/>
      <c r="G172" s="39"/>
      <c r="H172" s="39"/>
      <c r="I172" s="39"/>
      <c r="J172" s="39"/>
      <c r="K172" s="39"/>
      <c r="L172" s="39"/>
    </row>
    <row r="173" spans="1:12" hidden="1">
      <c r="A173" s="39" t="s">
        <v>59</v>
      </c>
      <c r="B173" s="39"/>
      <c r="C173" s="39"/>
      <c r="D173" s="39"/>
      <c r="E173" s="39" t="s">
        <v>144</v>
      </c>
      <c r="F173" s="45"/>
      <c r="G173" s="39"/>
      <c r="H173" s="39"/>
      <c r="I173" s="39"/>
      <c r="J173" s="39"/>
      <c r="K173" s="39"/>
      <c r="L173" s="39"/>
    </row>
    <row r="174" spans="1:12" hidden="1">
      <c r="A174" s="39" t="s">
        <v>60</v>
      </c>
      <c r="B174" s="39"/>
      <c r="C174" s="39"/>
      <c r="D174" s="39"/>
      <c r="E174" s="39" t="s">
        <v>145</v>
      </c>
      <c r="F174" s="45"/>
      <c r="G174" s="39"/>
      <c r="H174" s="39"/>
      <c r="I174" s="39"/>
      <c r="J174" s="39"/>
      <c r="K174" s="39"/>
      <c r="L174" s="39"/>
    </row>
    <row r="175" spans="1:12" hidden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</row>
    <row r="176" spans="1:12" hidden="1">
      <c r="A176" s="30">
        <v>44378</v>
      </c>
      <c r="B176" s="36"/>
      <c r="C176" s="36"/>
      <c r="D176" s="36"/>
      <c r="E176" s="36"/>
      <c r="F176" s="37"/>
      <c r="G176" s="36"/>
      <c r="H176" s="39"/>
      <c r="I176" s="39"/>
      <c r="J176" s="39"/>
      <c r="K176" s="39"/>
      <c r="L176" s="39"/>
    </row>
    <row r="177" spans="1:12" hidden="1">
      <c r="A177" s="36" t="s">
        <v>47</v>
      </c>
      <c r="B177" s="36" t="s">
        <v>48</v>
      </c>
      <c r="C177" s="36" t="s">
        <v>49</v>
      </c>
      <c r="D177" s="36" t="s">
        <v>50</v>
      </c>
      <c r="E177" s="36" t="s">
        <v>51</v>
      </c>
      <c r="F177" s="41" t="s">
        <v>82</v>
      </c>
      <c r="G177" s="36" t="s">
        <v>52</v>
      </c>
      <c r="H177" s="43" t="s">
        <v>7</v>
      </c>
      <c r="I177" s="43" t="s">
        <v>8</v>
      </c>
      <c r="J177" s="43" t="s">
        <v>9</v>
      </c>
      <c r="K177" s="43" t="s">
        <v>10</v>
      </c>
      <c r="L177" s="43" t="s">
        <v>11</v>
      </c>
    </row>
    <row r="178" spans="1:12" hidden="1">
      <c r="A178" s="39" t="s">
        <v>53</v>
      </c>
      <c r="B178" s="39">
        <v>3466</v>
      </c>
      <c r="C178" s="39">
        <v>4064</v>
      </c>
      <c r="D178" s="39">
        <v>598</v>
      </c>
      <c r="E178" s="47">
        <v>3513.74</v>
      </c>
      <c r="F178" s="48">
        <v>4904.6400000000003</v>
      </c>
      <c r="G178" s="47">
        <v>2911.02</v>
      </c>
      <c r="H178" s="39" t="s">
        <v>19</v>
      </c>
      <c r="I178" s="39" t="s">
        <v>146</v>
      </c>
      <c r="J178" s="39">
        <v>34</v>
      </c>
      <c r="K178" s="39">
        <v>17.58823529</v>
      </c>
      <c r="L178" s="47">
        <v>14.08</v>
      </c>
    </row>
    <row r="179" spans="1:12" hidden="1">
      <c r="A179" s="39" t="s">
        <v>56</v>
      </c>
      <c r="B179" s="39">
        <v>3102</v>
      </c>
      <c r="C179" s="39">
        <v>3637</v>
      </c>
      <c r="D179" s="39">
        <v>535</v>
      </c>
      <c r="E179" s="47">
        <v>4746.97</v>
      </c>
      <c r="F179" s="48"/>
      <c r="G179" s="47">
        <v>1660.97</v>
      </c>
      <c r="H179" s="39" t="s">
        <v>19</v>
      </c>
      <c r="I179" s="39" t="s">
        <v>147</v>
      </c>
      <c r="J179" s="39">
        <v>32</v>
      </c>
      <c r="K179" s="39">
        <v>16.71875</v>
      </c>
      <c r="L179" s="47">
        <v>8.8699999999999992</v>
      </c>
    </row>
    <row r="180" spans="1:12" hidden="1">
      <c r="A180" s="39" t="s">
        <v>58</v>
      </c>
      <c r="B180" s="39"/>
      <c r="C180" s="39"/>
      <c r="D180" s="39"/>
      <c r="E180" s="47">
        <v>6424.76</v>
      </c>
      <c r="F180" s="48"/>
      <c r="G180" s="47"/>
      <c r="H180" s="39"/>
      <c r="I180" s="39"/>
      <c r="J180" s="39"/>
      <c r="K180" s="39"/>
      <c r="L180" s="47"/>
    </row>
    <row r="181" spans="1:12" hidden="1">
      <c r="A181" s="39" t="s">
        <v>59</v>
      </c>
      <c r="B181" s="39"/>
      <c r="C181" s="39"/>
      <c r="D181" s="39"/>
      <c r="E181" s="47">
        <v>6407.94</v>
      </c>
      <c r="F181" s="48"/>
      <c r="G181" s="47"/>
      <c r="H181" s="39"/>
      <c r="I181" s="39"/>
      <c r="J181" s="39"/>
      <c r="K181" s="39"/>
      <c r="L181" s="47"/>
    </row>
    <row r="182" spans="1:12" hidden="1">
      <c r="A182" s="39" t="s">
        <v>60</v>
      </c>
      <c r="B182" s="39"/>
      <c r="C182" s="39"/>
      <c r="D182" s="39"/>
      <c r="E182" s="47">
        <v>16.82</v>
      </c>
      <c r="F182" s="48"/>
      <c r="G182" s="47"/>
      <c r="H182" s="39"/>
      <c r="I182" s="39"/>
      <c r="J182" s="39"/>
      <c r="K182" s="39"/>
      <c r="L182" s="47"/>
    </row>
    <row r="183" spans="1:12" hidden="1"/>
    <row r="184" spans="1:12" hidden="1">
      <c r="A184" s="30">
        <v>44409</v>
      </c>
      <c r="B184" s="36"/>
      <c r="C184" s="36"/>
      <c r="D184" s="36"/>
      <c r="E184" s="36"/>
      <c r="F184" s="37"/>
      <c r="G184" s="36"/>
      <c r="H184" s="39"/>
      <c r="I184" s="39"/>
      <c r="J184" s="39"/>
      <c r="K184" s="39"/>
      <c r="L184" s="39"/>
    </row>
    <row r="185" spans="1:12" hidden="1">
      <c r="A185" s="36" t="s">
        <v>47</v>
      </c>
      <c r="B185" s="36" t="s">
        <v>48</v>
      </c>
      <c r="C185" s="36" t="s">
        <v>49</v>
      </c>
      <c r="D185" s="36" t="s">
        <v>50</v>
      </c>
      <c r="E185" s="36" t="s">
        <v>51</v>
      </c>
      <c r="F185" s="41" t="s">
        <v>82</v>
      </c>
      <c r="G185" s="36" t="s">
        <v>52</v>
      </c>
      <c r="H185" s="43" t="s">
        <v>7</v>
      </c>
      <c r="I185" s="43" t="s">
        <v>8</v>
      </c>
      <c r="J185" s="43" t="s">
        <v>9</v>
      </c>
      <c r="K185" s="43" t="s">
        <v>10</v>
      </c>
      <c r="L185" s="43" t="s">
        <v>11</v>
      </c>
    </row>
    <row r="186" spans="1:12" hidden="1">
      <c r="A186" s="39" t="s">
        <v>53</v>
      </c>
      <c r="B186" s="39">
        <f>C178</f>
        <v>4064</v>
      </c>
      <c r="C186" s="39">
        <v>4531</v>
      </c>
      <c r="D186" s="39">
        <f>C186-B186</f>
        <v>467</v>
      </c>
      <c r="E186" s="47">
        <f>2250.72*1.15</f>
        <v>2588.3279999999995</v>
      </c>
      <c r="F186" s="48">
        <f>3082.56*1.15</f>
        <v>3544.9439999999995</v>
      </c>
      <c r="G186" s="47">
        <f>1444.32*1.15</f>
        <v>1660.9679999999998</v>
      </c>
      <c r="H186" s="39" t="s">
        <v>19</v>
      </c>
      <c r="I186" s="39" t="s">
        <v>148</v>
      </c>
      <c r="J186" s="39">
        <v>29</v>
      </c>
      <c r="K186" s="39">
        <f>D186/J186</f>
        <v>16.103448275862068</v>
      </c>
      <c r="L186" s="47">
        <f>(E186+F186)/D186</f>
        <v>13.133344753747322</v>
      </c>
    </row>
    <row r="187" spans="1:12" hidden="1">
      <c r="A187" s="39" t="s">
        <v>56</v>
      </c>
      <c r="B187" s="39">
        <f>C179</f>
        <v>3637</v>
      </c>
      <c r="C187" s="39">
        <v>4188</v>
      </c>
      <c r="D187" s="39">
        <f>C187-B187</f>
        <v>551</v>
      </c>
      <c r="E187" s="47">
        <f>4663.23*1.15</f>
        <v>5362.7144999999991</v>
      </c>
      <c r="F187" s="48"/>
      <c r="G187" s="47">
        <f>1444.32*1.15</f>
        <v>1660.9679999999998</v>
      </c>
      <c r="H187" s="39" t="s">
        <v>19</v>
      </c>
      <c r="I187" s="39" t="s">
        <v>149</v>
      </c>
      <c r="J187" s="39">
        <v>32</v>
      </c>
      <c r="K187" s="39">
        <f>D187/J187</f>
        <v>17.21875</v>
      </c>
      <c r="L187" s="47">
        <f>(E187+F187)/D187</f>
        <v>9.7326941923774939</v>
      </c>
    </row>
    <row r="188" spans="1:12" hidden="1">
      <c r="A188" s="39" t="s">
        <v>58</v>
      </c>
      <c r="B188" s="39"/>
      <c r="C188" s="39"/>
      <c r="D188" s="39"/>
      <c r="E188" s="47">
        <f>E186+F186+G186</f>
        <v>7794.2399999999989</v>
      </c>
      <c r="F188" s="48"/>
      <c r="G188" s="47"/>
      <c r="H188" s="39"/>
      <c r="I188" s="39"/>
      <c r="J188" s="39"/>
      <c r="K188" s="39"/>
      <c r="L188" s="47"/>
    </row>
    <row r="189" spans="1:12" hidden="1">
      <c r="A189" s="39" t="s">
        <v>59</v>
      </c>
      <c r="B189" s="39"/>
      <c r="C189" s="39"/>
      <c r="D189" s="39"/>
      <c r="E189" s="47">
        <f>E187+F187+G187</f>
        <v>7023.682499999999</v>
      </c>
      <c r="F189" s="48"/>
      <c r="G189" s="47"/>
      <c r="H189" s="39"/>
      <c r="I189" s="39"/>
      <c r="J189" s="39"/>
      <c r="K189" s="39"/>
      <c r="L189" s="47"/>
    </row>
    <row r="190" spans="1:12" hidden="1">
      <c r="A190" s="39" t="s">
        <v>60</v>
      </c>
      <c r="B190" s="39"/>
      <c r="C190" s="39"/>
      <c r="D190" s="39"/>
      <c r="E190" s="47">
        <f>E188-E189</f>
        <v>770.55749999999989</v>
      </c>
      <c r="F190" s="48"/>
      <c r="G190" s="47"/>
      <c r="H190" s="39"/>
      <c r="I190" s="39"/>
      <c r="J190" s="39"/>
      <c r="K190" s="39"/>
      <c r="L190" s="47"/>
    </row>
    <row r="191" spans="1:12" hidden="1"/>
    <row r="192" spans="1:12" hidden="1">
      <c r="A192" s="30">
        <v>44440</v>
      </c>
      <c r="B192" s="36"/>
      <c r="C192" s="36"/>
      <c r="D192" s="36"/>
      <c r="E192" s="36"/>
      <c r="F192" s="37"/>
      <c r="G192" s="36"/>
      <c r="H192" s="39"/>
      <c r="I192" s="39"/>
      <c r="J192" s="39"/>
      <c r="K192" s="39"/>
      <c r="L192" s="39"/>
    </row>
    <row r="193" spans="1:12" hidden="1">
      <c r="A193" s="36" t="s">
        <v>47</v>
      </c>
      <c r="B193" s="36" t="s">
        <v>48</v>
      </c>
      <c r="C193" s="36" t="s">
        <v>49</v>
      </c>
      <c r="D193" s="36" t="s">
        <v>50</v>
      </c>
      <c r="E193" s="36" t="s">
        <v>51</v>
      </c>
      <c r="F193" s="41" t="s">
        <v>82</v>
      </c>
      <c r="G193" s="36" t="s">
        <v>52</v>
      </c>
      <c r="H193" s="43" t="s">
        <v>7</v>
      </c>
      <c r="I193" s="43" t="s">
        <v>8</v>
      </c>
      <c r="J193" s="43" t="s">
        <v>9</v>
      </c>
      <c r="K193" s="43" t="s">
        <v>10</v>
      </c>
      <c r="L193" s="43" t="s">
        <v>11</v>
      </c>
    </row>
    <row r="194" spans="1:12" hidden="1">
      <c r="A194" s="39" t="s">
        <v>53</v>
      </c>
      <c r="B194" s="39">
        <f>C186</f>
        <v>4531</v>
      </c>
      <c r="C194" s="39">
        <v>5103</v>
      </c>
      <c r="D194" s="39">
        <f>C194-B194</f>
        <v>572</v>
      </c>
      <c r="E194" s="47">
        <f>2691.58*1.15</f>
        <v>3095.3169999999996</v>
      </c>
      <c r="F194" s="48">
        <f>2888.66*1.15</f>
        <v>3321.9589999999994</v>
      </c>
      <c r="G194" s="47">
        <f>1444.32*1.15</f>
        <v>1660.9679999999998</v>
      </c>
      <c r="H194" s="39" t="s">
        <v>19</v>
      </c>
      <c r="I194" s="39" t="s">
        <v>150</v>
      </c>
      <c r="J194" s="39">
        <v>36</v>
      </c>
      <c r="K194" s="39">
        <f>D194/J194</f>
        <v>15.888888888888889</v>
      </c>
      <c r="L194" s="47">
        <f>(E194+F194)/D194</f>
        <v>11.219013986013984</v>
      </c>
    </row>
    <row r="195" spans="1:12" hidden="1">
      <c r="A195" s="39" t="s">
        <v>56</v>
      </c>
      <c r="B195" s="39">
        <f>C187</f>
        <v>4188</v>
      </c>
      <c r="C195" s="39">
        <v>4774</v>
      </c>
      <c r="D195" s="39">
        <f>C195-B195</f>
        <v>586</v>
      </c>
      <c r="E195" s="47">
        <f>4544.3*1.15</f>
        <v>5225.9449999999997</v>
      </c>
      <c r="F195" s="48"/>
      <c r="G195" s="47">
        <f>1444.32*1.15</f>
        <v>1660.9679999999998</v>
      </c>
      <c r="H195" s="39" t="s">
        <v>19</v>
      </c>
      <c r="I195" s="39" t="s">
        <v>151</v>
      </c>
      <c r="J195" s="39">
        <v>36</v>
      </c>
      <c r="K195" s="39">
        <f>D195/J195</f>
        <v>16.277777777777779</v>
      </c>
      <c r="L195" s="47">
        <f>(E195+F195)/D195</f>
        <v>8.9179948805460754</v>
      </c>
    </row>
    <row r="196" spans="1:12" hidden="1">
      <c r="A196" s="39" t="s">
        <v>58</v>
      </c>
      <c r="B196" s="39"/>
      <c r="C196" s="39"/>
      <c r="D196" s="39"/>
      <c r="E196" s="47">
        <f>E194+F194+G194</f>
        <v>8078.2439999999988</v>
      </c>
      <c r="F196" s="48"/>
      <c r="G196" s="47"/>
      <c r="H196" s="39"/>
      <c r="I196" s="39"/>
      <c r="J196" s="39"/>
      <c r="K196" s="39"/>
      <c r="L196" s="47"/>
    </row>
    <row r="197" spans="1:12" hidden="1">
      <c r="A197" s="39" t="s">
        <v>59</v>
      </c>
      <c r="B197" s="39"/>
      <c r="C197" s="39"/>
      <c r="D197" s="39"/>
      <c r="E197" s="47">
        <f>E195+F195+G195</f>
        <v>6886.9129999999996</v>
      </c>
      <c r="F197" s="48"/>
      <c r="G197" s="47"/>
      <c r="H197" s="39"/>
      <c r="I197" s="39"/>
      <c r="J197" s="39"/>
      <c r="K197" s="39"/>
      <c r="L197" s="47"/>
    </row>
    <row r="198" spans="1:12" hidden="1">
      <c r="A198" s="39" t="s">
        <v>60</v>
      </c>
      <c r="B198" s="39"/>
      <c r="C198" s="39"/>
      <c r="D198" s="39"/>
      <c r="E198" s="47">
        <f>E196-E197</f>
        <v>1191.3309999999992</v>
      </c>
      <c r="F198" s="48"/>
      <c r="G198" s="47"/>
      <c r="H198" s="39"/>
      <c r="I198" s="39"/>
      <c r="J198" s="39"/>
      <c r="K198" s="39"/>
      <c r="L198" s="47"/>
    </row>
    <row r="199" spans="1:12" hidden="1"/>
    <row r="200" spans="1:12" hidden="1">
      <c r="A200" s="30">
        <v>44470</v>
      </c>
      <c r="B200" s="36"/>
      <c r="C200" s="36"/>
      <c r="D200" s="36"/>
      <c r="E200" s="36"/>
      <c r="F200" s="37"/>
      <c r="G200" s="36"/>
      <c r="H200" s="39"/>
      <c r="I200" s="39"/>
      <c r="J200" s="39"/>
      <c r="K200" s="39"/>
      <c r="L200" s="39"/>
    </row>
    <row r="201" spans="1:12" hidden="1">
      <c r="A201" s="36" t="s">
        <v>47</v>
      </c>
      <c r="B201" s="36" t="s">
        <v>48</v>
      </c>
      <c r="C201" s="36" t="s">
        <v>49</v>
      </c>
      <c r="D201" s="36" t="s">
        <v>50</v>
      </c>
      <c r="E201" s="36" t="s">
        <v>51</v>
      </c>
      <c r="F201" s="41" t="s">
        <v>82</v>
      </c>
      <c r="G201" s="36" t="s">
        <v>52</v>
      </c>
      <c r="H201" s="43" t="s">
        <v>7</v>
      </c>
      <c r="I201" s="43" t="s">
        <v>8</v>
      </c>
      <c r="J201" s="43" t="s">
        <v>9</v>
      </c>
      <c r="K201" s="43" t="s">
        <v>10</v>
      </c>
      <c r="L201" s="43" t="s">
        <v>11</v>
      </c>
    </row>
    <row r="202" spans="1:12" hidden="1">
      <c r="A202" s="39" t="s">
        <v>53</v>
      </c>
      <c r="B202" s="39">
        <f>C194</f>
        <v>5103</v>
      </c>
      <c r="C202" s="39">
        <v>5497</v>
      </c>
      <c r="D202" s="39">
        <f>C202-B202</f>
        <v>394</v>
      </c>
      <c r="E202" s="47">
        <f>1811.68*1.15</f>
        <v>2083.4319999999998</v>
      </c>
      <c r="F202" s="48">
        <f>94.64*1.15</f>
        <v>108.836</v>
      </c>
      <c r="G202" s="47">
        <f>1444.32*1.15</f>
        <v>1660.9679999999998</v>
      </c>
      <c r="H202" s="39" t="s">
        <v>19</v>
      </c>
      <c r="I202" s="39" t="s">
        <v>152</v>
      </c>
      <c r="J202" s="39">
        <v>26</v>
      </c>
      <c r="K202" s="39">
        <f>D202/J202</f>
        <v>15.153846153846153</v>
      </c>
      <c r="L202" s="47">
        <f>(E202+F202)/D202</f>
        <v>5.5641319796954303</v>
      </c>
    </row>
    <row r="203" spans="1:12" hidden="1">
      <c r="A203" s="39" t="s">
        <v>56</v>
      </c>
      <c r="B203" s="39">
        <f>C195</f>
        <v>4774</v>
      </c>
      <c r="C203" s="39">
        <v>5114</v>
      </c>
      <c r="D203" s="39">
        <f>C203-B203</f>
        <v>340</v>
      </c>
      <c r="E203" s="47">
        <f>2409.77*1.15</f>
        <v>2771.2354999999998</v>
      </c>
      <c r="F203" s="48"/>
      <c r="G203" s="47">
        <f>1444.32*1.15</f>
        <v>1660.9679999999998</v>
      </c>
      <c r="H203" s="39" t="s">
        <v>19</v>
      </c>
      <c r="I203" s="39" t="s">
        <v>153</v>
      </c>
      <c r="J203" s="39">
        <v>22</v>
      </c>
      <c r="K203" s="39">
        <f>D203/J203</f>
        <v>15.454545454545455</v>
      </c>
      <c r="L203" s="47">
        <f>(E203+F203)/D203</f>
        <v>8.1506926470588237</v>
      </c>
    </row>
    <row r="204" spans="1:12" hidden="1">
      <c r="A204" s="39" t="s">
        <v>58</v>
      </c>
      <c r="B204" s="39"/>
      <c r="C204" s="39"/>
      <c r="D204" s="39"/>
      <c r="E204" s="47">
        <f>E202+F202+G202</f>
        <v>3853.2359999999994</v>
      </c>
      <c r="F204" s="48"/>
      <c r="G204" s="47"/>
      <c r="H204" s="39"/>
      <c r="I204" s="39"/>
      <c r="J204" s="39"/>
      <c r="K204" s="39"/>
      <c r="L204" s="47"/>
    </row>
    <row r="205" spans="1:12" hidden="1">
      <c r="A205" s="39" t="s">
        <v>59</v>
      </c>
      <c r="B205" s="39"/>
      <c r="C205" s="39"/>
      <c r="D205" s="39"/>
      <c r="E205" s="47">
        <f>E203+F203+G203</f>
        <v>4432.2034999999996</v>
      </c>
      <c r="F205" s="48"/>
      <c r="G205" s="47"/>
      <c r="H205" s="39"/>
      <c r="I205" s="39"/>
      <c r="J205" s="39"/>
      <c r="K205" s="39"/>
      <c r="L205" s="47"/>
    </row>
    <row r="206" spans="1:12" hidden="1">
      <c r="A206" s="39" t="s">
        <v>60</v>
      </c>
      <c r="B206" s="39"/>
      <c r="C206" s="39"/>
      <c r="D206" s="39"/>
      <c r="E206" s="47">
        <f>E204-E205</f>
        <v>-578.9675000000002</v>
      </c>
      <c r="F206" s="48"/>
      <c r="G206" s="47"/>
      <c r="H206" s="39"/>
      <c r="I206" s="39"/>
      <c r="J206" s="39"/>
      <c r="K206" s="39"/>
      <c r="L206" s="47"/>
    </row>
    <row r="207" spans="1:12" hidden="1"/>
    <row r="208" spans="1:12" hidden="1">
      <c r="A208" s="30">
        <v>44501</v>
      </c>
      <c r="B208" s="36"/>
      <c r="C208" s="36"/>
      <c r="D208" s="36"/>
      <c r="E208" s="36"/>
      <c r="F208" s="37"/>
      <c r="G208" s="36"/>
      <c r="H208" s="39"/>
      <c r="I208" s="39"/>
      <c r="J208" s="39"/>
      <c r="K208" s="39"/>
      <c r="L208" s="39"/>
    </row>
    <row r="209" spans="1:12" hidden="1">
      <c r="A209" s="36" t="s">
        <v>47</v>
      </c>
      <c r="B209" s="36" t="s">
        <v>48</v>
      </c>
      <c r="C209" s="36" t="s">
        <v>49</v>
      </c>
      <c r="D209" s="36" t="s">
        <v>50</v>
      </c>
      <c r="E209" s="36" t="s">
        <v>51</v>
      </c>
      <c r="F209" s="41" t="s">
        <v>82</v>
      </c>
      <c r="G209" s="36" t="s">
        <v>52</v>
      </c>
      <c r="H209" s="43" t="s">
        <v>7</v>
      </c>
      <c r="I209" s="43" t="s">
        <v>8</v>
      </c>
      <c r="J209" s="43" t="s">
        <v>9</v>
      </c>
      <c r="K209" s="43" t="s">
        <v>10</v>
      </c>
      <c r="L209" s="43" t="s">
        <v>11</v>
      </c>
    </row>
    <row r="210" spans="1:12" hidden="1">
      <c r="A210" s="39" t="s">
        <v>53</v>
      </c>
      <c r="B210" s="39">
        <f>C202</f>
        <v>5497</v>
      </c>
      <c r="C210" s="39">
        <v>5881</v>
      </c>
      <c r="D210" s="39">
        <f>C210-B210</f>
        <v>384</v>
      </c>
      <c r="E210" s="47">
        <f>2888.34*1.15</f>
        <v>3321.5909999999999</v>
      </c>
      <c r="F210" s="48">
        <v>0</v>
      </c>
      <c r="G210" s="47">
        <f>1444.32*1.15</f>
        <v>1660.9679999999998</v>
      </c>
      <c r="H210" s="39" t="s">
        <v>19</v>
      </c>
      <c r="I210" s="39" t="s">
        <v>154</v>
      </c>
      <c r="J210" s="39">
        <v>33</v>
      </c>
      <c r="K210" s="39">
        <f>D210/J210</f>
        <v>11.636363636363637</v>
      </c>
      <c r="L210" s="47">
        <f>(E210+F210)/D210</f>
        <v>8.6499765624999991</v>
      </c>
    </row>
    <row r="211" spans="1:12" hidden="1">
      <c r="A211" s="39" t="s">
        <v>56</v>
      </c>
      <c r="B211" s="39">
        <f>C203</f>
        <v>5114</v>
      </c>
      <c r="C211" s="39">
        <v>5525</v>
      </c>
      <c r="D211" s="39">
        <f>C211-B211</f>
        <v>411</v>
      </c>
      <c r="E211" s="47">
        <f>2422.49*1.15</f>
        <v>2785.8634999999995</v>
      </c>
      <c r="F211" s="48"/>
      <c r="G211" s="47">
        <f>1444.32*1.15</f>
        <v>1660.9679999999998</v>
      </c>
      <c r="H211" s="39" t="s">
        <v>19</v>
      </c>
      <c r="I211" s="39" t="s">
        <v>155</v>
      </c>
      <c r="J211" s="39">
        <v>29</v>
      </c>
      <c r="K211" s="39">
        <f>D211/J211</f>
        <v>14.172413793103448</v>
      </c>
      <c r="L211" s="47">
        <f>(E211+F211)/D211</f>
        <v>6.7782566909975657</v>
      </c>
    </row>
    <row r="212" spans="1:12" hidden="1">
      <c r="A212" s="39" t="s">
        <v>58</v>
      </c>
      <c r="B212" s="39"/>
      <c r="C212" s="39"/>
      <c r="D212" s="39"/>
      <c r="E212" s="47">
        <f>E210+F210+G210</f>
        <v>4982.5589999999993</v>
      </c>
      <c r="F212" s="48"/>
      <c r="G212" s="47"/>
      <c r="H212" s="39"/>
      <c r="I212" s="39"/>
      <c r="J212" s="39"/>
      <c r="K212" s="39"/>
      <c r="L212" s="47"/>
    </row>
    <row r="213" spans="1:12" hidden="1">
      <c r="A213" s="39" t="s">
        <v>59</v>
      </c>
      <c r="B213" s="39"/>
      <c r="C213" s="39"/>
      <c r="D213" s="39"/>
      <c r="E213" s="47">
        <f>E211+F211+G211</f>
        <v>4446.8314999999993</v>
      </c>
      <c r="F213" s="48"/>
      <c r="G213" s="47"/>
      <c r="H213" s="39"/>
      <c r="I213" s="39"/>
      <c r="J213" s="39"/>
      <c r="K213" s="39"/>
      <c r="L213" s="47"/>
    </row>
    <row r="214" spans="1:12" hidden="1">
      <c r="A214" s="39" t="s">
        <v>60</v>
      </c>
      <c r="B214" s="39"/>
      <c r="C214" s="39"/>
      <c r="D214" s="39"/>
      <c r="E214" s="47">
        <f>E212-E213</f>
        <v>535.72749999999996</v>
      </c>
      <c r="F214" s="48"/>
      <c r="G214" s="47"/>
      <c r="H214" s="39"/>
      <c r="I214" s="39"/>
      <c r="J214" s="39"/>
      <c r="K214" s="39"/>
      <c r="L214" s="47"/>
    </row>
    <row r="215" spans="1:12" hidden="1"/>
    <row r="216" spans="1:12" hidden="1">
      <c r="A216" s="30">
        <v>44531</v>
      </c>
      <c r="B216" s="36"/>
      <c r="C216" s="36"/>
      <c r="D216" s="36"/>
      <c r="E216" s="36"/>
      <c r="F216" s="37"/>
      <c r="G216" s="36"/>
      <c r="H216" s="39"/>
      <c r="I216" s="39"/>
      <c r="J216" s="39"/>
      <c r="K216" s="39"/>
      <c r="L216" s="39"/>
    </row>
    <row r="217" spans="1:12" hidden="1">
      <c r="A217" s="36" t="s">
        <v>47</v>
      </c>
      <c r="B217" s="36" t="s">
        <v>48</v>
      </c>
      <c r="C217" s="36" t="s">
        <v>49</v>
      </c>
      <c r="D217" s="36" t="s">
        <v>50</v>
      </c>
      <c r="E217" s="36" t="s">
        <v>51</v>
      </c>
      <c r="F217" s="41" t="s">
        <v>82</v>
      </c>
      <c r="G217" s="36" t="s">
        <v>52</v>
      </c>
      <c r="H217" s="43" t="s">
        <v>7</v>
      </c>
      <c r="I217" s="43" t="s">
        <v>8</v>
      </c>
      <c r="J217" s="43" t="s">
        <v>9</v>
      </c>
      <c r="K217" s="43" t="s">
        <v>10</v>
      </c>
      <c r="L217" s="43" t="s">
        <v>11</v>
      </c>
    </row>
    <row r="218" spans="1:12" hidden="1">
      <c r="A218" s="39" t="s">
        <v>53</v>
      </c>
      <c r="B218" s="39">
        <f>C210</f>
        <v>5881</v>
      </c>
      <c r="C218" s="39">
        <v>6223</v>
      </c>
      <c r="D218" s="39">
        <f>C218-B218</f>
        <v>342</v>
      </c>
      <c r="E218" s="47">
        <f>1170.5*1.15</f>
        <v>1346.0749999999998</v>
      </c>
      <c r="F218" s="48">
        <v>0</v>
      </c>
      <c r="G218" s="47">
        <f>1444.32*1.15</f>
        <v>1660.9679999999998</v>
      </c>
      <c r="H218" s="39" t="s">
        <v>19</v>
      </c>
      <c r="I218" s="39" t="s">
        <v>156</v>
      </c>
      <c r="J218" s="39">
        <v>31</v>
      </c>
      <c r="K218" s="39">
        <f>D218/J218</f>
        <v>11.03225806451613</v>
      </c>
      <c r="L218" s="47">
        <f>(E218+F218)/D218</f>
        <v>3.9358918128654965</v>
      </c>
    </row>
    <row r="219" spans="1:12" hidden="1">
      <c r="A219" s="39" t="s">
        <v>56</v>
      </c>
      <c r="B219" s="39">
        <f>C211</f>
        <v>5525</v>
      </c>
      <c r="C219" s="39">
        <v>5889</v>
      </c>
      <c r="D219" s="39">
        <f>C219-B219</f>
        <v>364</v>
      </c>
      <c r="E219" s="47">
        <f>1469.33*1.15</f>
        <v>1689.7294999999997</v>
      </c>
      <c r="F219" s="48"/>
      <c r="G219" s="47">
        <f>1444.32*1.15</f>
        <v>1660.9679999999998</v>
      </c>
      <c r="H219" s="39" t="s">
        <v>19</v>
      </c>
      <c r="I219" s="39" t="s">
        <v>157</v>
      </c>
      <c r="J219" s="39">
        <v>29</v>
      </c>
      <c r="K219" s="39">
        <f>D219/J219</f>
        <v>12.551724137931034</v>
      </c>
      <c r="L219" s="47">
        <f>(E219+F219)/D219</f>
        <v>4.64211401098901</v>
      </c>
    </row>
    <row r="220" spans="1:12" hidden="1">
      <c r="A220" s="39" t="s">
        <v>58</v>
      </c>
      <c r="B220" s="39"/>
      <c r="C220" s="39"/>
      <c r="D220" s="39"/>
      <c r="E220" s="47">
        <f>E218+F218+G218</f>
        <v>3007.0429999999997</v>
      </c>
      <c r="F220" s="48"/>
      <c r="G220" s="47"/>
      <c r="H220" s="39"/>
      <c r="I220" s="39"/>
      <c r="J220" s="39"/>
      <c r="K220" s="39"/>
      <c r="L220" s="47"/>
    </row>
    <row r="221" spans="1:12" hidden="1">
      <c r="A221" s="39" t="s">
        <v>59</v>
      </c>
      <c r="B221" s="39"/>
      <c r="C221" s="39"/>
      <c r="D221" s="39"/>
      <c r="E221" s="47">
        <f>E219+F219+G219</f>
        <v>3350.6974999999993</v>
      </c>
      <c r="F221" s="48"/>
      <c r="G221" s="47"/>
      <c r="H221" s="39"/>
      <c r="I221" s="39"/>
      <c r="J221" s="39"/>
      <c r="K221" s="39"/>
      <c r="L221" s="47"/>
    </row>
    <row r="222" spans="1:12" hidden="1">
      <c r="A222" s="39" t="s">
        <v>60</v>
      </c>
      <c r="B222" s="39"/>
      <c r="C222" s="39"/>
      <c r="D222" s="39"/>
      <c r="E222" s="47">
        <f>E220-E221</f>
        <v>-343.65449999999964</v>
      </c>
      <c r="F222" s="48"/>
      <c r="G222" s="47"/>
      <c r="H222" s="39"/>
      <c r="I222" s="39"/>
      <c r="J222" s="39"/>
      <c r="K222" s="39"/>
      <c r="L222" s="47"/>
    </row>
    <row r="224" spans="1:12">
      <c r="A224" s="30">
        <v>44562</v>
      </c>
      <c r="B224" s="36"/>
      <c r="C224" s="36"/>
      <c r="D224" s="36"/>
      <c r="E224" s="36"/>
      <c r="F224" s="37"/>
      <c r="G224" s="36"/>
      <c r="H224" s="39"/>
      <c r="I224" s="39"/>
      <c r="J224" s="39"/>
      <c r="K224" s="39"/>
      <c r="L224" s="39"/>
    </row>
    <row r="225" spans="1:12">
      <c r="A225" s="36" t="s">
        <v>47</v>
      </c>
      <c r="B225" s="36" t="s">
        <v>48</v>
      </c>
      <c r="C225" s="36" t="s">
        <v>49</v>
      </c>
      <c r="D225" s="36" t="s">
        <v>50</v>
      </c>
      <c r="E225" s="36" t="s">
        <v>51</v>
      </c>
      <c r="F225" s="41" t="s">
        <v>82</v>
      </c>
      <c r="G225" s="36" t="s">
        <v>52</v>
      </c>
      <c r="H225" s="43" t="s">
        <v>7</v>
      </c>
      <c r="I225" s="43" t="s">
        <v>8</v>
      </c>
      <c r="J225" s="43" t="s">
        <v>9</v>
      </c>
      <c r="K225" s="43" t="s">
        <v>10</v>
      </c>
      <c r="L225" s="43" t="s">
        <v>11</v>
      </c>
    </row>
    <row r="226" spans="1:12">
      <c r="A226" s="39" t="s">
        <v>53</v>
      </c>
      <c r="B226" s="39">
        <f>C218</f>
        <v>6223</v>
      </c>
      <c r="C226" s="39">
        <v>6567</v>
      </c>
      <c r="D226" s="39">
        <f>C226-B226</f>
        <v>344</v>
      </c>
      <c r="E226" s="47">
        <f>1685.46*1.15</f>
        <v>1938.279</v>
      </c>
      <c r="F226" s="48">
        <v>0</v>
      </c>
      <c r="G226" s="47">
        <f>1444.32*1.15</f>
        <v>1660.9679999999998</v>
      </c>
      <c r="H226" s="39" t="s">
        <v>19</v>
      </c>
      <c r="I226" s="39" t="s">
        <v>158</v>
      </c>
      <c r="J226" s="39">
        <v>28</v>
      </c>
      <c r="K226" s="39">
        <f>D226/J226</f>
        <v>12.285714285714286</v>
      </c>
      <c r="L226" s="47">
        <f>(E226+F226)/D226</f>
        <v>5.6345319767441859</v>
      </c>
    </row>
    <row r="227" spans="1:12">
      <c r="A227" s="39" t="s">
        <v>56</v>
      </c>
      <c r="B227" s="39">
        <f>C219</f>
        <v>5889</v>
      </c>
      <c r="C227" s="39">
        <v>6269</v>
      </c>
      <c r="D227" s="39">
        <f>C227-B227</f>
        <v>380</v>
      </c>
      <c r="E227" s="47">
        <f>774.39*1.15</f>
        <v>890.54849999999988</v>
      </c>
      <c r="F227" s="48"/>
      <c r="G227" s="47">
        <f>1444.32*1.15</f>
        <v>1660.9679999999998</v>
      </c>
      <c r="H227" s="39" t="s">
        <v>19</v>
      </c>
      <c r="I227" s="39" t="s">
        <v>159</v>
      </c>
      <c r="J227" s="39">
        <v>34</v>
      </c>
      <c r="K227" s="39">
        <f>D227/J227</f>
        <v>11.176470588235293</v>
      </c>
      <c r="L227" s="47">
        <f>(E227+F227)/D227</f>
        <v>2.3435486842105262</v>
      </c>
    </row>
    <row r="228" spans="1:12">
      <c r="A228" s="39" t="s">
        <v>58</v>
      </c>
      <c r="B228" s="39"/>
      <c r="C228" s="39"/>
      <c r="D228" s="39"/>
      <c r="E228" s="47">
        <f>E226+F226+G226</f>
        <v>3599.2469999999998</v>
      </c>
      <c r="F228" s="48"/>
      <c r="G228" s="47"/>
      <c r="H228" s="39"/>
      <c r="I228" s="39"/>
      <c r="J228" s="39"/>
      <c r="K228" s="39"/>
      <c r="L228" s="47"/>
    </row>
    <row r="229" spans="1:12">
      <c r="A229" s="39" t="s">
        <v>59</v>
      </c>
      <c r="B229" s="39"/>
      <c r="C229" s="39"/>
      <c r="D229" s="39"/>
      <c r="E229" s="47">
        <f>E227+F227+G227</f>
        <v>2551.5164999999997</v>
      </c>
      <c r="F229" s="48"/>
      <c r="G229" s="47"/>
      <c r="H229" s="39"/>
      <c r="I229" s="39"/>
      <c r="J229" s="39"/>
      <c r="K229" s="39"/>
      <c r="L229" s="47"/>
    </row>
    <row r="230" spans="1:12">
      <c r="A230" s="39" t="s">
        <v>60</v>
      </c>
      <c r="B230" s="39"/>
      <c r="C230" s="39"/>
      <c r="D230" s="39"/>
      <c r="E230" s="47">
        <f>E228-E229</f>
        <v>1047.7305000000001</v>
      </c>
      <c r="F230" s="48"/>
      <c r="G230" s="47"/>
      <c r="H230" s="39"/>
      <c r="I230" s="39"/>
      <c r="J230" s="39"/>
      <c r="K230" s="39"/>
      <c r="L230" s="47"/>
    </row>
    <row r="232" spans="1:12">
      <c r="A232" s="30">
        <v>44593</v>
      </c>
      <c r="B232" s="36"/>
      <c r="C232" s="36"/>
      <c r="D232" s="36"/>
      <c r="E232" s="36"/>
      <c r="F232" s="37"/>
      <c r="G232" s="36"/>
      <c r="H232" s="39"/>
      <c r="I232" s="39"/>
      <c r="J232" s="39"/>
      <c r="K232" s="39"/>
      <c r="L232" s="39"/>
    </row>
    <row r="233" spans="1:12">
      <c r="A233" s="36" t="s">
        <v>47</v>
      </c>
      <c r="B233" s="36" t="s">
        <v>48</v>
      </c>
      <c r="C233" s="36" t="s">
        <v>49</v>
      </c>
      <c r="D233" s="36" t="s">
        <v>50</v>
      </c>
      <c r="E233" s="36" t="s">
        <v>51</v>
      </c>
      <c r="F233" s="41" t="s">
        <v>82</v>
      </c>
      <c r="G233" s="36" t="s">
        <v>52</v>
      </c>
      <c r="H233" s="43" t="s">
        <v>7</v>
      </c>
      <c r="I233" s="43" t="s">
        <v>8</v>
      </c>
      <c r="J233" s="43" t="s">
        <v>9</v>
      </c>
      <c r="K233" s="43" t="s">
        <v>10</v>
      </c>
      <c r="L233" s="43" t="s">
        <v>11</v>
      </c>
    </row>
    <row r="234" spans="1:12">
      <c r="A234" s="39" t="s">
        <v>53</v>
      </c>
      <c r="B234" s="39">
        <f>C226</f>
        <v>6567</v>
      </c>
      <c r="C234" s="39">
        <v>6947</v>
      </c>
      <c r="D234" s="39">
        <f>C234-B234</f>
        <v>380</v>
      </c>
      <c r="E234" s="47">
        <f>1039.92*1.15</f>
        <v>1195.9079999999999</v>
      </c>
      <c r="F234" s="48">
        <f>582.48*1.15</f>
        <v>669.85199999999998</v>
      </c>
      <c r="G234" s="47">
        <f>1444.32*1.15</f>
        <v>1660.9679999999998</v>
      </c>
      <c r="H234" s="39" t="s">
        <v>19</v>
      </c>
      <c r="I234" s="39" t="s">
        <v>160</v>
      </c>
      <c r="J234" s="39">
        <v>28</v>
      </c>
      <c r="K234" s="39">
        <f>D234/J234</f>
        <v>13.571428571428571</v>
      </c>
      <c r="L234" s="47">
        <f>(E234+F234)/D234</f>
        <v>4.9098947368421042</v>
      </c>
    </row>
    <row r="235" spans="1:12">
      <c r="A235" s="39" t="s">
        <v>56</v>
      </c>
      <c r="B235" s="39">
        <f>C227</f>
        <v>6269</v>
      </c>
      <c r="C235" s="39">
        <v>6693</v>
      </c>
      <c r="D235" s="39">
        <f>C235-B235</f>
        <v>424</v>
      </c>
      <c r="E235" s="47">
        <f>1870.59*1.15</f>
        <v>2151.1784999999995</v>
      </c>
      <c r="F235" s="48"/>
      <c r="G235" s="47">
        <f>1444.32*1.15</f>
        <v>1660.9679999999998</v>
      </c>
      <c r="H235" s="39" t="s">
        <v>19</v>
      </c>
      <c r="I235" s="39" t="s">
        <v>161</v>
      </c>
      <c r="J235" s="39">
        <v>33</v>
      </c>
      <c r="K235" s="39">
        <f>D235/J235</f>
        <v>12.848484848484848</v>
      </c>
      <c r="L235" s="47">
        <f>(E235+F235)/D235</f>
        <v>5.0735341981132063</v>
      </c>
    </row>
    <row r="236" spans="1:12">
      <c r="A236" s="39" t="s">
        <v>58</v>
      </c>
      <c r="B236" s="39"/>
      <c r="C236" s="39"/>
      <c r="D236" s="39"/>
      <c r="E236" s="47">
        <f>E234+F234+G234</f>
        <v>3526.7279999999996</v>
      </c>
      <c r="F236" s="48"/>
      <c r="G236" s="47"/>
      <c r="H236" s="39"/>
      <c r="I236" s="39"/>
      <c r="J236" s="39"/>
      <c r="K236" s="39"/>
      <c r="L236" s="47"/>
    </row>
    <row r="237" spans="1:12">
      <c r="A237" s="39" t="s">
        <v>59</v>
      </c>
      <c r="B237" s="39"/>
      <c r="C237" s="39"/>
      <c r="D237" s="39"/>
      <c r="E237" s="47">
        <f>E235+F235+G235</f>
        <v>3812.1464999999994</v>
      </c>
      <c r="F237" s="48"/>
      <c r="G237" s="47"/>
      <c r="H237" s="39"/>
      <c r="I237" s="39"/>
      <c r="J237" s="39"/>
      <c r="K237" s="39"/>
      <c r="L237" s="47"/>
    </row>
    <row r="238" spans="1:12">
      <c r="A238" s="39" t="s">
        <v>60</v>
      </c>
      <c r="B238" s="39"/>
      <c r="C238" s="39"/>
      <c r="D238" s="39"/>
      <c r="E238" s="47">
        <f>E236-E237</f>
        <v>-285.41849999999977</v>
      </c>
      <c r="F238" s="48"/>
      <c r="G238" s="47"/>
      <c r="H238" s="39"/>
      <c r="I238" s="39"/>
      <c r="J238" s="39"/>
      <c r="K238" s="39"/>
      <c r="L238" s="47"/>
    </row>
    <row r="240" spans="1:12">
      <c r="A240" s="30">
        <v>44621</v>
      </c>
      <c r="B240" s="36"/>
      <c r="C240" s="36"/>
      <c r="D240" s="36"/>
      <c r="E240" s="36"/>
      <c r="F240" s="37"/>
      <c r="G240" s="36"/>
      <c r="H240" s="39"/>
      <c r="I240" s="39"/>
      <c r="J240" s="39"/>
      <c r="K240" s="39"/>
      <c r="L240" s="39"/>
    </row>
    <row r="241" spans="1:12">
      <c r="A241" s="36" t="s">
        <v>47</v>
      </c>
      <c r="B241" s="36" t="s">
        <v>48</v>
      </c>
      <c r="C241" s="36" t="s">
        <v>49</v>
      </c>
      <c r="D241" s="36" t="s">
        <v>50</v>
      </c>
      <c r="E241" s="36" t="s">
        <v>51</v>
      </c>
      <c r="F241" s="41" t="s">
        <v>82</v>
      </c>
      <c r="G241" s="36" t="s">
        <v>52</v>
      </c>
      <c r="H241" s="43" t="s">
        <v>7</v>
      </c>
      <c r="I241" s="43" t="s">
        <v>8</v>
      </c>
      <c r="J241" s="43" t="s">
        <v>9</v>
      </c>
      <c r="K241" s="43" t="s">
        <v>10</v>
      </c>
      <c r="L241" s="43" t="s">
        <v>11</v>
      </c>
    </row>
    <row r="242" spans="1:12">
      <c r="A242" s="39" t="s">
        <v>53</v>
      </c>
      <c r="B242" s="39">
        <f>C234</f>
        <v>6947</v>
      </c>
      <c r="C242" s="39">
        <v>7362</v>
      </c>
      <c r="D242" s="39">
        <f>C242-B242</f>
        <v>415</v>
      </c>
      <c r="E242" s="47">
        <f>1543.46*1.15</f>
        <v>1774.9789999999998</v>
      </c>
      <c r="F242" s="48">
        <f>(2332.2-1543.46)*1.15</f>
        <v>907.0509999999997</v>
      </c>
      <c r="G242" s="47">
        <f>1444.32*1.15</f>
        <v>1660.9679999999998</v>
      </c>
      <c r="H242" s="39" t="s">
        <v>19</v>
      </c>
      <c r="I242" s="39" t="s">
        <v>162</v>
      </c>
      <c r="J242" s="39">
        <v>31</v>
      </c>
      <c r="K242" s="39">
        <f>D242/J242</f>
        <v>13.387096774193548</v>
      </c>
      <c r="L242" s="47">
        <f>(E242+F242)/D242</f>
        <v>6.4627228915662647</v>
      </c>
    </row>
    <row r="243" spans="1:12">
      <c r="A243" s="39" t="s">
        <v>56</v>
      </c>
      <c r="B243" s="39">
        <f>C235</f>
        <v>6693</v>
      </c>
      <c r="C243" s="39">
        <v>6982</v>
      </c>
      <c r="D243" s="39">
        <f>C243-B243</f>
        <v>289</v>
      </c>
      <c r="E243" s="47">
        <f>1375.49*1.15</f>
        <v>1581.8135</v>
      </c>
      <c r="F243" s="48"/>
      <c r="G243" s="47">
        <f>1444.32*1.15</f>
        <v>1660.9679999999998</v>
      </c>
      <c r="H243" s="39" t="s">
        <v>19</v>
      </c>
      <c r="I243" s="39" t="s">
        <v>163</v>
      </c>
      <c r="J243" s="39">
        <v>22</v>
      </c>
      <c r="K243" s="39">
        <f>D243/J243</f>
        <v>13.136363636363637</v>
      </c>
      <c r="L243" s="47">
        <f>(E243+F243)/D243</f>
        <v>5.4734031141868513</v>
      </c>
    </row>
    <row r="244" spans="1:12">
      <c r="A244" s="39" t="s">
        <v>58</v>
      </c>
      <c r="B244" s="39"/>
      <c r="C244" s="39"/>
      <c r="D244" s="39"/>
      <c r="E244" s="47">
        <f>E242+F242+G242</f>
        <v>4342.9979999999996</v>
      </c>
      <c r="F244" s="48"/>
      <c r="G244" s="47"/>
      <c r="H244" s="39"/>
      <c r="I244" s="39"/>
      <c r="J244" s="39"/>
      <c r="K244" s="39"/>
      <c r="L244" s="47"/>
    </row>
    <row r="245" spans="1:12">
      <c r="A245" s="39" t="s">
        <v>59</v>
      </c>
      <c r="B245" s="39"/>
      <c r="C245" s="39"/>
      <c r="D245" s="39"/>
      <c r="E245" s="47">
        <f>E243+F243+G243</f>
        <v>3242.7815000000001</v>
      </c>
      <c r="F245" s="48"/>
      <c r="G245" s="47"/>
      <c r="H245" s="39"/>
      <c r="I245" s="39"/>
      <c r="J245" s="39"/>
      <c r="K245" s="39"/>
      <c r="L245" s="47"/>
    </row>
    <row r="246" spans="1:12">
      <c r="A246" s="39" t="s">
        <v>60</v>
      </c>
      <c r="B246" s="39"/>
      <c r="C246" s="39"/>
      <c r="D246" s="39"/>
      <c r="E246" s="47">
        <f>E244-E245</f>
        <v>1100.2164999999995</v>
      </c>
      <c r="F246" s="48"/>
      <c r="G246" s="47"/>
      <c r="H246" s="39"/>
      <c r="I246" s="39"/>
      <c r="J246" s="39"/>
      <c r="K246" s="39"/>
      <c r="L246" s="47"/>
    </row>
    <row r="248" spans="1:12">
      <c r="A248" s="30">
        <v>44652</v>
      </c>
      <c r="B248" s="36"/>
      <c r="C248" s="36"/>
      <c r="D248" s="36"/>
      <c r="E248" s="36"/>
      <c r="F248" s="37"/>
      <c r="G248" s="36"/>
      <c r="H248" s="39"/>
      <c r="I248" s="39"/>
      <c r="J248" s="39"/>
      <c r="K248" s="39"/>
      <c r="L248" s="39"/>
    </row>
    <row r="249" spans="1:12">
      <c r="A249" s="36" t="s">
        <v>47</v>
      </c>
      <c r="B249" s="36" t="s">
        <v>48</v>
      </c>
      <c r="C249" s="36" t="s">
        <v>49</v>
      </c>
      <c r="D249" s="36" t="s">
        <v>50</v>
      </c>
      <c r="E249" s="36" t="s">
        <v>51</v>
      </c>
      <c r="F249" s="41" t="s">
        <v>82</v>
      </c>
      <c r="G249" s="36" t="s">
        <v>52</v>
      </c>
      <c r="H249" s="43" t="s">
        <v>7</v>
      </c>
      <c r="I249" s="43" t="s">
        <v>8</v>
      </c>
      <c r="J249" s="43" t="s">
        <v>9</v>
      </c>
      <c r="K249" s="43" t="s">
        <v>10</v>
      </c>
      <c r="L249" s="43" t="s">
        <v>11</v>
      </c>
    </row>
    <row r="250" spans="1:12">
      <c r="A250" s="39" t="s">
        <v>53</v>
      </c>
      <c r="B250" s="39">
        <f>C242</f>
        <v>7362</v>
      </c>
      <c r="C250" s="39">
        <v>7768</v>
      </c>
      <c r="D250" s="39">
        <f>C250-B250</f>
        <v>406</v>
      </c>
      <c r="E250" s="47">
        <f>1509.49*1.15</f>
        <v>1735.9134999999999</v>
      </c>
      <c r="F250" s="48">
        <f>640.19*1.15</f>
        <v>736.21849999999995</v>
      </c>
      <c r="G250" s="47">
        <f>1444.32*1.15</f>
        <v>1660.9679999999998</v>
      </c>
      <c r="H250" s="39" t="s">
        <v>19</v>
      </c>
      <c r="I250" s="39" t="s">
        <v>164</v>
      </c>
      <c r="J250" s="39">
        <v>29</v>
      </c>
      <c r="K250" s="39">
        <f>D250/J250</f>
        <v>14</v>
      </c>
      <c r="L250" s="47">
        <f>(E250+F250)/D250</f>
        <v>6.088995073891625</v>
      </c>
    </row>
    <row r="251" spans="1:12">
      <c r="A251" s="39" t="s">
        <v>56</v>
      </c>
      <c r="B251" s="39">
        <f>C243</f>
        <v>6982</v>
      </c>
      <c r="C251" s="39">
        <v>7456</v>
      </c>
      <c r="D251" s="39">
        <f>C251-B251</f>
        <v>474</v>
      </c>
      <c r="E251" s="47">
        <f>2272.94*1.15</f>
        <v>2613.8809999999999</v>
      </c>
      <c r="F251" s="48"/>
      <c r="G251" s="47">
        <f>1444.32*1.15</f>
        <v>1660.9679999999998</v>
      </c>
      <c r="H251" s="39" t="s">
        <v>19</v>
      </c>
      <c r="I251" s="39" t="s">
        <v>165</v>
      </c>
      <c r="J251" s="39">
        <v>36</v>
      </c>
      <c r="K251" s="39">
        <f>D251/J251</f>
        <v>13.166666666666666</v>
      </c>
      <c r="L251" s="47">
        <f>(E251+F251)/D251</f>
        <v>5.5145168776371305</v>
      </c>
    </row>
    <row r="252" spans="1:12">
      <c r="A252" s="39" t="s">
        <v>58</v>
      </c>
      <c r="B252" s="39"/>
      <c r="C252" s="39"/>
      <c r="D252" s="39"/>
      <c r="E252" s="47">
        <f>E250+F250+G250</f>
        <v>4133.0999999999995</v>
      </c>
      <c r="F252" s="48"/>
      <c r="G252" s="47"/>
      <c r="H252" s="39"/>
      <c r="I252" s="39"/>
      <c r="J252" s="39"/>
      <c r="K252" s="39"/>
      <c r="L252" s="47"/>
    </row>
    <row r="253" spans="1:12">
      <c r="A253" s="39" t="s">
        <v>59</v>
      </c>
      <c r="B253" s="39"/>
      <c r="C253" s="39"/>
      <c r="D253" s="39"/>
      <c r="E253" s="47">
        <f>E251+F251+G251</f>
        <v>4274.8490000000002</v>
      </c>
      <c r="F253" s="48"/>
      <c r="G253" s="47"/>
      <c r="H253" s="39"/>
      <c r="I253" s="39"/>
      <c r="J253" s="39"/>
      <c r="K253" s="39"/>
      <c r="L253" s="47"/>
    </row>
    <row r="254" spans="1:12">
      <c r="A254" s="39" t="s">
        <v>60</v>
      </c>
      <c r="B254" s="39"/>
      <c r="C254" s="39"/>
      <c r="D254" s="39"/>
      <c r="E254" s="47">
        <f>E252-E253</f>
        <v>-141.74900000000071</v>
      </c>
      <c r="F254" s="48"/>
      <c r="G254" s="47"/>
      <c r="H254" s="39"/>
      <c r="I254" s="39"/>
      <c r="J254" s="39"/>
      <c r="K254" s="39"/>
      <c r="L254" s="47"/>
    </row>
    <row r="256" spans="1:12">
      <c r="A256" s="30">
        <v>44682</v>
      </c>
      <c r="B256" s="36"/>
      <c r="C256" s="36"/>
      <c r="D256" s="36"/>
      <c r="E256" s="36"/>
      <c r="F256" s="37"/>
      <c r="G256" s="36"/>
      <c r="H256" s="39"/>
      <c r="I256" s="39"/>
      <c r="J256" s="39"/>
      <c r="K256" s="39"/>
      <c r="L256" s="39"/>
    </row>
    <row r="257" spans="1:12">
      <c r="A257" s="36" t="s">
        <v>47</v>
      </c>
      <c r="B257" s="36" t="s">
        <v>48</v>
      </c>
      <c r="C257" s="36" t="s">
        <v>49</v>
      </c>
      <c r="D257" s="36" t="s">
        <v>50</v>
      </c>
      <c r="E257" s="36" t="s">
        <v>51</v>
      </c>
      <c r="F257" s="41" t="s">
        <v>82</v>
      </c>
      <c r="G257" s="36" t="s">
        <v>52</v>
      </c>
      <c r="H257" s="43" t="s">
        <v>7</v>
      </c>
      <c r="I257" s="43" t="s">
        <v>8</v>
      </c>
      <c r="J257" s="43" t="s">
        <v>9</v>
      </c>
      <c r="K257" s="43" t="s">
        <v>10</v>
      </c>
      <c r="L257" s="43" t="s">
        <v>11</v>
      </c>
    </row>
    <row r="258" spans="1:12">
      <c r="A258" s="39" t="s">
        <v>53</v>
      </c>
      <c r="B258" s="39">
        <f>C250</f>
        <v>7768</v>
      </c>
      <c r="C258" s="39">
        <v>8217</v>
      </c>
      <c r="D258" s="39">
        <f>C258-B258</f>
        <v>449</v>
      </c>
      <c r="E258" s="47">
        <f>1901.05*1.15</f>
        <v>2186.2075</v>
      </c>
      <c r="F258" s="48">
        <f>1120.67*1.15</f>
        <v>1288.7705000000001</v>
      </c>
      <c r="G258" s="47">
        <f>1444.32*1.15</f>
        <v>1660.9679999999998</v>
      </c>
      <c r="H258" s="39" t="s">
        <v>19</v>
      </c>
      <c r="I258" s="39" t="s">
        <v>166</v>
      </c>
      <c r="J258" s="39">
        <v>32</v>
      </c>
      <c r="K258" s="39">
        <f>D258/J258</f>
        <v>14.03125</v>
      </c>
      <c r="L258" s="47">
        <f>(E258+F258)/D258</f>
        <v>7.7393719376391985</v>
      </c>
    </row>
    <row r="259" spans="1:12">
      <c r="A259" s="39" t="s">
        <v>56</v>
      </c>
      <c r="B259" s="39">
        <f>C251</f>
        <v>7456</v>
      </c>
      <c r="C259" s="39">
        <v>7882</v>
      </c>
      <c r="D259" s="39">
        <f>C259-B259</f>
        <v>426</v>
      </c>
      <c r="E259" s="47">
        <f>2726.69*1.15</f>
        <v>3135.6934999999999</v>
      </c>
      <c r="F259" s="48"/>
      <c r="G259" s="47">
        <f>1444.32*1.15</f>
        <v>1660.9679999999998</v>
      </c>
      <c r="H259" s="39" t="s">
        <v>19</v>
      </c>
      <c r="I259" s="39" t="s">
        <v>167</v>
      </c>
      <c r="J259" s="39">
        <v>29</v>
      </c>
      <c r="K259" s="39">
        <f>D259/J259</f>
        <v>14.689655172413794</v>
      </c>
      <c r="L259" s="47">
        <f>(E259+F259)/D259</f>
        <v>7.3607828638497645</v>
      </c>
    </row>
    <row r="260" spans="1:12">
      <c r="A260" s="39" t="s">
        <v>58</v>
      </c>
      <c r="B260" s="39"/>
      <c r="C260" s="39"/>
      <c r="D260" s="39"/>
      <c r="E260" s="47">
        <f>E258+F258+G258</f>
        <v>5135.9459999999999</v>
      </c>
      <c r="F260" s="48"/>
      <c r="G260" s="47"/>
      <c r="H260" s="39"/>
      <c r="I260" s="39"/>
      <c r="J260" s="39"/>
      <c r="K260" s="39"/>
      <c r="L260" s="47"/>
    </row>
    <row r="261" spans="1:12">
      <c r="A261" s="39" t="s">
        <v>59</v>
      </c>
      <c r="B261" s="39"/>
      <c r="C261" s="39"/>
      <c r="D261" s="39"/>
      <c r="E261" s="47">
        <f>E259+F259+G259</f>
        <v>4796.6615000000002</v>
      </c>
      <c r="F261" s="48"/>
      <c r="G261" s="47"/>
      <c r="H261" s="39"/>
      <c r="I261" s="39"/>
      <c r="J261" s="39"/>
      <c r="K261" s="39"/>
      <c r="L261" s="47"/>
    </row>
    <row r="262" spans="1:12">
      <c r="A262" s="39" t="s">
        <v>60</v>
      </c>
      <c r="B262" s="39"/>
      <c r="C262" s="39"/>
      <c r="D262" s="39"/>
      <c r="E262" s="47">
        <f>E260-E261</f>
        <v>339.28449999999975</v>
      </c>
      <c r="F262" s="48"/>
      <c r="G262" s="47"/>
      <c r="H262" s="39"/>
      <c r="I262" s="39"/>
      <c r="J262" s="39"/>
      <c r="K262" s="39"/>
      <c r="L262" s="47"/>
    </row>
    <row r="264" spans="1:12">
      <c r="A264" s="30">
        <v>44713</v>
      </c>
      <c r="B264" s="36"/>
      <c r="C264" s="36"/>
      <c r="D264" s="36"/>
      <c r="E264" s="36"/>
      <c r="F264" s="37"/>
      <c r="G264" s="36"/>
      <c r="H264" s="39"/>
      <c r="I264" s="39"/>
      <c r="J264" s="39"/>
      <c r="K264" s="39"/>
      <c r="L264" s="39"/>
    </row>
    <row r="265" spans="1:12">
      <c r="A265" s="36" t="s">
        <v>47</v>
      </c>
      <c r="B265" s="36" t="s">
        <v>48</v>
      </c>
      <c r="C265" s="36" t="s">
        <v>49</v>
      </c>
      <c r="D265" s="36" t="s">
        <v>50</v>
      </c>
      <c r="E265" s="36" t="s">
        <v>51</v>
      </c>
      <c r="F265" s="41" t="s">
        <v>82</v>
      </c>
      <c r="G265" s="36" t="s">
        <v>52</v>
      </c>
      <c r="H265" s="43" t="s">
        <v>7</v>
      </c>
      <c r="I265" s="43" t="s">
        <v>8</v>
      </c>
      <c r="J265" s="43" t="s">
        <v>9</v>
      </c>
      <c r="K265" s="43" t="s">
        <v>10</v>
      </c>
      <c r="L265" s="43" t="s">
        <v>11</v>
      </c>
    </row>
    <row r="266" spans="1:12">
      <c r="A266" s="39" t="s">
        <v>53</v>
      </c>
      <c r="B266" s="39">
        <f>C258</f>
        <v>8217</v>
      </c>
      <c r="C266" s="39">
        <v>8650</v>
      </c>
      <c r="D266" s="39">
        <f>C266-B266</f>
        <v>433</v>
      </c>
      <c r="E266" s="47">
        <f>1585.08*1.15</f>
        <v>1822.8419999999999</v>
      </c>
      <c r="F266" s="48">
        <f>1098.19*1.15</f>
        <v>1262.9185</v>
      </c>
      <c r="G266" s="47">
        <f>1585.08*1.15</f>
        <v>1822.8419999999999</v>
      </c>
      <c r="H266" s="39" t="s">
        <v>19</v>
      </c>
      <c r="I266" s="39" t="s">
        <v>168</v>
      </c>
      <c r="J266" s="39">
        <v>31</v>
      </c>
      <c r="K266" s="39">
        <f>D266/J266</f>
        <v>13.96774193548387</v>
      </c>
      <c r="L266" s="47">
        <f>(E266+F266)/D266</f>
        <v>7.1264676674364891</v>
      </c>
    </row>
    <row r="267" spans="1:12">
      <c r="A267" s="39" t="s">
        <v>56</v>
      </c>
      <c r="B267" s="39">
        <f>C259</f>
        <v>7882</v>
      </c>
      <c r="C267" s="39">
        <v>8302</v>
      </c>
      <c r="D267" s="39">
        <f>C267-B267</f>
        <v>420</v>
      </c>
      <c r="E267" s="47">
        <f>2401.11*1.15</f>
        <v>2761.2764999999999</v>
      </c>
      <c r="F267" s="48"/>
      <c r="G267" s="47">
        <f>1585.08*1.15</f>
        <v>1822.8419999999999</v>
      </c>
      <c r="H267" s="39" t="s">
        <v>19</v>
      </c>
      <c r="I267" s="39" t="s">
        <v>169</v>
      </c>
      <c r="J267" s="39">
        <v>30</v>
      </c>
      <c r="K267" s="39">
        <f>D267/J267</f>
        <v>14</v>
      </c>
      <c r="L267" s="47">
        <f>(E267+F267)/D267</f>
        <v>6.5744678571428574</v>
      </c>
    </row>
    <row r="268" spans="1:12">
      <c r="A268" s="39" t="s">
        <v>58</v>
      </c>
      <c r="B268" s="39"/>
      <c r="C268" s="39"/>
      <c r="D268" s="39"/>
      <c r="E268" s="47">
        <f>E266+F266+G266</f>
        <v>4908.6025</v>
      </c>
      <c r="F268" s="48"/>
      <c r="G268" s="47"/>
      <c r="H268" s="39"/>
      <c r="I268" s="39"/>
      <c r="J268" s="39"/>
      <c r="K268" s="39"/>
      <c r="L268" s="47"/>
    </row>
    <row r="269" spans="1:12">
      <c r="A269" s="39" t="s">
        <v>59</v>
      </c>
      <c r="B269" s="39"/>
      <c r="C269" s="39"/>
      <c r="D269" s="39"/>
      <c r="E269" s="47">
        <f>E267+F267+G267</f>
        <v>4584.1184999999996</v>
      </c>
      <c r="F269" s="48"/>
      <c r="G269" s="47"/>
      <c r="H269" s="39"/>
      <c r="I269" s="39"/>
      <c r="J269" s="39"/>
      <c r="K269" s="39"/>
      <c r="L269" s="47"/>
    </row>
    <row r="270" spans="1:12">
      <c r="A270" s="39" t="s">
        <v>60</v>
      </c>
      <c r="B270" s="39"/>
      <c r="C270" s="39"/>
      <c r="D270" s="39"/>
      <c r="E270" s="47">
        <f>E268-E269</f>
        <v>324.48400000000038</v>
      </c>
      <c r="F270" s="48"/>
      <c r="G270" s="47"/>
      <c r="H270" s="39"/>
      <c r="I270" s="39"/>
      <c r="J270" s="39"/>
      <c r="K270" s="39"/>
      <c r="L270" s="47"/>
    </row>
    <row r="272" spans="1:12">
      <c r="A272" s="30">
        <v>44743</v>
      </c>
      <c r="B272" s="36"/>
      <c r="C272" s="36"/>
      <c r="D272" s="36"/>
      <c r="E272" s="36"/>
      <c r="F272" s="37"/>
      <c r="G272" s="36"/>
      <c r="H272" s="39"/>
      <c r="I272" s="39"/>
      <c r="J272" s="39"/>
      <c r="K272" s="39"/>
      <c r="L272" s="39"/>
    </row>
    <row r="273" spans="1:12">
      <c r="A273" s="36" t="s">
        <v>47</v>
      </c>
      <c r="B273" s="36" t="s">
        <v>48</v>
      </c>
      <c r="C273" s="36" t="s">
        <v>49</v>
      </c>
      <c r="D273" s="36" t="s">
        <v>50</v>
      </c>
      <c r="E273" s="36" t="s">
        <v>51</v>
      </c>
      <c r="F273" s="41" t="s">
        <v>82</v>
      </c>
      <c r="G273" s="36" t="s">
        <v>52</v>
      </c>
      <c r="H273" s="43" t="s">
        <v>7</v>
      </c>
      <c r="I273" s="43" t="s">
        <v>8</v>
      </c>
      <c r="J273" s="43" t="s">
        <v>9</v>
      </c>
      <c r="K273" s="43" t="s">
        <v>10</v>
      </c>
      <c r="L273" s="43" t="s">
        <v>11</v>
      </c>
    </row>
    <row r="274" spans="1:12">
      <c r="A274" s="39" t="s">
        <v>53</v>
      </c>
      <c r="B274" s="39">
        <f>C266</f>
        <v>8650</v>
      </c>
      <c r="C274" s="39">
        <v>9095</v>
      </c>
      <c r="D274" s="39">
        <f>C274-B274</f>
        <v>445</v>
      </c>
      <c r="E274" s="47">
        <f>1437.55*1.15</f>
        <v>1653.1824999999999</v>
      </c>
      <c r="F274" s="48">
        <f>1790.15*1.15</f>
        <v>2058.6725000000001</v>
      </c>
      <c r="G274" s="47">
        <f>1585.08*1.15</f>
        <v>1822.8419999999999</v>
      </c>
      <c r="H274" s="39" t="s">
        <v>19</v>
      </c>
      <c r="I274" s="39" t="s">
        <v>170</v>
      </c>
      <c r="J274" s="39">
        <v>29</v>
      </c>
      <c r="K274" s="39">
        <f>D274/J274</f>
        <v>15.344827586206897</v>
      </c>
      <c r="L274" s="47">
        <f>(E274+F274)/D274</f>
        <v>8.3412471910112362</v>
      </c>
    </row>
    <row r="275" spans="1:12">
      <c r="A275" s="39" t="s">
        <v>56</v>
      </c>
      <c r="B275" s="39">
        <f>C267</f>
        <v>8302</v>
      </c>
      <c r="C275" s="39">
        <v>8745</v>
      </c>
      <c r="D275" s="39">
        <f>C275-B275</f>
        <v>443</v>
      </c>
      <c r="E275" s="47">
        <f>(2294.05+629.51)*1.15</f>
        <v>3362.0940000000001</v>
      </c>
      <c r="F275" s="48"/>
      <c r="G275" s="47">
        <f>1585.08*1.15</f>
        <v>1822.8419999999999</v>
      </c>
      <c r="H275" s="39" t="s">
        <v>19</v>
      </c>
      <c r="I275" s="39" t="s">
        <v>171</v>
      </c>
      <c r="J275" s="39">
        <v>30</v>
      </c>
      <c r="K275" s="39">
        <f>D275/J275</f>
        <v>14.766666666666667</v>
      </c>
      <c r="L275" s="47">
        <f>(E275+F275)/D275</f>
        <v>7.5893769751693005</v>
      </c>
    </row>
    <row r="276" spans="1:12">
      <c r="A276" s="39" t="s">
        <v>58</v>
      </c>
      <c r="B276" s="39"/>
      <c r="C276" s="39"/>
      <c r="D276" s="39"/>
      <c r="E276" s="47">
        <f>E274+F274+G274</f>
        <v>5534.6970000000001</v>
      </c>
      <c r="F276" s="48"/>
      <c r="G276" s="47"/>
      <c r="H276" s="39"/>
      <c r="I276" s="39"/>
      <c r="J276" s="39"/>
      <c r="K276" s="39"/>
      <c r="L276" s="47"/>
    </row>
    <row r="277" spans="1:12">
      <c r="A277" s="39" t="s">
        <v>59</v>
      </c>
      <c r="B277" s="39"/>
      <c r="C277" s="39"/>
      <c r="D277" s="39"/>
      <c r="E277" s="47">
        <f>E275+F275+G275</f>
        <v>5184.9359999999997</v>
      </c>
      <c r="F277" s="48"/>
      <c r="G277" s="47"/>
      <c r="H277" s="39"/>
      <c r="I277" s="39"/>
      <c r="J277" s="39"/>
      <c r="K277" s="39"/>
      <c r="L277" s="47"/>
    </row>
    <row r="278" spans="1:12">
      <c r="A278" s="39" t="s">
        <v>60</v>
      </c>
      <c r="B278" s="39"/>
      <c r="C278" s="39"/>
      <c r="D278" s="39"/>
      <c r="E278" s="47">
        <f>E276-E277</f>
        <v>349.76100000000042</v>
      </c>
      <c r="F278" s="48"/>
      <c r="G278" s="47"/>
      <c r="H278" s="39"/>
      <c r="I278" s="39"/>
      <c r="J278" s="39"/>
      <c r="K278" s="39"/>
      <c r="L278" s="47"/>
    </row>
    <row r="280" spans="1:12">
      <c r="A280" s="30">
        <v>44774</v>
      </c>
      <c r="B280" s="36"/>
      <c r="C280" s="36"/>
      <c r="D280" s="36"/>
      <c r="E280" s="36"/>
      <c r="F280" s="37"/>
      <c r="G280" s="36"/>
      <c r="H280" s="39"/>
      <c r="I280" s="39"/>
      <c r="J280" s="39"/>
      <c r="K280" s="39"/>
      <c r="L280" s="39"/>
    </row>
    <row r="281" spans="1:12">
      <c r="A281" s="36" t="s">
        <v>47</v>
      </c>
      <c r="B281" s="36" t="s">
        <v>48</v>
      </c>
      <c r="C281" s="36" t="s">
        <v>49</v>
      </c>
      <c r="D281" s="36" t="s">
        <v>50</v>
      </c>
      <c r="E281" s="36" t="s">
        <v>51</v>
      </c>
      <c r="F281" s="41" t="s">
        <v>82</v>
      </c>
      <c r="G281" s="36" t="s">
        <v>52</v>
      </c>
      <c r="H281" s="43" t="s">
        <v>7</v>
      </c>
      <c r="I281" s="43" t="s">
        <v>8</v>
      </c>
      <c r="J281" s="43" t="s">
        <v>9</v>
      </c>
      <c r="K281" s="43" t="s">
        <v>10</v>
      </c>
      <c r="L281" s="43" t="s">
        <v>11</v>
      </c>
    </row>
    <row r="282" spans="1:12">
      <c r="A282" s="39" t="s">
        <v>53</v>
      </c>
      <c r="B282" s="39">
        <f>C274</f>
        <v>9095</v>
      </c>
      <c r="C282" s="39">
        <v>9605</v>
      </c>
      <c r="D282" s="39">
        <f>C282-B282</f>
        <v>510</v>
      </c>
      <c r="E282" s="47">
        <f>4312.15*1.15</f>
        <v>4958.9724999999989</v>
      </c>
      <c r="F282" s="48">
        <f>372.15*1.15</f>
        <v>427.97249999999997</v>
      </c>
      <c r="G282" s="47">
        <f>1585.08*1.15</f>
        <v>1822.8419999999999</v>
      </c>
      <c r="H282" s="39" t="s">
        <v>19</v>
      </c>
      <c r="I282" s="39" t="s">
        <v>172</v>
      </c>
      <c r="J282" s="39">
        <v>33</v>
      </c>
      <c r="K282" s="39">
        <f>D282/J282</f>
        <v>15.454545454545455</v>
      </c>
      <c r="L282" s="47">
        <f>(E282+F282)/D282</f>
        <v>10.562637254901958</v>
      </c>
    </row>
    <row r="283" spans="1:12">
      <c r="A283" s="39" t="s">
        <v>56</v>
      </c>
      <c r="B283" s="39">
        <f>C275</f>
        <v>8745</v>
      </c>
      <c r="C283" s="39">
        <v>9198</v>
      </c>
      <c r="D283" s="39">
        <f>C283-B283</f>
        <v>453</v>
      </c>
      <c r="E283" s="47">
        <f>3370.12*1.15</f>
        <v>3875.6379999999995</v>
      </c>
      <c r="F283" s="48"/>
      <c r="G283" s="47">
        <f>1585.08*1.15</f>
        <v>1822.8419999999999</v>
      </c>
      <c r="H283" s="39" t="s">
        <v>19</v>
      </c>
      <c r="I283" s="39" t="s">
        <v>173</v>
      </c>
      <c r="J283" s="39">
        <v>30</v>
      </c>
      <c r="K283" s="39">
        <f>D283/J283</f>
        <v>15.1</v>
      </c>
      <c r="L283" s="47">
        <f>(E283+F283)/D283</f>
        <v>8.5554922737306836</v>
      </c>
    </row>
    <row r="284" spans="1:12">
      <c r="A284" s="39" t="s">
        <v>58</v>
      </c>
      <c r="B284" s="39"/>
      <c r="C284" s="39"/>
      <c r="D284" s="39"/>
      <c r="E284" s="47">
        <f>E282+F282+G282</f>
        <v>7209.7869999999984</v>
      </c>
      <c r="F284" s="48"/>
      <c r="G284" s="47"/>
      <c r="H284" s="39"/>
      <c r="I284" s="39"/>
      <c r="J284" s="39"/>
      <c r="K284" s="39"/>
      <c r="L284" s="47"/>
    </row>
    <row r="285" spans="1:12">
      <c r="A285" s="39" t="s">
        <v>59</v>
      </c>
      <c r="B285" s="39"/>
      <c r="C285" s="39"/>
      <c r="D285" s="39"/>
      <c r="E285" s="47">
        <f>E283+F283+G283</f>
        <v>5698.48</v>
      </c>
      <c r="F285" s="48"/>
      <c r="G285" s="47"/>
      <c r="H285" s="39"/>
      <c r="I285" s="39"/>
      <c r="J285" s="39"/>
      <c r="K285" s="39"/>
      <c r="L285" s="47"/>
    </row>
    <row r="286" spans="1:12">
      <c r="A286" s="39" t="s">
        <v>60</v>
      </c>
      <c r="B286" s="39"/>
      <c r="C286" s="39"/>
      <c r="D286" s="39"/>
      <c r="E286" s="47">
        <f>E284-E285</f>
        <v>1511.3069999999989</v>
      </c>
      <c r="F286" s="48"/>
      <c r="G286" s="47"/>
      <c r="H286" s="39"/>
      <c r="I286" s="39"/>
      <c r="J286" s="39"/>
      <c r="K286" s="39"/>
      <c r="L286" s="47"/>
    </row>
    <row r="288" spans="1:12">
      <c r="A288" s="30">
        <v>44805</v>
      </c>
      <c r="B288" s="36"/>
      <c r="C288" s="36"/>
      <c r="D288" s="36"/>
      <c r="E288" s="36"/>
      <c r="F288" s="37"/>
      <c r="G288" s="36"/>
      <c r="H288" s="39"/>
      <c r="I288" s="39"/>
      <c r="J288" s="39"/>
      <c r="K288" s="39"/>
      <c r="L288" s="39"/>
    </row>
    <row r="289" spans="1:12">
      <c r="A289" s="36" t="s">
        <v>47</v>
      </c>
      <c r="B289" s="36" t="s">
        <v>48</v>
      </c>
      <c r="C289" s="36" t="s">
        <v>49</v>
      </c>
      <c r="D289" s="36" t="s">
        <v>50</v>
      </c>
      <c r="E289" s="36" t="s">
        <v>51</v>
      </c>
      <c r="F289" s="41" t="s">
        <v>82</v>
      </c>
      <c r="G289" s="36" t="s">
        <v>52</v>
      </c>
      <c r="H289" s="43" t="s">
        <v>7</v>
      </c>
      <c r="I289" s="43" t="s">
        <v>8</v>
      </c>
      <c r="J289" s="43" t="s">
        <v>9</v>
      </c>
      <c r="K289" s="43" t="s">
        <v>10</v>
      </c>
      <c r="L289" s="43" t="s">
        <v>11</v>
      </c>
    </row>
    <row r="290" spans="1:12">
      <c r="A290" s="39" t="s">
        <v>53</v>
      </c>
      <c r="B290" s="39">
        <f>C282</f>
        <v>9605</v>
      </c>
      <c r="C290" s="39">
        <v>10104</v>
      </c>
      <c r="D290" s="39">
        <f>C290-B290</f>
        <v>499</v>
      </c>
      <c r="E290" s="47">
        <f>1737.54*1.15</f>
        <v>1998.1709999999998</v>
      </c>
      <c r="F290" s="48">
        <f>2692.2*1.15</f>
        <v>3096.0299999999997</v>
      </c>
      <c r="G290" s="47">
        <f>1585.08*1.15</f>
        <v>1822.8419999999999</v>
      </c>
      <c r="H290" s="39" t="s">
        <v>19</v>
      </c>
      <c r="I290" s="39" t="s">
        <v>174</v>
      </c>
      <c r="J290" s="39">
        <v>30</v>
      </c>
      <c r="K290" s="39">
        <f>D290/J290</f>
        <v>16.633333333333333</v>
      </c>
      <c r="L290" s="47">
        <f>(E290+F290)/D290</f>
        <v>10.208819639278556</v>
      </c>
    </row>
    <row r="291" spans="1:12">
      <c r="A291" s="39" t="s">
        <v>56</v>
      </c>
      <c r="B291" s="39">
        <f>C283</f>
        <v>9198</v>
      </c>
      <c r="C291" s="39">
        <v>9705</v>
      </c>
      <c r="D291" s="39">
        <f>C291-B291</f>
        <v>507</v>
      </c>
      <c r="E291" s="47">
        <f>4348.38*1.15</f>
        <v>5000.6369999999997</v>
      </c>
      <c r="F291" s="48"/>
      <c r="G291" s="47">
        <f>1585.08*1.15</f>
        <v>1822.8419999999999</v>
      </c>
      <c r="H291" s="39" t="s">
        <v>19</v>
      </c>
      <c r="I291" s="39" t="s">
        <v>175</v>
      </c>
      <c r="J291" s="39">
        <v>31</v>
      </c>
      <c r="K291" s="39">
        <f>D291/J291</f>
        <v>16.35483870967742</v>
      </c>
      <c r="L291" s="47">
        <f>(E291+F291)/D291</f>
        <v>9.8631893491124263</v>
      </c>
    </row>
    <row r="292" spans="1:12">
      <c r="A292" s="39" t="s">
        <v>58</v>
      </c>
      <c r="B292" s="39"/>
      <c r="C292" s="39"/>
      <c r="D292" s="39"/>
      <c r="E292" s="47">
        <f>E290+F290+G290</f>
        <v>6917.0429999999988</v>
      </c>
      <c r="F292" s="48"/>
      <c r="G292" s="47"/>
      <c r="H292" s="39"/>
      <c r="I292" s="39"/>
      <c r="J292" s="39"/>
      <c r="K292" s="39"/>
      <c r="L292" s="47"/>
    </row>
    <row r="293" spans="1:12">
      <c r="A293" s="39" t="s">
        <v>59</v>
      </c>
      <c r="B293" s="39"/>
      <c r="C293" s="39"/>
      <c r="D293" s="39"/>
      <c r="E293" s="47">
        <f>E291+F291+G291</f>
        <v>6823.4789999999994</v>
      </c>
      <c r="F293" s="48"/>
      <c r="G293" s="47"/>
      <c r="H293" s="39"/>
      <c r="I293" s="39"/>
      <c r="J293" s="39"/>
      <c r="K293" s="39"/>
      <c r="L293" s="47"/>
    </row>
    <row r="294" spans="1:12">
      <c r="A294" s="39" t="s">
        <v>60</v>
      </c>
      <c r="B294" s="39"/>
      <c r="C294" s="39"/>
      <c r="D294" s="39"/>
      <c r="E294" s="47">
        <f>E292-E293</f>
        <v>93.563999999999396</v>
      </c>
      <c r="F294" s="48"/>
      <c r="G294" s="47"/>
      <c r="H294" s="39"/>
      <c r="I294" s="39"/>
      <c r="J294" s="39"/>
      <c r="K294" s="39"/>
      <c r="L294" s="47"/>
    </row>
    <row r="296" spans="1:12">
      <c r="A296" s="30">
        <v>44835</v>
      </c>
      <c r="B296" s="36"/>
      <c r="C296" s="36"/>
      <c r="D296" s="36"/>
      <c r="E296" s="36"/>
      <c r="F296" s="37"/>
      <c r="G296" s="36"/>
      <c r="H296" s="39"/>
      <c r="I296" s="39"/>
      <c r="J296" s="39"/>
      <c r="K296" s="39"/>
      <c r="L296" s="39"/>
    </row>
    <row r="297" spans="1:12">
      <c r="A297" s="36" t="s">
        <v>47</v>
      </c>
      <c r="B297" s="36" t="s">
        <v>48</v>
      </c>
      <c r="C297" s="36" t="s">
        <v>49</v>
      </c>
      <c r="D297" s="36" t="s">
        <v>50</v>
      </c>
      <c r="E297" s="36" t="s">
        <v>51</v>
      </c>
      <c r="F297" s="41" t="s">
        <v>82</v>
      </c>
      <c r="G297" s="36" t="s">
        <v>52</v>
      </c>
      <c r="H297" s="43" t="s">
        <v>7</v>
      </c>
      <c r="I297" s="43" t="s">
        <v>8</v>
      </c>
      <c r="J297" s="43" t="s">
        <v>9</v>
      </c>
      <c r="K297" s="43" t="s">
        <v>10</v>
      </c>
      <c r="L297" s="43" t="s">
        <v>11</v>
      </c>
    </row>
    <row r="298" spans="1:12">
      <c r="A298" s="39" t="s">
        <v>53</v>
      </c>
      <c r="B298" s="39">
        <f>C290</f>
        <v>10104</v>
      </c>
      <c r="C298" s="39">
        <v>10534</v>
      </c>
      <c r="D298" s="39">
        <f>C298-B298</f>
        <v>430</v>
      </c>
      <c r="E298" s="47">
        <f>1852.72*1.15</f>
        <v>2130.6279999999997</v>
      </c>
      <c r="F298" s="48">
        <f>1585.08*1.15</f>
        <v>1822.8419999999999</v>
      </c>
      <c r="G298" s="47">
        <f>1585.08*1.15</f>
        <v>1822.8419999999999</v>
      </c>
      <c r="H298" s="39" t="s">
        <v>19</v>
      </c>
      <c r="I298" s="39" t="s">
        <v>176</v>
      </c>
      <c r="J298" s="39">
        <v>31</v>
      </c>
      <c r="K298" s="39">
        <f>D298/J298</f>
        <v>13.870967741935484</v>
      </c>
      <c r="L298" s="47">
        <f>(E298+F298)/D298</f>
        <v>9.1941162790697657</v>
      </c>
    </row>
    <row r="299" spans="1:12">
      <c r="A299" s="39" t="s">
        <v>56</v>
      </c>
      <c r="B299" s="39">
        <f>C291</f>
        <v>9705</v>
      </c>
      <c r="C299" s="39">
        <v>10169</v>
      </c>
      <c r="D299" s="39">
        <f>C299-B299</f>
        <v>464</v>
      </c>
      <c r="E299" s="47">
        <f>3614.98*1.15</f>
        <v>4157.2269999999999</v>
      </c>
      <c r="F299" s="48"/>
      <c r="G299" s="47">
        <f>1585.08*1.15</f>
        <v>1822.8419999999999</v>
      </c>
      <c r="H299" s="39" t="s">
        <v>19</v>
      </c>
      <c r="I299" s="39" t="s">
        <v>177</v>
      </c>
      <c r="J299" s="39">
        <v>30</v>
      </c>
      <c r="K299" s="39">
        <f>D299/J299</f>
        <v>15.466666666666667</v>
      </c>
      <c r="L299" s="47">
        <f>(E299+F299)/D299</f>
        <v>8.9595409482758619</v>
      </c>
    </row>
    <row r="300" spans="1:12">
      <c r="A300" s="39" t="s">
        <v>58</v>
      </c>
      <c r="B300" s="39"/>
      <c r="C300" s="39"/>
      <c r="D300" s="39"/>
      <c r="E300" s="47">
        <f>E298+F298+G298</f>
        <v>5776.311999999999</v>
      </c>
      <c r="F300" s="48"/>
      <c r="G300" s="47"/>
      <c r="H300" s="39"/>
      <c r="I300" s="39"/>
      <c r="J300" s="39"/>
      <c r="K300" s="39"/>
      <c r="L300" s="47"/>
    </row>
    <row r="301" spans="1:12">
      <c r="A301" s="39" t="s">
        <v>59</v>
      </c>
      <c r="B301" s="39"/>
      <c r="C301" s="39"/>
      <c r="D301" s="39"/>
      <c r="E301" s="47">
        <f>E299+F299+G299</f>
        <v>5980.0689999999995</v>
      </c>
      <c r="F301" s="48"/>
      <c r="G301" s="47"/>
      <c r="H301" s="39"/>
      <c r="I301" s="39"/>
      <c r="J301" s="39"/>
      <c r="K301" s="39"/>
      <c r="L301" s="47"/>
    </row>
    <row r="302" spans="1:12">
      <c r="A302" s="39" t="s">
        <v>60</v>
      </c>
      <c r="B302" s="39"/>
      <c r="C302" s="39"/>
      <c r="D302" s="39"/>
      <c r="E302" s="47">
        <f>E300-E301</f>
        <v>-203.75700000000052</v>
      </c>
      <c r="F302" s="48"/>
      <c r="G302" s="47"/>
      <c r="H302" s="39"/>
      <c r="I302" s="39"/>
      <c r="J302" s="39"/>
      <c r="K302" s="39"/>
      <c r="L302" s="47"/>
    </row>
    <row r="304" spans="1:12">
      <c r="A304" s="30">
        <v>44866</v>
      </c>
      <c r="B304" s="36"/>
      <c r="C304" s="36"/>
      <c r="D304" s="36"/>
      <c r="E304" s="36"/>
      <c r="F304" s="37"/>
      <c r="G304" s="36"/>
      <c r="H304" s="39"/>
      <c r="I304" s="39"/>
      <c r="J304" s="39"/>
      <c r="K304" s="39"/>
      <c r="L304" s="39"/>
    </row>
    <row r="305" spans="1:12">
      <c r="A305" s="36" t="s">
        <v>47</v>
      </c>
      <c r="B305" s="36" t="s">
        <v>48</v>
      </c>
      <c r="C305" s="36" t="s">
        <v>49</v>
      </c>
      <c r="D305" s="36" t="s">
        <v>50</v>
      </c>
      <c r="E305" s="36" t="s">
        <v>51</v>
      </c>
      <c r="F305" s="41" t="s">
        <v>82</v>
      </c>
      <c r="G305" s="36" t="s">
        <v>52</v>
      </c>
      <c r="H305" s="43" t="s">
        <v>7</v>
      </c>
      <c r="I305" s="43" t="s">
        <v>8</v>
      </c>
      <c r="J305" s="43" t="s">
        <v>9</v>
      </c>
      <c r="K305" s="43" t="s">
        <v>10</v>
      </c>
      <c r="L305" s="43" t="s">
        <v>11</v>
      </c>
    </row>
    <row r="306" spans="1:12">
      <c r="A306" s="39" t="s">
        <v>53</v>
      </c>
      <c r="B306" s="39">
        <f>C298</f>
        <v>10534</v>
      </c>
      <c r="C306" s="39">
        <v>10949</v>
      </c>
      <c r="D306" s="39">
        <f>C306-B306</f>
        <v>415</v>
      </c>
      <c r="E306" s="47">
        <f>1874.98*1.15</f>
        <v>2156.2269999999999</v>
      </c>
      <c r="F306" s="48">
        <f>684.92*1.15</f>
        <v>787.6579999999999</v>
      </c>
      <c r="G306" s="47">
        <f>1585.08*1.15</f>
        <v>1822.8419999999999</v>
      </c>
      <c r="H306" s="39" t="s">
        <v>19</v>
      </c>
      <c r="I306" s="39" t="s">
        <v>178</v>
      </c>
      <c r="J306" s="39">
        <v>30</v>
      </c>
      <c r="K306" s="39">
        <f>D306/J306</f>
        <v>13.833333333333334</v>
      </c>
      <c r="L306" s="47">
        <f>(E306+F306)/D306</f>
        <v>7.093698795180722</v>
      </c>
    </row>
    <row r="307" spans="1:12">
      <c r="A307" s="39" t="s">
        <v>56</v>
      </c>
      <c r="B307" s="39">
        <f>C299</f>
        <v>10169</v>
      </c>
      <c r="C307" s="39">
        <v>10573</v>
      </c>
      <c r="D307" s="39">
        <f>C307-B307</f>
        <v>404</v>
      </c>
      <c r="E307" s="47">
        <f>2503.18*1.15</f>
        <v>2878.6569999999997</v>
      </c>
      <c r="F307" s="48"/>
      <c r="G307" s="47">
        <f>1585.08*1.15</f>
        <v>1822.8419999999999</v>
      </c>
      <c r="H307" s="39" t="s">
        <v>19</v>
      </c>
      <c r="I307" s="39" t="s">
        <v>179</v>
      </c>
      <c r="J307" s="39">
        <v>29</v>
      </c>
      <c r="K307" s="39">
        <f>D307/J307</f>
        <v>13.931034482758621</v>
      </c>
      <c r="L307" s="47">
        <f>(E307+F307)/D307</f>
        <v>7.1253886138613858</v>
      </c>
    </row>
    <row r="308" spans="1:12">
      <c r="A308" s="39" t="s">
        <v>58</v>
      </c>
      <c r="B308" s="39"/>
      <c r="C308" s="39"/>
      <c r="D308" s="39"/>
      <c r="E308" s="47">
        <f>E306+F306+G306</f>
        <v>4766.7269999999999</v>
      </c>
      <c r="F308" s="48"/>
      <c r="G308" s="47"/>
      <c r="H308" s="39"/>
      <c r="I308" s="39"/>
      <c r="J308" s="39"/>
      <c r="K308" s="39"/>
      <c r="L308" s="47"/>
    </row>
    <row r="309" spans="1:12">
      <c r="A309" s="39" t="s">
        <v>59</v>
      </c>
      <c r="B309" s="39"/>
      <c r="C309" s="39"/>
      <c r="D309" s="39"/>
      <c r="E309" s="47">
        <f>E307+F307+G307</f>
        <v>4701.4989999999998</v>
      </c>
      <c r="F309" s="48"/>
      <c r="G309" s="47"/>
      <c r="H309" s="39"/>
      <c r="I309" s="39"/>
      <c r="J309" s="39"/>
      <c r="K309" s="39"/>
      <c r="L309" s="47"/>
    </row>
    <row r="310" spans="1:12">
      <c r="A310" s="39" t="s">
        <v>60</v>
      </c>
      <c r="B310" s="39"/>
      <c r="C310" s="39"/>
      <c r="D310" s="39"/>
      <c r="E310" s="47">
        <f>E308-E309</f>
        <v>65.228000000000065</v>
      </c>
      <c r="F310" s="48"/>
      <c r="G310" s="47"/>
      <c r="H310" s="39"/>
      <c r="I310" s="39"/>
      <c r="J310" s="39"/>
      <c r="K310" s="39"/>
      <c r="L310" s="47"/>
    </row>
    <row r="312" spans="1:12">
      <c r="A312" s="30">
        <v>44896</v>
      </c>
      <c r="B312" s="36"/>
      <c r="C312" s="36"/>
      <c r="D312" s="36"/>
      <c r="E312" s="36"/>
      <c r="F312" s="37"/>
      <c r="G312" s="36"/>
      <c r="H312" s="39"/>
      <c r="I312" s="39"/>
      <c r="J312" s="39"/>
      <c r="K312" s="39"/>
      <c r="L312" s="39"/>
    </row>
    <row r="313" spans="1:12">
      <c r="A313" s="36" t="s">
        <v>47</v>
      </c>
      <c r="B313" s="36" t="s">
        <v>48</v>
      </c>
      <c r="C313" s="36" t="s">
        <v>49</v>
      </c>
      <c r="D313" s="36" t="s">
        <v>50</v>
      </c>
      <c r="E313" s="36" t="s">
        <v>51</v>
      </c>
      <c r="F313" s="41" t="s">
        <v>82</v>
      </c>
      <c r="G313" s="36" t="s">
        <v>52</v>
      </c>
      <c r="H313" s="43" t="s">
        <v>7</v>
      </c>
      <c r="I313" s="43" t="s">
        <v>8</v>
      </c>
      <c r="J313" s="43" t="s">
        <v>9</v>
      </c>
      <c r="K313" s="43" t="s">
        <v>10</v>
      </c>
      <c r="L313" s="43" t="s">
        <v>11</v>
      </c>
    </row>
    <row r="314" spans="1:12">
      <c r="A314" s="39" t="s">
        <v>53</v>
      </c>
      <c r="B314" s="39">
        <f>C306</f>
        <v>10949</v>
      </c>
      <c r="C314" s="39">
        <v>11486</v>
      </c>
      <c r="D314" s="39">
        <f>C314-B314</f>
        <v>537</v>
      </c>
      <c r="E314" s="47">
        <f>3424.52*1.15</f>
        <v>3938.1979999999999</v>
      </c>
      <c r="F314" s="48">
        <f>1886.99*1.15</f>
        <v>2170.0384999999997</v>
      </c>
      <c r="G314" s="47">
        <f>1585.08*1.15</f>
        <v>1822.8419999999999</v>
      </c>
      <c r="H314" s="39" t="s">
        <v>19</v>
      </c>
      <c r="I314" s="39" t="s">
        <v>180</v>
      </c>
      <c r="J314" s="39">
        <v>35</v>
      </c>
      <c r="K314" s="39">
        <f>D314/J314</f>
        <v>15.342857142857143</v>
      </c>
      <c r="L314" s="47">
        <f>(E314+F314)/D314</f>
        <v>11.374742085661078</v>
      </c>
    </row>
    <row r="315" spans="1:12">
      <c r="A315" s="39" t="s">
        <v>56</v>
      </c>
      <c r="B315" s="39">
        <f>C307</f>
        <v>10573</v>
      </c>
      <c r="C315" s="39">
        <v>10998</v>
      </c>
      <c r="D315" s="39">
        <f>C315-B315</f>
        <v>425</v>
      </c>
      <c r="E315" s="47">
        <f>2746.84*1.15</f>
        <v>3158.866</v>
      </c>
      <c r="F315" s="48"/>
      <c r="G315" s="47">
        <f>1585.08*1.15</f>
        <v>1822.8419999999999</v>
      </c>
      <c r="H315" s="39" t="s">
        <v>19</v>
      </c>
      <c r="I315" s="39" t="s">
        <v>181</v>
      </c>
      <c r="J315" s="39">
        <v>30</v>
      </c>
      <c r="K315" s="39">
        <f>D315/J315</f>
        <v>14.166666666666666</v>
      </c>
      <c r="L315" s="47">
        <f>(E315+F315)/D315</f>
        <v>7.4326258823529407</v>
      </c>
    </row>
    <row r="316" spans="1:12">
      <c r="A316" s="39" t="s">
        <v>58</v>
      </c>
      <c r="B316" s="39"/>
      <c r="C316" s="39"/>
      <c r="D316" s="39"/>
      <c r="E316" s="47">
        <f>E314+F314+G314</f>
        <v>7931.0784999999987</v>
      </c>
      <c r="F316" s="48"/>
      <c r="G316" s="47"/>
      <c r="H316" s="39"/>
      <c r="I316" s="39"/>
      <c r="J316" s="39"/>
      <c r="K316" s="39"/>
      <c r="L316" s="47"/>
    </row>
    <row r="317" spans="1:12">
      <c r="A317" s="39" t="s">
        <v>59</v>
      </c>
      <c r="B317" s="39"/>
      <c r="C317" s="39"/>
      <c r="D317" s="39"/>
      <c r="E317" s="47">
        <f>E315+F315+G315</f>
        <v>4981.7079999999996</v>
      </c>
      <c r="F317" s="48"/>
      <c r="G317" s="47"/>
      <c r="H317" s="39"/>
      <c r="I317" s="39"/>
      <c r="J317" s="39"/>
      <c r="K317" s="39"/>
      <c r="L317" s="47"/>
    </row>
    <row r="318" spans="1:12">
      <c r="A318" s="39" t="s">
        <v>60</v>
      </c>
      <c r="B318" s="39"/>
      <c r="C318" s="39"/>
      <c r="D318" s="39"/>
      <c r="E318" s="47">
        <f>E316-E317</f>
        <v>2949.3704999999991</v>
      </c>
      <c r="F318" s="48"/>
      <c r="G318" s="47"/>
      <c r="H318" s="39"/>
      <c r="I318" s="39"/>
      <c r="J318" s="39"/>
      <c r="K318" s="39"/>
      <c r="L318" s="47"/>
    </row>
  </sheetData>
  <pageMargins left="0.7" right="0.7" top="0.75" bottom="0.75" header="0.3" footer="0.3"/>
  <pageSetup paperSize="9" scale="8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5AC46-A789-48C7-AE05-64EC54AE45FC}">
  <dimension ref="A1:AE21"/>
  <sheetViews>
    <sheetView topLeftCell="B4" workbookViewId="0">
      <selection activeCell="AE20" sqref="AE20"/>
    </sheetView>
  </sheetViews>
  <sheetFormatPr defaultRowHeight="15"/>
  <cols>
    <col min="13" max="14" width="12.5703125" hidden="1" customWidth="1"/>
    <col min="15" max="15" width="17.42578125" hidden="1" customWidth="1"/>
    <col min="17" max="18" width="12.7109375" hidden="1" customWidth="1"/>
    <col min="19" max="19" width="17.42578125" hidden="1" customWidth="1"/>
    <col min="21" max="22" width="13.28515625" hidden="1" customWidth="1"/>
    <col min="23" max="23" width="17.42578125" hidden="1" customWidth="1"/>
    <col min="25" max="26" width="12" hidden="1" customWidth="1"/>
    <col min="27" max="27" width="17.42578125" hidden="1" customWidth="1"/>
    <col min="29" max="30" width="12" bestFit="1" customWidth="1"/>
    <col min="31" max="31" width="17.42578125" bestFit="1" customWidth="1"/>
  </cols>
  <sheetData>
    <row r="1" spans="1:31" ht="18.75">
      <c r="A1" s="1" t="s">
        <v>182</v>
      </c>
    </row>
    <row r="2" spans="1:31">
      <c r="M2" t="s">
        <v>183</v>
      </c>
      <c r="N2" t="s">
        <v>184</v>
      </c>
      <c r="O2" t="s">
        <v>185</v>
      </c>
      <c r="Q2" t="s">
        <v>183</v>
      </c>
      <c r="R2" t="s">
        <v>184</v>
      </c>
      <c r="S2" t="s">
        <v>185</v>
      </c>
      <c r="U2" t="s">
        <v>183</v>
      </c>
      <c r="V2" t="s">
        <v>184</v>
      </c>
      <c r="W2" t="s">
        <v>185</v>
      </c>
      <c r="Y2" t="s">
        <v>183</v>
      </c>
      <c r="Z2" t="s">
        <v>184</v>
      </c>
      <c r="AA2" t="s">
        <v>185</v>
      </c>
      <c r="AC2" t="s">
        <v>183</v>
      </c>
      <c r="AD2" t="s">
        <v>184</v>
      </c>
      <c r="AE2" t="s">
        <v>185</v>
      </c>
    </row>
    <row r="3" spans="1:31">
      <c r="L3" s="32">
        <v>43466</v>
      </c>
      <c r="M3" s="15">
        <v>65857.679999999993</v>
      </c>
      <c r="N3" s="15">
        <v>18571.5</v>
      </c>
      <c r="O3" s="23" t="s">
        <v>186</v>
      </c>
      <c r="P3" s="32">
        <v>43525</v>
      </c>
      <c r="Q3" s="15">
        <v>5751.87</v>
      </c>
      <c r="R3" s="15">
        <v>6432.44</v>
      </c>
      <c r="S3" s="23" t="s">
        <v>187</v>
      </c>
      <c r="T3" s="32">
        <v>43891</v>
      </c>
      <c r="U3" s="33">
        <v>11002.015499999998</v>
      </c>
      <c r="V3" s="33">
        <v>4581.8989999999994</v>
      </c>
      <c r="W3" s="24" t="s">
        <v>188</v>
      </c>
      <c r="X3" s="32">
        <v>44256</v>
      </c>
      <c r="Y3" s="35">
        <v>9361.0285000000003</v>
      </c>
      <c r="Z3" s="35">
        <v>0</v>
      </c>
      <c r="AA3" s="24" t="s">
        <v>187</v>
      </c>
      <c r="AB3" s="32">
        <v>44621</v>
      </c>
      <c r="AC3">
        <v>4342.9979999999996</v>
      </c>
      <c r="AD3">
        <v>3242.7815000000001</v>
      </c>
      <c r="AE3" s="24" t="s">
        <v>187</v>
      </c>
    </row>
    <row r="4" spans="1:31">
      <c r="L4" s="32">
        <v>43497</v>
      </c>
      <c r="M4" s="15">
        <v>5751.87</v>
      </c>
      <c r="N4" s="15">
        <v>9525</v>
      </c>
      <c r="O4" s="23" t="s">
        <v>187</v>
      </c>
      <c r="P4" s="32">
        <v>43556</v>
      </c>
      <c r="Q4" s="15">
        <v>4072.5</v>
      </c>
      <c r="R4" s="15">
        <v>1803.94</v>
      </c>
      <c r="S4" s="23" t="s">
        <v>187</v>
      </c>
      <c r="T4" s="32">
        <v>43922</v>
      </c>
      <c r="U4" s="33">
        <v>11002.015499999998</v>
      </c>
      <c r="V4" s="33">
        <v>17765.613999999998</v>
      </c>
      <c r="W4" s="24" t="s">
        <v>188</v>
      </c>
      <c r="X4" s="32">
        <v>44287</v>
      </c>
      <c r="Y4" s="35">
        <v>7478.5484999999999</v>
      </c>
      <c r="Z4" s="35">
        <v>4548.9745000000003</v>
      </c>
      <c r="AA4" s="24" t="s">
        <v>187</v>
      </c>
      <c r="AB4" s="32">
        <v>44652</v>
      </c>
      <c r="AC4">
        <v>4133.0999999999995</v>
      </c>
      <c r="AD4" s="35">
        <v>4274.8490000000002</v>
      </c>
      <c r="AE4" s="24" t="s">
        <v>187</v>
      </c>
    </row>
    <row r="5" spans="1:31">
      <c r="P5" s="32">
        <v>43586</v>
      </c>
      <c r="Q5" s="15">
        <v>5751.89</v>
      </c>
      <c r="R5" s="15">
        <v>18509.28</v>
      </c>
      <c r="S5" s="23" t="s">
        <v>189</v>
      </c>
      <c r="T5" s="32">
        <v>43952</v>
      </c>
      <c r="U5" s="33">
        <v>11002.015499999998</v>
      </c>
      <c r="V5" s="33">
        <v>14888.003499999997</v>
      </c>
      <c r="W5" s="24" t="s">
        <v>188</v>
      </c>
      <c r="X5" s="32">
        <v>44317</v>
      </c>
      <c r="Y5" s="35">
        <v>7836.1804999999986</v>
      </c>
      <c r="Z5" s="35">
        <v>4406.616</v>
      </c>
      <c r="AA5" s="24" t="s">
        <v>187</v>
      </c>
      <c r="AB5" s="32">
        <v>44682</v>
      </c>
      <c r="AC5" s="35">
        <v>5135.9459999999999</v>
      </c>
      <c r="AD5" s="35">
        <v>4796.6615000000002</v>
      </c>
      <c r="AE5" s="24" t="s">
        <v>187</v>
      </c>
    </row>
    <row r="6" spans="1:31">
      <c r="P6" s="32">
        <v>43617</v>
      </c>
      <c r="Q6" s="15">
        <v>5626.59</v>
      </c>
      <c r="R6" s="15">
        <v>10199.42</v>
      </c>
      <c r="S6" s="23" t="s">
        <v>188</v>
      </c>
      <c r="T6" s="32">
        <v>43983</v>
      </c>
      <c r="U6" s="33">
        <v>11002.015499999998</v>
      </c>
      <c r="V6" s="33">
        <v>5392.2004999999999</v>
      </c>
      <c r="W6" s="24" t="s">
        <v>188</v>
      </c>
      <c r="X6" s="32">
        <v>44348</v>
      </c>
      <c r="Y6" s="35">
        <v>8591.5120000000006</v>
      </c>
      <c r="Z6" s="35">
        <v>5031.6295</v>
      </c>
      <c r="AA6" s="24" t="s">
        <v>187</v>
      </c>
      <c r="AB6" s="32">
        <v>44713</v>
      </c>
      <c r="AC6" s="35">
        <v>4908.6025</v>
      </c>
      <c r="AD6" s="35">
        <v>4584.1184999999996</v>
      </c>
      <c r="AE6" s="24" t="s">
        <v>187</v>
      </c>
    </row>
    <row r="7" spans="1:31">
      <c r="P7" s="32">
        <v>43647</v>
      </c>
      <c r="Q7" s="15">
        <v>10918.09</v>
      </c>
      <c r="R7" s="15">
        <v>9931.2199999999993</v>
      </c>
      <c r="S7" s="23" t="s">
        <v>188</v>
      </c>
      <c r="T7" s="32">
        <v>44013</v>
      </c>
      <c r="U7" s="33">
        <v>11002.015499999998</v>
      </c>
      <c r="V7" s="33">
        <v>28193.342499999999</v>
      </c>
      <c r="W7" s="24" t="s">
        <v>188</v>
      </c>
      <c r="X7" s="32">
        <v>44378</v>
      </c>
      <c r="Y7" s="35">
        <v>6424.76</v>
      </c>
      <c r="Z7" s="35">
        <v>6407.94</v>
      </c>
      <c r="AA7" s="24" t="s">
        <v>187</v>
      </c>
      <c r="AB7" s="32">
        <v>44743</v>
      </c>
      <c r="AC7" s="35">
        <v>5534.6970000000001</v>
      </c>
      <c r="AD7" s="35">
        <v>5184.9359999999997</v>
      </c>
      <c r="AE7" s="24" t="s">
        <v>187</v>
      </c>
    </row>
    <row r="8" spans="1:31">
      <c r="P8" s="32">
        <v>43678</v>
      </c>
      <c r="Q8" s="15">
        <v>10762.28</v>
      </c>
      <c r="R8" s="15">
        <v>11053.92</v>
      </c>
      <c r="S8" s="23" t="s">
        <v>188</v>
      </c>
      <c r="T8" s="32">
        <v>44044</v>
      </c>
      <c r="U8" s="33">
        <v>11002.015499999998</v>
      </c>
      <c r="V8" s="33">
        <v>2056.1424999999999</v>
      </c>
      <c r="W8" s="24" t="s">
        <v>188</v>
      </c>
      <c r="X8" s="32">
        <v>44409</v>
      </c>
      <c r="Y8" s="35">
        <v>7794.2399999999989</v>
      </c>
      <c r="Z8" s="35">
        <v>7023.682499999999</v>
      </c>
      <c r="AA8" s="24" t="s">
        <v>187</v>
      </c>
      <c r="AB8" s="32">
        <v>44774</v>
      </c>
      <c r="AC8" s="35">
        <v>7209.7869999999984</v>
      </c>
      <c r="AD8" s="35">
        <v>5698.48</v>
      </c>
      <c r="AE8" s="24" t="s">
        <v>187</v>
      </c>
    </row>
    <row r="9" spans="1:31">
      <c r="P9" s="32">
        <v>43709</v>
      </c>
      <c r="Q9" s="15">
        <v>11002.015499999998</v>
      </c>
      <c r="R9" s="15">
        <v>10287.6</v>
      </c>
      <c r="S9" s="24" t="s">
        <v>188</v>
      </c>
      <c r="T9" s="32">
        <v>44075</v>
      </c>
      <c r="U9" s="33">
        <v>11002.015499999998</v>
      </c>
      <c r="V9" s="33">
        <v>30597.739499999996</v>
      </c>
      <c r="W9" s="24" t="s">
        <v>188</v>
      </c>
      <c r="X9" s="32">
        <v>44440</v>
      </c>
      <c r="Y9" s="35">
        <v>8078.2439999999988</v>
      </c>
      <c r="Z9" s="35">
        <v>6886.9129999999996</v>
      </c>
      <c r="AA9" s="24" t="s">
        <v>187</v>
      </c>
      <c r="AB9" s="32">
        <v>44805</v>
      </c>
      <c r="AC9" s="35">
        <v>6917.0429999999988</v>
      </c>
      <c r="AD9" s="35">
        <v>6823.4789999999994</v>
      </c>
      <c r="AE9" s="24" t="s">
        <v>187</v>
      </c>
    </row>
    <row r="10" spans="1:31">
      <c r="P10" s="32">
        <v>43739</v>
      </c>
      <c r="Q10" s="15">
        <v>11002.01</v>
      </c>
      <c r="R10" s="15">
        <v>11715</v>
      </c>
      <c r="S10" s="24" t="s">
        <v>188</v>
      </c>
      <c r="T10" s="32">
        <v>44105</v>
      </c>
      <c r="U10" s="33">
        <v>11002.015499999998</v>
      </c>
      <c r="V10" s="33">
        <v>17578.761999999999</v>
      </c>
      <c r="W10" s="24" t="s">
        <v>188</v>
      </c>
      <c r="X10" s="32">
        <v>44470</v>
      </c>
      <c r="Y10" s="35">
        <v>3853.2359999999994</v>
      </c>
      <c r="Z10" s="35">
        <v>4432.2034999999996</v>
      </c>
      <c r="AA10" s="24" t="s">
        <v>187</v>
      </c>
      <c r="AB10" s="32">
        <v>44835</v>
      </c>
      <c r="AC10" s="35">
        <v>5776.311999999999</v>
      </c>
      <c r="AD10" s="35">
        <v>5980.0689999999995</v>
      </c>
      <c r="AE10" s="24" t="s">
        <v>187</v>
      </c>
    </row>
    <row r="11" spans="1:31">
      <c r="P11" s="32">
        <v>43770</v>
      </c>
      <c r="Q11" s="15">
        <v>11002.01</v>
      </c>
      <c r="R11" s="15">
        <v>10712.48</v>
      </c>
      <c r="S11" s="24" t="s">
        <v>188</v>
      </c>
      <c r="T11" s="32">
        <v>44136</v>
      </c>
      <c r="U11" s="33">
        <v>11002.015499999998</v>
      </c>
      <c r="V11" s="33">
        <v>16076.574499999999</v>
      </c>
      <c r="W11" s="24" t="s">
        <v>188</v>
      </c>
      <c r="X11" s="32">
        <v>44501</v>
      </c>
      <c r="Y11" s="35">
        <v>4982.5589999999993</v>
      </c>
      <c r="Z11" s="35">
        <v>4446.8314999999993</v>
      </c>
      <c r="AA11" s="24" t="s">
        <v>187</v>
      </c>
      <c r="AB11" s="32">
        <v>44866</v>
      </c>
      <c r="AC11" s="35">
        <v>4766.7269999999999</v>
      </c>
      <c r="AD11" s="35">
        <v>4701.4989999999998</v>
      </c>
      <c r="AE11" s="24" t="s">
        <v>187</v>
      </c>
    </row>
    <row r="12" spans="1:31">
      <c r="P12" s="32">
        <v>43800</v>
      </c>
      <c r="Q12" s="15">
        <v>11002.01</v>
      </c>
      <c r="R12" s="15">
        <v>10823.63</v>
      </c>
      <c r="S12" s="24" t="s">
        <v>188</v>
      </c>
      <c r="T12" s="32">
        <v>44166</v>
      </c>
      <c r="U12">
        <v>11002.015499999998</v>
      </c>
      <c r="V12" s="33">
        <v>18580.227999999999</v>
      </c>
      <c r="W12" s="24" t="s">
        <v>188</v>
      </c>
      <c r="X12" s="32">
        <v>44531</v>
      </c>
      <c r="Y12" s="35">
        <v>3007.0429999999997</v>
      </c>
      <c r="Z12" s="35">
        <v>3350.6974999999993</v>
      </c>
      <c r="AA12" s="24" t="s">
        <v>187</v>
      </c>
      <c r="AB12" s="32">
        <v>44896</v>
      </c>
      <c r="AC12" s="35">
        <v>7931.0784999999987</v>
      </c>
      <c r="AD12" s="35">
        <v>4981.7079999999996</v>
      </c>
      <c r="AE12" s="24" t="s">
        <v>187</v>
      </c>
    </row>
    <row r="13" spans="1:31">
      <c r="P13" s="32">
        <v>43831</v>
      </c>
      <c r="Q13" s="33">
        <v>11002.015499999998</v>
      </c>
      <c r="R13" s="33">
        <v>9241.6759999999995</v>
      </c>
      <c r="S13" s="24" t="s">
        <v>188</v>
      </c>
      <c r="T13" s="32">
        <v>44197</v>
      </c>
      <c r="U13" s="35">
        <v>7968.9994999999999</v>
      </c>
      <c r="V13" s="35">
        <v>15575.841499999999</v>
      </c>
      <c r="W13" s="24" t="s">
        <v>188</v>
      </c>
      <c r="X13" s="32">
        <v>44562</v>
      </c>
      <c r="Y13" s="35">
        <v>3599.2469999999998</v>
      </c>
      <c r="Z13" s="35">
        <v>2551.5164999999997</v>
      </c>
      <c r="AA13" s="24" t="s">
        <v>187</v>
      </c>
      <c r="AB13" s="32">
        <v>44927</v>
      </c>
      <c r="AC13" s="35"/>
      <c r="AD13" s="35"/>
      <c r="AE13" s="24"/>
    </row>
    <row r="14" spans="1:31">
      <c r="P14" s="32">
        <v>43862</v>
      </c>
      <c r="Q14" s="33">
        <v>11002.015499999998</v>
      </c>
      <c r="R14" s="33">
        <v>5854.8340000000007</v>
      </c>
      <c r="S14" s="24" t="s">
        <v>188</v>
      </c>
      <c r="T14" s="32">
        <v>44228</v>
      </c>
      <c r="U14" s="35">
        <v>7355.7659999999996</v>
      </c>
      <c r="V14" s="35">
        <v>20460.11</v>
      </c>
      <c r="W14" s="24" t="s">
        <v>190</v>
      </c>
      <c r="X14" s="32">
        <v>44593</v>
      </c>
      <c r="Y14" s="35">
        <v>3526.7279999999996</v>
      </c>
      <c r="Z14" s="35">
        <v>3812.1464999999994</v>
      </c>
      <c r="AA14" s="24" t="s">
        <v>187</v>
      </c>
      <c r="AB14" s="32">
        <v>44958</v>
      </c>
      <c r="AC14" s="35"/>
      <c r="AD14" s="35"/>
      <c r="AE14" s="24"/>
    </row>
    <row r="15" spans="1:31">
      <c r="Q15" s="16">
        <f>SUM(Q3:Q14)</f>
        <v>108895.29649999998</v>
      </c>
      <c r="R15" s="16">
        <f>SUM(R3:R14)</f>
        <v>116565.44</v>
      </c>
      <c r="S15" s="16">
        <f>Q15-R15</f>
        <v>-7670.1435000000201</v>
      </c>
      <c r="U15" s="16">
        <f>SUM(U3:U14)</f>
        <v>125344.92049999996</v>
      </c>
      <c r="V15" s="16">
        <f>SUM(V3:V14)</f>
        <v>191746.45750000002</v>
      </c>
      <c r="W15" s="16">
        <f>U15-V15</f>
        <v>-66401.537000000055</v>
      </c>
      <c r="Y15" s="16">
        <f>SUM(Y3:Y14)</f>
        <v>74533.32650000001</v>
      </c>
      <c r="Z15" s="16">
        <f>SUM(Z3:Z14)</f>
        <v>52899.151000000005</v>
      </c>
      <c r="AA15" s="16">
        <f>Y15-Z15</f>
        <v>21634.175500000005</v>
      </c>
      <c r="AC15" s="16">
        <f>SUM(AC3:AC14)</f>
        <v>56656.29099999999</v>
      </c>
      <c r="AD15" s="16">
        <f>SUM(AD3:AD14)</f>
        <v>50268.5815</v>
      </c>
      <c r="AE15" s="16">
        <f>AC15-AD15</f>
        <v>6387.7094999999899</v>
      </c>
    </row>
    <row r="17" spans="11:11" ht="21">
      <c r="K17" s="19" t="s">
        <v>191</v>
      </c>
    </row>
    <row r="18" spans="11:11">
      <c r="K18" t="s">
        <v>192</v>
      </c>
    </row>
    <row r="19" spans="11:11">
      <c r="K19" t="s">
        <v>193</v>
      </c>
    </row>
    <row r="20" spans="11:11">
      <c r="K20" t="s">
        <v>194</v>
      </c>
    </row>
    <row r="21" spans="11:11">
      <c r="K21" t="s">
        <v>195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CD60F-C493-402B-B97E-6C4EB1BEC913}">
  <dimension ref="A1:Z36"/>
  <sheetViews>
    <sheetView topLeftCell="A5" workbookViewId="0">
      <selection activeCell="Y35" sqref="Y35"/>
    </sheetView>
  </sheetViews>
  <sheetFormatPr defaultRowHeight="15"/>
  <cols>
    <col min="13" max="14" width="9.140625" hidden="1" customWidth="1"/>
    <col min="16" max="17" width="9.140625" hidden="1" customWidth="1"/>
    <col min="19" max="20" width="9.140625" hidden="1" customWidth="1"/>
    <col min="22" max="23" width="0" hidden="1" customWidth="1"/>
  </cols>
  <sheetData>
    <row r="1" spans="1:26" ht="18.75">
      <c r="A1" s="1" t="s">
        <v>196</v>
      </c>
    </row>
    <row r="2" spans="1:26">
      <c r="M2" t="s">
        <v>183</v>
      </c>
      <c r="N2" t="s">
        <v>184</v>
      </c>
      <c r="P2" t="s">
        <v>183</v>
      </c>
      <c r="Q2" t="s">
        <v>184</v>
      </c>
      <c r="S2" t="s">
        <v>183</v>
      </c>
      <c r="T2" t="s">
        <v>184</v>
      </c>
      <c r="V2" t="s">
        <v>183</v>
      </c>
      <c r="W2" t="s">
        <v>184</v>
      </c>
      <c r="Y2" t="s">
        <v>183</v>
      </c>
      <c r="Z2" t="s">
        <v>184</v>
      </c>
    </row>
    <row r="3" spans="1:26">
      <c r="L3" s="32">
        <v>43466</v>
      </c>
      <c r="M3">
        <v>647</v>
      </c>
      <c r="N3">
        <v>1036</v>
      </c>
      <c r="O3" s="32">
        <v>43525</v>
      </c>
      <c r="P3">
        <v>188</v>
      </c>
      <c r="Q3">
        <v>507</v>
      </c>
      <c r="R3" s="32">
        <v>43891</v>
      </c>
      <c r="S3">
        <v>0</v>
      </c>
      <c r="T3">
        <v>298</v>
      </c>
      <c r="U3" s="32">
        <v>44256</v>
      </c>
      <c r="V3">
        <v>517</v>
      </c>
      <c r="W3">
        <v>475</v>
      </c>
      <c r="X3" s="32">
        <v>44621</v>
      </c>
      <c r="Y3">
        <v>415</v>
      </c>
      <c r="Z3">
        <v>289</v>
      </c>
    </row>
    <row r="4" spans="1:26">
      <c r="L4" s="32">
        <v>43497</v>
      </c>
      <c r="M4">
        <v>477</v>
      </c>
      <c r="N4">
        <v>679</v>
      </c>
      <c r="O4" s="32">
        <v>43556</v>
      </c>
      <c r="P4">
        <v>0</v>
      </c>
      <c r="Q4">
        <v>50</v>
      </c>
      <c r="R4" s="32">
        <v>43922</v>
      </c>
      <c r="S4">
        <v>0</v>
      </c>
      <c r="T4">
        <v>1028</v>
      </c>
      <c r="U4" s="32">
        <v>44287</v>
      </c>
      <c r="V4">
        <v>427</v>
      </c>
      <c r="W4">
        <v>499</v>
      </c>
      <c r="X4" s="32">
        <v>44652</v>
      </c>
      <c r="Y4">
        <v>406</v>
      </c>
      <c r="Z4">
        <v>474</v>
      </c>
    </row>
    <row r="5" spans="1:26">
      <c r="O5" s="32">
        <v>43586</v>
      </c>
      <c r="P5">
        <v>0</v>
      </c>
      <c r="Q5">
        <v>1447</v>
      </c>
      <c r="R5" s="32">
        <v>43952</v>
      </c>
      <c r="S5">
        <v>0</v>
      </c>
      <c r="T5">
        <v>847</v>
      </c>
      <c r="U5" s="32">
        <v>44317</v>
      </c>
      <c r="V5">
        <v>427</v>
      </c>
      <c r="W5">
        <v>402</v>
      </c>
      <c r="X5" s="32">
        <v>44682</v>
      </c>
      <c r="Y5">
        <v>449</v>
      </c>
      <c r="Z5">
        <v>426</v>
      </c>
    </row>
    <row r="6" spans="1:26">
      <c r="O6" s="32">
        <v>43617</v>
      </c>
      <c r="P6">
        <v>0</v>
      </c>
      <c r="Q6">
        <v>724</v>
      </c>
      <c r="R6" s="32">
        <v>43983</v>
      </c>
      <c r="S6">
        <v>0</v>
      </c>
      <c r="T6">
        <v>242</v>
      </c>
      <c r="U6" s="32">
        <v>44348</v>
      </c>
      <c r="V6">
        <v>475</v>
      </c>
      <c r="W6">
        <v>466</v>
      </c>
      <c r="X6" s="32">
        <v>44713</v>
      </c>
      <c r="Y6">
        <v>433</v>
      </c>
      <c r="Z6">
        <v>420</v>
      </c>
    </row>
    <row r="7" spans="1:26">
      <c r="O7" s="32">
        <v>43647</v>
      </c>
      <c r="P7">
        <v>0</v>
      </c>
      <c r="Q7">
        <v>651</v>
      </c>
      <c r="R7" s="32">
        <v>44013</v>
      </c>
      <c r="S7">
        <v>0</v>
      </c>
      <c r="T7">
        <v>1634</v>
      </c>
      <c r="U7" s="32">
        <v>44378</v>
      </c>
      <c r="V7">
        <v>598</v>
      </c>
      <c r="W7">
        <v>535</v>
      </c>
      <c r="X7" s="32">
        <v>44743</v>
      </c>
      <c r="Y7">
        <v>445</v>
      </c>
      <c r="Z7">
        <v>443</v>
      </c>
    </row>
    <row r="8" spans="1:26">
      <c r="O8" s="32">
        <v>43678</v>
      </c>
      <c r="P8">
        <v>0</v>
      </c>
      <c r="Q8">
        <v>739</v>
      </c>
      <c r="R8" s="32">
        <v>44044</v>
      </c>
      <c r="S8">
        <v>0</v>
      </c>
      <c r="T8">
        <v>30</v>
      </c>
      <c r="U8" s="32">
        <v>44409</v>
      </c>
      <c r="V8">
        <v>467</v>
      </c>
      <c r="W8">
        <v>551</v>
      </c>
      <c r="X8" s="32">
        <v>44774</v>
      </c>
      <c r="Y8">
        <v>510</v>
      </c>
      <c r="Z8">
        <v>453</v>
      </c>
    </row>
    <row r="9" spans="1:26">
      <c r="O9" s="32">
        <v>43709</v>
      </c>
      <c r="P9">
        <v>0</v>
      </c>
      <c r="Q9">
        <v>676</v>
      </c>
      <c r="R9" s="32">
        <v>44075</v>
      </c>
      <c r="S9">
        <v>4</v>
      </c>
      <c r="T9">
        <v>1754</v>
      </c>
      <c r="U9" s="32">
        <v>44440</v>
      </c>
      <c r="V9">
        <v>572</v>
      </c>
      <c r="W9">
        <v>586</v>
      </c>
      <c r="X9" s="32">
        <v>44805</v>
      </c>
      <c r="Y9">
        <v>499</v>
      </c>
      <c r="Z9">
        <v>507</v>
      </c>
    </row>
    <row r="10" spans="1:26">
      <c r="O10" s="32">
        <v>43739</v>
      </c>
      <c r="P10">
        <v>0</v>
      </c>
      <c r="Q10">
        <v>782</v>
      </c>
      <c r="R10" s="32">
        <v>44105</v>
      </c>
      <c r="S10">
        <v>0</v>
      </c>
      <c r="T10">
        <v>965</v>
      </c>
      <c r="U10" s="32">
        <v>44470</v>
      </c>
      <c r="V10">
        <v>394</v>
      </c>
      <c r="W10">
        <v>340</v>
      </c>
      <c r="X10" s="32">
        <v>44835</v>
      </c>
      <c r="Y10">
        <v>430</v>
      </c>
      <c r="Z10">
        <v>464</v>
      </c>
    </row>
    <row r="11" spans="1:26">
      <c r="O11" s="32">
        <v>43770</v>
      </c>
      <c r="P11">
        <v>0</v>
      </c>
      <c r="Q11">
        <v>699</v>
      </c>
      <c r="R11" s="32">
        <v>44136</v>
      </c>
      <c r="S11">
        <v>224</v>
      </c>
      <c r="T11">
        <v>880</v>
      </c>
      <c r="U11" s="32">
        <v>44501</v>
      </c>
      <c r="V11">
        <v>384</v>
      </c>
      <c r="W11">
        <v>411</v>
      </c>
      <c r="X11" s="32">
        <v>44866</v>
      </c>
      <c r="Y11">
        <v>415</v>
      </c>
      <c r="Z11">
        <v>404</v>
      </c>
    </row>
    <row r="12" spans="1:26">
      <c r="O12" s="32">
        <v>43800</v>
      </c>
      <c r="P12">
        <v>0</v>
      </c>
      <c r="Q12">
        <v>719</v>
      </c>
      <c r="R12" s="32">
        <v>44166</v>
      </c>
      <c r="S12">
        <v>501</v>
      </c>
      <c r="T12">
        <v>1029</v>
      </c>
      <c r="U12" s="32">
        <v>44531</v>
      </c>
      <c r="V12">
        <v>342</v>
      </c>
      <c r="W12">
        <v>364</v>
      </c>
      <c r="X12" s="32">
        <v>44896</v>
      </c>
      <c r="Y12">
        <v>537</v>
      </c>
      <c r="Z12">
        <v>425</v>
      </c>
    </row>
    <row r="13" spans="1:26">
      <c r="O13" s="32">
        <v>43831</v>
      </c>
      <c r="P13">
        <v>0</v>
      </c>
      <c r="Q13">
        <v>644</v>
      </c>
      <c r="R13" s="32">
        <v>44197</v>
      </c>
      <c r="S13">
        <v>500</v>
      </c>
      <c r="T13">
        <v>846</v>
      </c>
      <c r="U13" s="32">
        <v>44562</v>
      </c>
      <c r="V13">
        <v>344</v>
      </c>
      <c r="W13">
        <v>380</v>
      </c>
      <c r="X13" s="32">
        <v>44927</v>
      </c>
    </row>
    <row r="14" spans="1:26">
      <c r="O14" s="32">
        <v>43862</v>
      </c>
      <c r="P14">
        <v>0</v>
      </c>
      <c r="Q14">
        <v>412</v>
      </c>
      <c r="R14" s="32">
        <v>44228</v>
      </c>
      <c r="S14">
        <v>391</v>
      </c>
      <c r="T14">
        <v>18465</v>
      </c>
      <c r="U14" s="32">
        <v>44593</v>
      </c>
      <c r="V14">
        <v>380</v>
      </c>
      <c r="W14">
        <v>424</v>
      </c>
      <c r="X14" s="32">
        <v>44958</v>
      </c>
    </row>
    <row r="23" spans="12:26">
      <c r="L23" s="34" t="s">
        <v>197</v>
      </c>
    </row>
    <row r="24" spans="12:26">
      <c r="M24" t="s">
        <v>183</v>
      </c>
      <c r="N24" t="s">
        <v>184</v>
      </c>
      <c r="P24" t="s">
        <v>183</v>
      </c>
      <c r="Q24" t="s">
        <v>184</v>
      </c>
      <c r="S24" t="s">
        <v>183</v>
      </c>
      <c r="T24" t="s">
        <v>184</v>
      </c>
      <c r="V24" t="s">
        <v>183</v>
      </c>
      <c r="W24" t="s">
        <v>184</v>
      </c>
      <c r="Y24" t="s">
        <v>183</v>
      </c>
      <c r="Z24" t="s">
        <v>184</v>
      </c>
    </row>
    <row r="25" spans="12:26">
      <c r="L25" s="32">
        <v>43466</v>
      </c>
      <c r="M25" s="18">
        <v>26.958333333333332</v>
      </c>
      <c r="N25">
        <v>35</v>
      </c>
      <c r="O25" s="32">
        <v>43525</v>
      </c>
      <c r="P25" s="18">
        <v>6.2666666666666666</v>
      </c>
      <c r="Q25">
        <v>26</v>
      </c>
      <c r="R25" s="32">
        <v>43891</v>
      </c>
      <c r="S25">
        <v>0</v>
      </c>
      <c r="T25">
        <v>10</v>
      </c>
      <c r="U25" s="32">
        <v>44256</v>
      </c>
      <c r="V25" s="18">
        <v>13.972972972972974</v>
      </c>
      <c r="W25" s="18">
        <v>16.964285714285715</v>
      </c>
      <c r="X25" s="32">
        <v>44621</v>
      </c>
      <c r="Y25" s="18">
        <v>13.387096774193548</v>
      </c>
      <c r="Z25" s="18">
        <v>13.136363636363637</v>
      </c>
    </row>
    <row r="26" spans="12:26">
      <c r="L26" s="32">
        <v>43497</v>
      </c>
      <c r="M26" s="18">
        <v>17.666666666666668</v>
      </c>
      <c r="N26">
        <v>24</v>
      </c>
      <c r="O26" s="32">
        <v>43556</v>
      </c>
      <c r="P26">
        <v>0</v>
      </c>
      <c r="Q26">
        <v>2</v>
      </c>
      <c r="R26" s="32">
        <v>43922</v>
      </c>
      <c r="S26">
        <v>0</v>
      </c>
      <c r="T26">
        <v>30</v>
      </c>
      <c r="U26" s="32">
        <v>44287</v>
      </c>
      <c r="V26" s="18">
        <v>14.724137931034482</v>
      </c>
      <c r="W26" s="18">
        <v>13.861111111111111</v>
      </c>
      <c r="X26" s="32">
        <v>44652</v>
      </c>
      <c r="Y26">
        <v>14</v>
      </c>
      <c r="Z26">
        <v>13</v>
      </c>
    </row>
    <row r="27" spans="12:26">
      <c r="O27" s="32">
        <v>43586</v>
      </c>
      <c r="P27">
        <v>0</v>
      </c>
      <c r="Q27">
        <v>23</v>
      </c>
      <c r="R27" s="32">
        <v>43952</v>
      </c>
      <c r="S27">
        <v>0</v>
      </c>
      <c r="T27">
        <v>31</v>
      </c>
      <c r="U27" s="32">
        <v>44317</v>
      </c>
      <c r="V27" s="18">
        <v>14.724137931034482</v>
      </c>
      <c r="W27" s="18">
        <v>14.888888888888889</v>
      </c>
      <c r="X27" s="32">
        <v>44682</v>
      </c>
      <c r="Y27">
        <v>15</v>
      </c>
      <c r="Z27">
        <v>15</v>
      </c>
    </row>
    <row r="28" spans="12:26">
      <c r="O28" s="32">
        <v>43617</v>
      </c>
      <c r="P28">
        <v>0</v>
      </c>
      <c r="Q28">
        <v>23</v>
      </c>
      <c r="R28" s="32">
        <v>43983</v>
      </c>
      <c r="S28">
        <v>0</v>
      </c>
      <c r="T28">
        <v>30</v>
      </c>
      <c r="U28" s="32">
        <v>44348</v>
      </c>
      <c r="V28" s="18">
        <v>16.379310344827587</v>
      </c>
      <c r="W28" s="18">
        <v>15.03225806451613</v>
      </c>
      <c r="X28" s="32">
        <v>44713</v>
      </c>
      <c r="Y28">
        <v>14</v>
      </c>
      <c r="Z28">
        <v>14</v>
      </c>
    </row>
    <row r="29" spans="12:26">
      <c r="O29" s="32">
        <v>43647</v>
      </c>
      <c r="P29">
        <v>0</v>
      </c>
      <c r="Q29">
        <v>23</v>
      </c>
      <c r="R29" s="32">
        <v>44013</v>
      </c>
      <c r="S29">
        <v>0</v>
      </c>
      <c r="T29">
        <v>30</v>
      </c>
      <c r="U29" s="32">
        <v>44378</v>
      </c>
      <c r="V29" s="18">
        <v>18</v>
      </c>
      <c r="W29" s="18">
        <v>17</v>
      </c>
      <c r="X29" s="32">
        <v>44743</v>
      </c>
      <c r="Y29">
        <v>15</v>
      </c>
      <c r="Z29">
        <v>15</v>
      </c>
    </row>
    <row r="30" spans="12:26">
      <c r="O30" s="32">
        <v>43678</v>
      </c>
      <c r="P30">
        <v>0</v>
      </c>
      <c r="Q30">
        <v>23</v>
      </c>
      <c r="R30" s="32">
        <v>44044</v>
      </c>
      <c r="S30">
        <v>0</v>
      </c>
      <c r="T30">
        <v>30</v>
      </c>
      <c r="U30" s="32">
        <v>44409</v>
      </c>
      <c r="V30" s="18">
        <v>16</v>
      </c>
      <c r="W30" s="18">
        <v>17</v>
      </c>
      <c r="X30" s="32">
        <v>44774</v>
      </c>
      <c r="Y30">
        <v>15</v>
      </c>
      <c r="Z30">
        <v>15</v>
      </c>
    </row>
    <row r="31" spans="12:26">
      <c r="O31" s="32">
        <v>43709</v>
      </c>
      <c r="P31">
        <v>0</v>
      </c>
      <c r="Q31">
        <v>23</v>
      </c>
      <c r="R31" s="32">
        <v>44075</v>
      </c>
      <c r="S31">
        <v>0</v>
      </c>
      <c r="T31">
        <v>30</v>
      </c>
      <c r="U31" s="32">
        <v>44440</v>
      </c>
      <c r="V31" s="18">
        <v>16</v>
      </c>
      <c r="W31" s="18">
        <v>16</v>
      </c>
      <c r="X31" s="32">
        <v>44805</v>
      </c>
      <c r="Y31" s="18">
        <v>16.633333333333333</v>
      </c>
      <c r="Z31" s="18">
        <v>16.35483870967742</v>
      </c>
    </row>
    <row r="32" spans="12:26">
      <c r="O32" s="32">
        <v>43739</v>
      </c>
      <c r="P32">
        <v>0</v>
      </c>
      <c r="Q32">
        <v>25</v>
      </c>
      <c r="R32" s="32">
        <v>44105</v>
      </c>
      <c r="S32">
        <v>0</v>
      </c>
      <c r="T32">
        <v>30</v>
      </c>
      <c r="U32" s="32">
        <v>44470</v>
      </c>
      <c r="V32" s="18">
        <v>15</v>
      </c>
      <c r="W32" s="18">
        <v>16</v>
      </c>
      <c r="X32" s="32">
        <v>44835</v>
      </c>
      <c r="Y32" s="18">
        <v>14</v>
      </c>
      <c r="Z32" s="18">
        <v>16</v>
      </c>
    </row>
    <row r="33" spans="15:26">
      <c r="O33" s="32">
        <v>43770</v>
      </c>
      <c r="P33">
        <v>0</v>
      </c>
      <c r="Q33">
        <v>24</v>
      </c>
      <c r="R33" s="32">
        <v>44136</v>
      </c>
      <c r="S33">
        <v>7</v>
      </c>
      <c r="T33">
        <v>28</v>
      </c>
      <c r="U33" s="32">
        <v>44501</v>
      </c>
      <c r="V33" s="18">
        <v>12</v>
      </c>
      <c r="W33" s="18">
        <v>14</v>
      </c>
      <c r="X33" s="32">
        <v>44866</v>
      </c>
      <c r="Y33" s="18">
        <v>14</v>
      </c>
      <c r="Z33" s="18">
        <v>14</v>
      </c>
    </row>
    <row r="34" spans="15:26">
      <c r="O34" s="32">
        <v>43800</v>
      </c>
      <c r="P34">
        <v>0</v>
      </c>
      <c r="Q34">
        <v>23</v>
      </c>
      <c r="R34" s="32">
        <v>44166</v>
      </c>
      <c r="S34" s="18">
        <v>15.65625</v>
      </c>
      <c r="T34" s="18">
        <v>30.264705882352942</v>
      </c>
      <c r="U34" s="32">
        <v>44531</v>
      </c>
      <c r="V34" s="18">
        <v>11</v>
      </c>
      <c r="W34" s="18">
        <v>13</v>
      </c>
      <c r="X34" s="32">
        <v>44896</v>
      </c>
      <c r="Y34" s="18">
        <v>15.342857142857143</v>
      </c>
      <c r="Z34" s="18">
        <v>14.166666666666666</v>
      </c>
    </row>
    <row r="35" spans="15:26">
      <c r="O35" s="32">
        <v>43831</v>
      </c>
      <c r="P35">
        <v>0</v>
      </c>
      <c r="Q35">
        <v>21</v>
      </c>
      <c r="R35" s="32">
        <v>44197</v>
      </c>
      <c r="S35" s="18">
        <v>18.518518518518519</v>
      </c>
      <c r="T35" s="18">
        <v>30.214285714285715</v>
      </c>
      <c r="U35" s="32">
        <v>44562</v>
      </c>
      <c r="V35">
        <v>12</v>
      </c>
      <c r="W35">
        <v>11</v>
      </c>
      <c r="X35" s="32">
        <v>44927</v>
      </c>
      <c r="Y35" s="18"/>
      <c r="Z35" s="18"/>
    </row>
    <row r="36" spans="15:26">
      <c r="O36" s="32">
        <v>43862</v>
      </c>
      <c r="P36">
        <v>0</v>
      </c>
      <c r="Q36">
        <v>15</v>
      </c>
      <c r="R36" s="32">
        <v>44228</v>
      </c>
      <c r="S36" s="18">
        <v>15.64</v>
      </c>
      <c r="T36" s="18">
        <v>27.39614243323442</v>
      </c>
      <c r="U36" s="32">
        <v>44593</v>
      </c>
      <c r="V36">
        <v>14</v>
      </c>
      <c r="W36">
        <v>13</v>
      </c>
      <c r="X36" s="32">
        <v>44958</v>
      </c>
      <c r="Y36" s="18"/>
      <c r="Z36" s="1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37E55-9DDA-4552-8468-849441B133F5}">
  <dimension ref="A1:X16"/>
  <sheetViews>
    <sheetView topLeftCell="B2" workbookViewId="0">
      <selection activeCell="X19" sqref="X19"/>
    </sheetView>
  </sheetViews>
  <sheetFormatPr defaultRowHeight="15"/>
  <cols>
    <col min="11" max="12" width="9.140625" hidden="1" customWidth="1"/>
    <col min="14" max="15" width="9.140625" hidden="1" customWidth="1"/>
    <col min="17" max="18" width="9.140625" hidden="1" customWidth="1"/>
    <col min="20" max="21" width="0" hidden="1" customWidth="1"/>
  </cols>
  <sheetData>
    <row r="1" spans="1:24" ht="18.75">
      <c r="A1" s="1" t="s">
        <v>198</v>
      </c>
    </row>
    <row r="3" spans="1:24">
      <c r="K3" t="s">
        <v>183</v>
      </c>
      <c r="L3" t="s">
        <v>184</v>
      </c>
      <c r="Q3" t="s">
        <v>183</v>
      </c>
      <c r="R3" t="s">
        <v>184</v>
      </c>
      <c r="T3" t="s">
        <v>183</v>
      </c>
      <c r="U3" t="s">
        <v>184</v>
      </c>
      <c r="W3" t="s">
        <v>183</v>
      </c>
      <c r="X3" t="s">
        <v>184</v>
      </c>
    </row>
    <row r="4" spans="1:24">
      <c r="J4" s="32">
        <v>43466</v>
      </c>
      <c r="K4" s="15">
        <v>8.9212982998454411</v>
      </c>
      <c r="L4" s="15">
        <v>17.926158301158303</v>
      </c>
      <c r="M4" s="32">
        <v>43525</v>
      </c>
      <c r="N4" s="15">
        <v>30.702553191489361</v>
      </c>
      <c r="O4" s="15">
        <v>12.687258382642998</v>
      </c>
      <c r="P4" s="32">
        <v>43891</v>
      </c>
      <c r="Q4" s="33">
        <v>0</v>
      </c>
      <c r="R4" s="33">
        <v>10.48</v>
      </c>
      <c r="S4" s="32">
        <v>44256</v>
      </c>
      <c r="T4" s="35">
        <v>18.106438104448742</v>
      </c>
      <c r="U4" s="35">
        <v>0</v>
      </c>
      <c r="V4" s="32">
        <v>44621</v>
      </c>
      <c r="W4" s="35">
        <v>6.4627228915662647</v>
      </c>
      <c r="X4" s="35">
        <v>5.4734031141868513</v>
      </c>
    </row>
    <row r="5" spans="1:24">
      <c r="J5" s="32">
        <v>43497</v>
      </c>
      <c r="K5" s="15">
        <v>12.100796645702307</v>
      </c>
      <c r="L5" s="15">
        <v>14.027982326951399</v>
      </c>
      <c r="M5" s="32">
        <v>43556</v>
      </c>
      <c r="N5" s="15">
        <v>0</v>
      </c>
      <c r="O5" s="15">
        <v>36.078800000000001</v>
      </c>
      <c r="P5" s="32">
        <v>43922</v>
      </c>
      <c r="Q5" s="33">
        <v>0</v>
      </c>
      <c r="R5" s="33">
        <v>15.862258754863811</v>
      </c>
      <c r="S5" s="32">
        <v>44287</v>
      </c>
      <c r="T5" s="35">
        <v>17.514165105386418</v>
      </c>
      <c r="U5" s="35">
        <v>5.9991513026052106</v>
      </c>
      <c r="V5" s="32">
        <v>44652</v>
      </c>
      <c r="W5" s="35">
        <v>6.088995073891625</v>
      </c>
      <c r="X5" s="35">
        <v>5.5145168776371305</v>
      </c>
    </row>
    <row r="6" spans="1:24">
      <c r="M6" s="32">
        <v>43586</v>
      </c>
      <c r="N6" s="15">
        <v>0</v>
      </c>
      <c r="O6" s="15">
        <v>12.791485832757429</v>
      </c>
      <c r="P6" s="32">
        <v>43952</v>
      </c>
      <c r="Q6" s="33">
        <v>0</v>
      </c>
      <c r="R6" s="33">
        <v>15.854535419126325</v>
      </c>
      <c r="S6" s="32">
        <v>44317</v>
      </c>
      <c r="T6" s="35">
        <v>18.351710772833719</v>
      </c>
      <c r="U6" s="35">
        <v>7.0925820895522387</v>
      </c>
      <c r="V6" s="32">
        <v>44682</v>
      </c>
      <c r="W6" s="35">
        <v>7.7393719376391985</v>
      </c>
      <c r="X6" s="35">
        <v>7.3607828638497645</v>
      </c>
    </row>
    <row r="7" spans="1:24">
      <c r="M7" s="32">
        <v>43617</v>
      </c>
      <c r="N7" s="15">
        <v>0</v>
      </c>
      <c r="O7" s="15">
        <v>14.087596685082874</v>
      </c>
      <c r="P7" s="32">
        <v>43983</v>
      </c>
      <c r="Q7" s="33">
        <v>0</v>
      </c>
      <c r="R7" s="33">
        <v>15.854555785123965</v>
      </c>
      <c r="S7" s="32">
        <v>44348</v>
      </c>
      <c r="T7" s="35">
        <v>18.087393684210529</v>
      </c>
      <c r="U7" s="35">
        <v>7.2331791845493569</v>
      </c>
      <c r="V7" s="32">
        <v>44713</v>
      </c>
      <c r="W7" s="35">
        <v>7.1264676674364891</v>
      </c>
      <c r="X7" s="35">
        <v>6.5744678571428574</v>
      </c>
    </row>
    <row r="8" spans="1:24">
      <c r="M8" s="32">
        <v>43647</v>
      </c>
      <c r="N8" s="15">
        <v>0</v>
      </c>
      <c r="O8" s="15">
        <v>15.255330261136711</v>
      </c>
      <c r="P8" s="32">
        <v>44013</v>
      </c>
      <c r="Q8" s="33">
        <v>0</v>
      </c>
      <c r="R8" s="33">
        <v>16.3</v>
      </c>
      <c r="S8" s="32">
        <v>44378</v>
      </c>
      <c r="T8" s="35">
        <v>14.08</v>
      </c>
      <c r="U8" s="35">
        <v>8.8699999999999992</v>
      </c>
      <c r="V8" s="32">
        <v>44743</v>
      </c>
      <c r="W8" s="35">
        <v>8.3412471910112362</v>
      </c>
      <c r="X8" s="35">
        <v>7.5893769751693005</v>
      </c>
    </row>
    <row r="9" spans="1:24">
      <c r="M9" s="32">
        <v>43678</v>
      </c>
      <c r="N9" s="15">
        <v>0</v>
      </c>
      <c r="O9" s="15">
        <v>14.957943166441137</v>
      </c>
      <c r="P9" s="32">
        <v>44044</v>
      </c>
      <c r="Q9" s="33">
        <v>0</v>
      </c>
      <c r="R9" s="33">
        <v>16.690000000000001</v>
      </c>
      <c r="S9" s="32">
        <v>44409</v>
      </c>
      <c r="T9" s="35">
        <v>13.133344753747322</v>
      </c>
      <c r="U9" s="35">
        <v>9.7326941923774939</v>
      </c>
      <c r="V9" s="32">
        <v>44774</v>
      </c>
      <c r="W9" s="35">
        <v>10.562637254901958</v>
      </c>
      <c r="X9" s="35">
        <v>8.5554922737306836</v>
      </c>
    </row>
    <row r="10" spans="1:24">
      <c r="M10" s="32">
        <v>43709</v>
      </c>
      <c r="N10" s="15">
        <v>0</v>
      </c>
      <c r="O10" s="15">
        <v>15.22</v>
      </c>
      <c r="P10" s="32">
        <v>44075</v>
      </c>
      <c r="Q10" s="33">
        <v>0</v>
      </c>
      <c r="R10" s="33">
        <v>16.55777736602052</v>
      </c>
      <c r="S10" s="32">
        <v>44440</v>
      </c>
      <c r="T10" s="35">
        <v>11.219013986013984</v>
      </c>
      <c r="U10" s="35">
        <v>8.9179948805460754</v>
      </c>
      <c r="V10" s="32">
        <v>44805</v>
      </c>
      <c r="W10" s="35">
        <v>10.208819639278556</v>
      </c>
      <c r="X10" s="35">
        <v>9.8631893491124263</v>
      </c>
    </row>
    <row r="11" spans="1:24">
      <c r="M11" s="32">
        <v>43739</v>
      </c>
      <c r="N11" s="15">
        <v>0</v>
      </c>
      <c r="O11" s="15">
        <v>14.98081841432225</v>
      </c>
      <c r="P11" s="32">
        <v>44105</v>
      </c>
      <c r="Q11" s="33">
        <v>0</v>
      </c>
      <c r="R11" s="33">
        <v>16.600000000000001</v>
      </c>
      <c r="S11" s="32">
        <v>44470</v>
      </c>
      <c r="T11" s="35">
        <v>5.5641319796954303</v>
      </c>
      <c r="U11" s="35">
        <v>8.1506926470588237</v>
      </c>
      <c r="V11" s="32">
        <v>44835</v>
      </c>
      <c r="W11" s="35">
        <v>9.1941162790697657</v>
      </c>
      <c r="X11" s="35">
        <v>8.9595409482758619</v>
      </c>
    </row>
    <row r="12" spans="1:24">
      <c r="M12" s="32">
        <v>43770</v>
      </c>
      <c r="N12" s="15">
        <v>0</v>
      </c>
      <c r="O12" s="15">
        <v>15.325436337625177</v>
      </c>
      <c r="P12" s="32">
        <v>44136</v>
      </c>
      <c r="Q12" s="33">
        <v>49.116140624999993</v>
      </c>
      <c r="R12" s="33">
        <v>16.50133693181818</v>
      </c>
      <c r="S12" s="32">
        <v>44501</v>
      </c>
      <c r="T12" s="35">
        <v>8.6499765624999991</v>
      </c>
      <c r="U12" s="35">
        <v>6.7782566909975657</v>
      </c>
      <c r="V12" s="32">
        <v>44866</v>
      </c>
      <c r="W12" s="35">
        <v>7.093698795180722</v>
      </c>
      <c r="X12" s="35">
        <v>7.1253886138613858</v>
      </c>
    </row>
    <row r="13" spans="1:24">
      <c r="M13" s="32">
        <v>43800</v>
      </c>
      <c r="N13" s="15">
        <v>0</v>
      </c>
      <c r="O13" s="15">
        <v>15.05</v>
      </c>
      <c r="P13" s="32">
        <v>44166</v>
      </c>
      <c r="Q13" s="33">
        <v>21.960110778443109</v>
      </c>
      <c r="R13" s="33">
        <v>16.545024295432455</v>
      </c>
      <c r="S13" s="32">
        <v>44531</v>
      </c>
      <c r="T13" s="35">
        <v>3.9358918128654965</v>
      </c>
      <c r="U13" s="35">
        <v>4.64211401098901</v>
      </c>
      <c r="V13" s="32">
        <v>44896</v>
      </c>
      <c r="W13" s="35">
        <v>11.374742085661078</v>
      </c>
      <c r="X13" s="35">
        <v>7.4326258823529407</v>
      </c>
    </row>
    <row r="14" spans="1:24">
      <c r="M14" s="32">
        <v>43831</v>
      </c>
      <c r="N14" s="33">
        <v>0</v>
      </c>
      <c r="O14" s="33">
        <v>12.084571428571428</v>
      </c>
      <c r="P14" s="32">
        <v>44197</v>
      </c>
      <c r="Q14" s="35">
        <v>15.937999</v>
      </c>
      <c r="R14" s="35">
        <v>16.572628250591016</v>
      </c>
      <c r="S14" s="32">
        <v>44562</v>
      </c>
      <c r="T14" s="35">
        <v>5.6345319767441859</v>
      </c>
      <c r="U14" s="35">
        <v>2.3435486842105262</v>
      </c>
      <c r="V14" s="32">
        <v>44927</v>
      </c>
    </row>
    <row r="15" spans="1:24">
      <c r="M15" s="32">
        <v>43862</v>
      </c>
      <c r="N15" s="33">
        <v>0</v>
      </c>
      <c r="O15" s="33">
        <v>10.668985436893205</v>
      </c>
      <c r="P15" s="32">
        <v>44228</v>
      </c>
      <c r="Q15" s="35">
        <v>18.812700767263426</v>
      </c>
      <c r="R15" s="35">
        <v>1.0238132683455186</v>
      </c>
      <c r="S15" s="32">
        <v>44593</v>
      </c>
      <c r="T15" s="35">
        <v>4.9098947368421042</v>
      </c>
      <c r="U15" s="35">
        <v>5.07</v>
      </c>
      <c r="V15" s="32">
        <v>44958</v>
      </c>
    </row>
    <row r="16" spans="1:24">
      <c r="K16" s="15"/>
      <c r="L16" s="1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81cd01-18d3-4d99-9da7-104aa7df8d71">
      <Terms xmlns="http://schemas.microsoft.com/office/infopath/2007/PartnerControls"/>
    </lcf76f155ced4ddcb4097134ff3c332f>
    <TaxCatchAll xmlns="22a0b230-faea-41c6-942e-118daf6c53c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C2A19C09597A4FB0ECB8D3006DEC5B" ma:contentTypeVersion="13" ma:contentTypeDescription="Create a new document." ma:contentTypeScope="" ma:versionID="d598c60eba24d11febc9cfa4b16b7178">
  <xsd:schema xmlns:xsd="http://www.w3.org/2001/XMLSchema" xmlns:xs="http://www.w3.org/2001/XMLSchema" xmlns:p="http://schemas.microsoft.com/office/2006/metadata/properties" xmlns:ns2="4d81cd01-18d3-4d99-9da7-104aa7df8d71" xmlns:ns3="22a0b230-faea-41c6-942e-118daf6c53c7" targetNamespace="http://schemas.microsoft.com/office/2006/metadata/properties" ma:root="true" ma:fieldsID="f5811d9df039ed1de00da0905aeac536" ns2:_="" ns3:_="">
    <xsd:import namespace="4d81cd01-18d3-4d99-9da7-104aa7df8d71"/>
    <xsd:import namespace="22a0b230-faea-41c6-942e-118daf6c53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81cd01-18d3-4d99-9da7-104aa7df8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0fb1f15-508e-4435-a559-3077e579f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0b230-faea-41c6-942e-118daf6c53c7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16fc043-e475-4f71-8898-77370e45b749}" ma:internalName="TaxCatchAll" ma:showField="CatchAllData" ma:web="22a0b230-faea-41c6-942e-118daf6c53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764352-8DB6-4B3C-A14F-276C79BCD0B2}"/>
</file>

<file path=customXml/itemProps2.xml><?xml version="1.0" encoding="utf-8"?>
<ds:datastoreItem xmlns:ds="http://schemas.openxmlformats.org/officeDocument/2006/customXml" ds:itemID="{C6FA8BD4-5EA1-451A-9836-252744BA2D10}"/>
</file>

<file path=customXml/itemProps3.xml><?xml version="1.0" encoding="utf-8"?>
<ds:datastoreItem xmlns:ds="http://schemas.openxmlformats.org/officeDocument/2006/customXml" ds:itemID="{9B0A2303-8926-4219-97DE-2525044BA2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Zerilda .</dc:creator>
  <cp:keywords/>
  <dc:description/>
  <cp:lastModifiedBy>Zerilda</cp:lastModifiedBy>
  <cp:revision/>
  <dcterms:created xsi:type="dcterms:W3CDTF">2019-05-20T10:54:33Z</dcterms:created>
  <dcterms:modified xsi:type="dcterms:W3CDTF">2023-01-20T09:33:43Z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0x010100C2C2A19C09597A4FB0ECB8D3006DEC5B</vt:lpwstr>
  </property>
  <property fmtid="{D5CDD505-2E9C-101B-9397-08002B2CF9AE}" pid="3" name="MediaServiceImageTags">
    <vt:lpwstr/>
  </property>
</Properties>
</file>