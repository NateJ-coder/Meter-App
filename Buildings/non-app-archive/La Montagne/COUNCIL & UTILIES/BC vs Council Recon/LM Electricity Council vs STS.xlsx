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LM\Utilities Back Date\"/>
    </mc:Choice>
  </mc:AlternateContent>
  <xr:revisionPtr revIDLastSave="351" documentId="13_ncr:1_{08A5982C-1E37-4BD8-AFF0-EDD989312368}" xr6:coauthVersionLast="47" xr6:coauthVersionMax="47" xr10:uidLastSave="{82968045-4EAA-451E-944C-C5983DD75E7C}"/>
  <bookViews>
    <workbookView xWindow="-120" yWindow="-120" windowWidth="20730" windowHeight="11160" xr2:uid="{7DCD8346-92C4-4723-9B98-044BE2842498}"/>
  </bookViews>
  <sheets>
    <sheet name="Data" sheetId="1" r:id="rId1"/>
    <sheet name="Graph" sheetId="2" r:id="rId2"/>
    <sheet name="Cons Graph" sheetId="3" r:id="rId3"/>
    <sheet name="Rates Graph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8" i="1" l="1"/>
  <c r="F477" i="1"/>
  <c r="E477" i="1"/>
  <c r="I478" i="1"/>
  <c r="H478" i="1"/>
  <c r="B478" i="1"/>
  <c r="D478" i="1" s="1"/>
  <c r="M478" i="1" s="1"/>
  <c r="I477" i="1"/>
  <c r="H477" i="1"/>
  <c r="B477" i="1"/>
  <c r="D477" i="1" s="1"/>
  <c r="M477" i="1" s="1"/>
  <c r="F470" i="1"/>
  <c r="F469" i="1"/>
  <c r="E469" i="1"/>
  <c r="I470" i="1"/>
  <c r="H470" i="1"/>
  <c r="B470" i="1"/>
  <c r="D470" i="1" s="1"/>
  <c r="M470" i="1" s="1"/>
  <c r="I469" i="1"/>
  <c r="H469" i="1"/>
  <c r="B469" i="1"/>
  <c r="D469" i="1" s="1"/>
  <c r="M469" i="1" s="1"/>
  <c r="F462" i="1"/>
  <c r="F461" i="1"/>
  <c r="E461" i="1"/>
  <c r="I462" i="1"/>
  <c r="H462" i="1"/>
  <c r="B462" i="1"/>
  <c r="D462" i="1" s="1"/>
  <c r="M462" i="1" s="1"/>
  <c r="I461" i="1"/>
  <c r="H461" i="1"/>
  <c r="B461" i="1"/>
  <c r="D461" i="1" s="1"/>
  <c r="M461" i="1" s="1"/>
  <c r="F454" i="1"/>
  <c r="F453" i="1"/>
  <c r="E453" i="1"/>
  <c r="I454" i="1"/>
  <c r="H454" i="1"/>
  <c r="B454" i="1"/>
  <c r="D454" i="1" s="1"/>
  <c r="M454" i="1" s="1"/>
  <c r="I453" i="1"/>
  <c r="H453" i="1"/>
  <c r="B453" i="1"/>
  <c r="D453" i="1" s="1"/>
  <c r="M453" i="1" s="1"/>
  <c r="F446" i="1"/>
  <c r="F445" i="1"/>
  <c r="E445" i="1"/>
  <c r="I446" i="1"/>
  <c r="H446" i="1"/>
  <c r="B446" i="1"/>
  <c r="D446" i="1" s="1"/>
  <c r="M446" i="1" s="1"/>
  <c r="I445" i="1"/>
  <c r="H445" i="1"/>
  <c r="B445" i="1"/>
  <c r="D445" i="1" s="1"/>
  <c r="M445" i="1" s="1"/>
  <c r="F438" i="1"/>
  <c r="F437" i="1"/>
  <c r="E437" i="1"/>
  <c r="I438" i="1"/>
  <c r="H438" i="1"/>
  <c r="B438" i="1"/>
  <c r="D438" i="1" s="1"/>
  <c r="M438" i="1" s="1"/>
  <c r="I437" i="1"/>
  <c r="H437" i="1"/>
  <c r="B437" i="1"/>
  <c r="D437" i="1" s="1"/>
  <c r="M437" i="1" s="1"/>
  <c r="I430" i="1"/>
  <c r="H430" i="1"/>
  <c r="F430" i="1"/>
  <c r="I429" i="1"/>
  <c r="H429" i="1"/>
  <c r="F429" i="1"/>
  <c r="E429" i="1"/>
  <c r="B430" i="1"/>
  <c r="D430" i="1" s="1"/>
  <c r="M430" i="1" s="1"/>
  <c r="B429" i="1"/>
  <c r="D429" i="1" s="1"/>
  <c r="M429" i="1" s="1"/>
  <c r="F422" i="1"/>
  <c r="F421" i="1"/>
  <c r="E421" i="1"/>
  <c r="I422" i="1"/>
  <c r="H422" i="1"/>
  <c r="B422" i="1"/>
  <c r="D422" i="1" s="1"/>
  <c r="M422" i="1" s="1"/>
  <c r="I421" i="1"/>
  <c r="H421" i="1"/>
  <c r="B421" i="1"/>
  <c r="D421" i="1" s="1"/>
  <c r="M421" i="1" s="1"/>
  <c r="F414" i="1"/>
  <c r="F413" i="1"/>
  <c r="E413" i="1"/>
  <c r="I414" i="1"/>
  <c r="H414" i="1"/>
  <c r="B414" i="1"/>
  <c r="D414" i="1" s="1"/>
  <c r="M414" i="1" s="1"/>
  <c r="I413" i="1"/>
  <c r="H413" i="1"/>
  <c r="B413" i="1"/>
  <c r="D413" i="1" s="1"/>
  <c r="M413" i="1" s="1"/>
  <c r="F406" i="1"/>
  <c r="F405" i="1"/>
  <c r="E405" i="1"/>
  <c r="I406" i="1"/>
  <c r="H406" i="1"/>
  <c r="B406" i="1"/>
  <c r="D406" i="1" s="1"/>
  <c r="M406" i="1" s="1"/>
  <c r="I405" i="1"/>
  <c r="H405" i="1"/>
  <c r="B405" i="1"/>
  <c r="D405" i="1" s="1"/>
  <c r="M405" i="1" s="1"/>
  <c r="AA15" i="2"/>
  <c r="Z15" i="2"/>
  <c r="F398" i="1"/>
  <c r="F397" i="1"/>
  <c r="E397" i="1"/>
  <c r="S15" i="2"/>
  <c r="R15" i="2"/>
  <c r="T15" i="2" s="1"/>
  <c r="N15" i="2"/>
  <c r="I398" i="1"/>
  <c r="H398" i="1"/>
  <c r="B398" i="1"/>
  <c r="D398" i="1" s="1"/>
  <c r="M398" i="1" s="1"/>
  <c r="I397" i="1"/>
  <c r="H397" i="1"/>
  <c r="B397" i="1"/>
  <c r="D397" i="1" s="1"/>
  <c r="M397" i="1" s="1"/>
  <c r="AE15" i="2"/>
  <c r="AD15" i="2"/>
  <c r="AF15" i="2" s="1"/>
  <c r="F390" i="1"/>
  <c r="F389" i="1"/>
  <c r="E389" i="1"/>
  <c r="I390" i="1"/>
  <c r="H390" i="1"/>
  <c r="F392" i="1"/>
  <c r="B390" i="1"/>
  <c r="D390" i="1" s="1"/>
  <c r="M390" i="1" s="1"/>
  <c r="I389" i="1"/>
  <c r="H389" i="1"/>
  <c r="B389" i="1"/>
  <c r="D389" i="1" s="1"/>
  <c r="M389" i="1" s="1"/>
  <c r="F383" i="1"/>
  <c r="F382" i="1"/>
  <c r="F384" i="1" s="1"/>
  <c r="F381" i="1"/>
  <c r="E381" i="1"/>
  <c r="I382" i="1"/>
  <c r="H382" i="1"/>
  <c r="B382" i="1"/>
  <c r="D382" i="1" s="1"/>
  <c r="M382" i="1" s="1"/>
  <c r="I381" i="1"/>
  <c r="H381" i="1"/>
  <c r="B381" i="1"/>
  <c r="D381" i="1" s="1"/>
  <c r="M381" i="1" s="1"/>
  <c r="F374" i="1"/>
  <c r="E373" i="1"/>
  <c r="F373" i="1"/>
  <c r="I374" i="1"/>
  <c r="F376" i="1" s="1"/>
  <c r="H374" i="1"/>
  <c r="B374" i="1"/>
  <c r="D374" i="1" s="1"/>
  <c r="M374" i="1" s="1"/>
  <c r="I373" i="1"/>
  <c r="H373" i="1"/>
  <c r="F375" i="1"/>
  <c r="B373" i="1"/>
  <c r="D373" i="1" s="1"/>
  <c r="M373" i="1" s="1"/>
  <c r="F366" i="1"/>
  <c r="F365" i="1"/>
  <c r="F367" i="1" s="1"/>
  <c r="E365" i="1"/>
  <c r="I366" i="1"/>
  <c r="H366" i="1"/>
  <c r="B366" i="1"/>
  <c r="D366" i="1" s="1"/>
  <c r="M366" i="1" s="1"/>
  <c r="I365" i="1"/>
  <c r="H365" i="1"/>
  <c r="B365" i="1"/>
  <c r="D365" i="1" s="1"/>
  <c r="M365" i="1" s="1"/>
  <c r="F479" i="1" l="1"/>
  <c r="N477" i="1"/>
  <c r="F480" i="1"/>
  <c r="N478" i="1"/>
  <c r="F471" i="1"/>
  <c r="N469" i="1"/>
  <c r="F472" i="1"/>
  <c r="N470" i="1"/>
  <c r="F463" i="1"/>
  <c r="N461" i="1"/>
  <c r="F464" i="1"/>
  <c r="N462" i="1"/>
  <c r="F455" i="1"/>
  <c r="N453" i="1"/>
  <c r="F456" i="1"/>
  <c r="N454" i="1"/>
  <c r="F447" i="1"/>
  <c r="N445" i="1"/>
  <c r="F448" i="1"/>
  <c r="N446" i="1"/>
  <c r="F439" i="1"/>
  <c r="N437" i="1"/>
  <c r="F440" i="1"/>
  <c r="N438" i="1"/>
  <c r="F431" i="1"/>
  <c r="N429" i="1"/>
  <c r="F432" i="1"/>
  <c r="N430" i="1"/>
  <c r="F423" i="1"/>
  <c r="N421" i="1"/>
  <c r="F424" i="1"/>
  <c r="N422" i="1"/>
  <c r="F415" i="1"/>
  <c r="N413" i="1"/>
  <c r="F416" i="1"/>
  <c r="N414" i="1"/>
  <c r="F407" i="1"/>
  <c r="N405" i="1"/>
  <c r="F408" i="1"/>
  <c r="N406" i="1"/>
  <c r="F399" i="1"/>
  <c r="N397" i="1"/>
  <c r="F400" i="1"/>
  <c r="N398" i="1"/>
  <c r="N389" i="1"/>
  <c r="N390" i="1"/>
  <c r="F391" i="1"/>
  <c r="F393" i="1" s="1"/>
  <c r="F385" i="1"/>
  <c r="N382" i="1"/>
  <c r="N381" i="1"/>
  <c r="F377" i="1"/>
  <c r="N374" i="1"/>
  <c r="N373" i="1"/>
  <c r="F368" i="1"/>
  <c r="F369" i="1"/>
  <c r="N366" i="1"/>
  <c r="N365" i="1"/>
  <c r="F481" i="1" l="1"/>
  <c r="F473" i="1"/>
  <c r="F465" i="1"/>
  <c r="F457" i="1"/>
  <c r="F449" i="1"/>
  <c r="F441" i="1"/>
  <c r="F433" i="1"/>
  <c r="F425" i="1"/>
  <c r="F417" i="1"/>
  <c r="F409" i="1"/>
  <c r="F401" i="1"/>
  <c r="F360" i="1"/>
  <c r="F358" i="1"/>
  <c r="I357" i="1"/>
  <c r="H357" i="1"/>
  <c r="F357" i="1"/>
  <c r="E357" i="1"/>
  <c r="I358" i="1"/>
  <c r="H358" i="1"/>
  <c r="B358" i="1"/>
  <c r="D358" i="1" s="1"/>
  <c r="M358" i="1" s="1"/>
  <c r="F359" i="1"/>
  <c r="B357" i="1"/>
  <c r="D357" i="1" s="1"/>
  <c r="M357" i="1" s="1"/>
  <c r="F351" i="1"/>
  <c r="F343" i="1"/>
  <c r="F352" i="1"/>
  <c r="N350" i="1"/>
  <c r="F350" i="1"/>
  <c r="F349" i="1"/>
  <c r="E349" i="1"/>
  <c r="I350" i="1"/>
  <c r="H350" i="1"/>
  <c r="B350" i="1"/>
  <c r="D350" i="1" s="1"/>
  <c r="I349" i="1"/>
  <c r="H349" i="1"/>
  <c r="B349" i="1"/>
  <c r="D349" i="1" s="1"/>
  <c r="I341" i="1"/>
  <c r="H341" i="1"/>
  <c r="I342" i="1"/>
  <c r="H342" i="1"/>
  <c r="F344" i="1"/>
  <c r="B342" i="1"/>
  <c r="D342" i="1" s="1"/>
  <c r="M342" i="1" s="1"/>
  <c r="B341" i="1"/>
  <c r="D341" i="1" s="1"/>
  <c r="M341" i="1" s="1"/>
  <c r="I334" i="1"/>
  <c r="H334" i="1"/>
  <c r="F334" i="1"/>
  <c r="E333" i="1"/>
  <c r="F333" i="1"/>
  <c r="M349" i="1" l="1"/>
  <c r="N349" i="1"/>
  <c r="N341" i="1"/>
  <c r="N358" i="1"/>
  <c r="F361" i="1"/>
  <c r="N357" i="1"/>
  <c r="F353" i="1"/>
  <c r="M350" i="1"/>
  <c r="F345" i="1"/>
  <c r="N342" i="1"/>
  <c r="F335" i="1"/>
  <c r="F336" i="1"/>
  <c r="B334" i="1"/>
  <c r="D334" i="1" s="1"/>
  <c r="M334" i="1" s="1"/>
  <c r="B333" i="1"/>
  <c r="D333" i="1" s="1"/>
  <c r="M333" i="1" s="1"/>
  <c r="F326" i="1"/>
  <c r="I326" i="1"/>
  <c r="H326" i="1"/>
  <c r="F328" i="1"/>
  <c r="N325" i="1" s="1"/>
  <c r="B326" i="1"/>
  <c r="D326" i="1" s="1"/>
  <c r="M326" i="1" s="1"/>
  <c r="F327" i="1"/>
  <c r="B325" i="1"/>
  <c r="D325" i="1" s="1"/>
  <c r="M325" i="1" s="1"/>
  <c r="F318" i="1"/>
  <c r="F319" i="1"/>
  <c r="I318" i="1"/>
  <c r="H318" i="1"/>
  <c r="B318" i="1"/>
  <c r="D318" i="1" s="1"/>
  <c r="M318" i="1" s="1"/>
  <c r="F317" i="1"/>
  <c r="E317" i="1"/>
  <c r="B317" i="1"/>
  <c r="D317" i="1" s="1"/>
  <c r="M317" i="1" s="1"/>
  <c r="F310" i="1"/>
  <c r="F309" i="1"/>
  <c r="E309" i="1"/>
  <c r="F311" i="1" s="1"/>
  <c r="I310" i="1"/>
  <c r="H310" i="1"/>
  <c r="B310" i="1"/>
  <c r="D310" i="1" s="1"/>
  <c r="M310" i="1" s="1"/>
  <c r="B309" i="1"/>
  <c r="D309" i="1" s="1"/>
  <c r="M309" i="1" s="1"/>
  <c r="F302" i="1"/>
  <c r="F304" i="1" s="1"/>
  <c r="F301" i="1"/>
  <c r="E301" i="1"/>
  <c r="I302" i="1"/>
  <c r="H302" i="1"/>
  <c r="B302" i="1"/>
  <c r="D302" i="1" s="1"/>
  <c r="M302" i="1" s="1"/>
  <c r="B301" i="1"/>
  <c r="D301" i="1" s="1"/>
  <c r="M301" i="1" s="1"/>
  <c r="F294" i="1"/>
  <c r="F293" i="1"/>
  <c r="E293" i="1"/>
  <c r="I294" i="1"/>
  <c r="H294" i="1"/>
  <c r="B294" i="1"/>
  <c r="D294" i="1" s="1"/>
  <c r="M294" i="1" s="1"/>
  <c r="B293" i="1"/>
  <c r="D293" i="1" s="1"/>
  <c r="M293" i="1" s="1"/>
  <c r="F286" i="1"/>
  <c r="E285" i="1"/>
  <c r="F287" i="1" s="1"/>
  <c r="I286" i="1"/>
  <c r="H286" i="1"/>
  <c r="B286" i="1"/>
  <c r="D286" i="1" s="1"/>
  <c r="M286" i="1" s="1"/>
  <c r="B285" i="1"/>
  <c r="D285" i="1" s="1"/>
  <c r="M285" i="1" s="1"/>
  <c r="F277" i="1"/>
  <c r="F278" i="1"/>
  <c r="F279" i="1"/>
  <c r="I278" i="1"/>
  <c r="H278" i="1"/>
  <c r="F280" i="1" s="1"/>
  <c r="B278" i="1"/>
  <c r="D278" i="1" s="1"/>
  <c r="M278" i="1" s="1"/>
  <c r="B277" i="1"/>
  <c r="D277" i="1" s="1"/>
  <c r="M277" i="1" s="1"/>
  <c r="N333" i="1" l="1"/>
  <c r="F337" i="1"/>
  <c r="N334" i="1"/>
  <c r="F329" i="1"/>
  <c r="N326" i="1"/>
  <c r="AB15" i="2"/>
  <c r="N318" i="1"/>
  <c r="F320" i="1"/>
  <c r="N317" i="1" s="1"/>
  <c r="N310" i="1"/>
  <c r="F312" i="1"/>
  <c r="N309" i="1" s="1"/>
  <c r="F303" i="1"/>
  <c r="F305" i="1" s="1"/>
  <c r="N301" i="1"/>
  <c r="N302" i="1"/>
  <c r="F296" i="1"/>
  <c r="N293" i="1" s="1"/>
  <c r="F295" i="1"/>
  <c r="N294" i="1"/>
  <c r="N286" i="1"/>
  <c r="F288" i="1"/>
  <c r="N285" i="1" s="1"/>
  <c r="N277" i="1"/>
  <c r="F281" i="1"/>
  <c r="N278" i="1"/>
  <c r="F270" i="1"/>
  <c r="F269" i="1"/>
  <c r="E269" i="1"/>
  <c r="I270" i="1"/>
  <c r="H270" i="1"/>
  <c r="F272" i="1"/>
  <c r="B270" i="1"/>
  <c r="D270" i="1" s="1"/>
  <c r="M270" i="1" s="1"/>
  <c r="B269" i="1"/>
  <c r="D269" i="1" s="1"/>
  <c r="M269" i="1" s="1"/>
  <c r="F321" i="1" l="1"/>
  <c r="F313" i="1"/>
  <c r="F297" i="1"/>
  <c r="F289" i="1"/>
  <c r="F271" i="1"/>
  <c r="N269" i="1"/>
  <c r="F273" i="1"/>
  <c r="N270" i="1"/>
  <c r="E261" i="1"/>
  <c r="F262" i="1"/>
  <c r="F261" i="1"/>
  <c r="I262" i="1"/>
  <c r="H262" i="1"/>
  <c r="B262" i="1"/>
  <c r="D262" i="1" s="1"/>
  <c r="M262" i="1" s="1"/>
  <c r="B261" i="1"/>
  <c r="D261" i="1" s="1"/>
  <c r="M261" i="1" s="1"/>
  <c r="N262" i="1" l="1"/>
  <c r="F263" i="1"/>
  <c r="F264" i="1"/>
  <c r="N261" i="1" s="1"/>
  <c r="F254" i="1"/>
  <c r="F256" i="1" s="1"/>
  <c r="F253" i="1"/>
  <c r="E253" i="1"/>
  <c r="F255" i="1"/>
  <c r="I254" i="1"/>
  <c r="H254" i="1"/>
  <c r="B254" i="1"/>
  <c r="D254" i="1" s="1"/>
  <c r="M254" i="1" s="1"/>
  <c r="B253" i="1"/>
  <c r="D253" i="1" s="1"/>
  <c r="M253" i="1" s="1"/>
  <c r="F265" i="1" l="1"/>
  <c r="N253" i="1"/>
  <c r="F257" i="1"/>
  <c r="N254" i="1"/>
  <c r="I246" i="1"/>
  <c r="H246" i="1"/>
  <c r="F246" i="1"/>
  <c r="I238" i="1"/>
  <c r="H238" i="1"/>
  <c r="F238" i="1"/>
  <c r="F245" i="1"/>
  <c r="E245" i="1"/>
  <c r="B245" i="1" l="1"/>
  <c r="F247" i="1"/>
  <c r="F248" i="1"/>
  <c r="B246" i="1"/>
  <c r="D246" i="1" s="1"/>
  <c r="M246" i="1" s="1"/>
  <c r="D245" i="1"/>
  <c r="M245" i="1" s="1"/>
  <c r="N245" i="1" l="1"/>
  <c r="F249" i="1"/>
  <c r="N246" i="1"/>
  <c r="F239" i="1"/>
  <c r="B238" i="1"/>
  <c r="D238" i="1" s="1"/>
  <c r="M238" i="1" s="1"/>
  <c r="D237" i="1"/>
  <c r="M237" i="1" s="1"/>
  <c r="N238" i="1" l="1"/>
  <c r="F240" i="1"/>
  <c r="N237" i="1" s="1"/>
  <c r="F230" i="1"/>
  <c r="F232" i="1"/>
  <c r="I230" i="1"/>
  <c r="H230" i="1"/>
  <c r="B230" i="1"/>
  <c r="D230" i="1" s="1"/>
  <c r="M230" i="1" s="1"/>
  <c r="F229" i="1"/>
  <c r="F231" i="1" s="1"/>
  <c r="E229" i="1"/>
  <c r="B229" i="1"/>
  <c r="D229" i="1" s="1"/>
  <c r="M229" i="1" s="1"/>
  <c r="F241" i="1" l="1"/>
  <c r="N229" i="1"/>
  <c r="F233" i="1"/>
  <c r="N230" i="1"/>
  <c r="F222" i="1"/>
  <c r="C221" i="1" l="1"/>
  <c r="F221" i="1"/>
  <c r="E221" i="1"/>
  <c r="I222" i="1"/>
  <c r="H222" i="1"/>
  <c r="F224" i="1"/>
  <c r="B222" i="1"/>
  <c r="D222" i="1" s="1"/>
  <c r="M222" i="1" s="1"/>
  <c r="B221" i="1"/>
  <c r="D221" i="1" l="1"/>
  <c r="M221" i="1" s="1"/>
  <c r="F223" i="1"/>
  <c r="F225" i="1" s="1"/>
  <c r="N221" i="1"/>
  <c r="N222" i="1"/>
  <c r="F213" i="1"/>
  <c r="E213" i="1"/>
  <c r="F205" i="1"/>
  <c r="E205" i="1"/>
  <c r="F206" i="1"/>
  <c r="F214" i="1"/>
  <c r="F216" i="1" s="1"/>
  <c r="I214" i="1"/>
  <c r="H214" i="1"/>
  <c r="B214" i="1"/>
  <c r="D214" i="1" s="1"/>
  <c r="M214" i="1" s="1"/>
  <c r="B213" i="1"/>
  <c r="D213" i="1" s="1"/>
  <c r="M213" i="1" s="1"/>
  <c r="I206" i="1"/>
  <c r="H206" i="1"/>
  <c r="F208" i="1"/>
  <c r="B206" i="1"/>
  <c r="D206" i="1" s="1"/>
  <c r="M206" i="1" s="1"/>
  <c r="B205" i="1"/>
  <c r="D205" i="1" s="1"/>
  <c r="M205" i="1" s="1"/>
  <c r="F215" i="1" l="1"/>
  <c r="F207" i="1"/>
  <c r="F209" i="1" s="1"/>
  <c r="N213" i="1"/>
  <c r="F217" i="1"/>
  <c r="N214" i="1"/>
  <c r="N205" i="1"/>
  <c r="N206" i="1"/>
  <c r="W15" i="2"/>
  <c r="V15" i="2"/>
  <c r="F198" i="1"/>
  <c r="F200" i="1" s="1"/>
  <c r="F197" i="1"/>
  <c r="F199" i="1" s="1"/>
  <c r="E197" i="1"/>
  <c r="I198" i="1"/>
  <c r="H198" i="1"/>
  <c r="B198" i="1"/>
  <c r="D198" i="1" s="1"/>
  <c r="M198" i="1" s="1"/>
  <c r="B197" i="1"/>
  <c r="D197" i="1" s="1"/>
  <c r="M197" i="1" s="1"/>
  <c r="X15" i="2" l="1"/>
  <c r="F201" i="1"/>
  <c r="N197" i="1"/>
  <c r="N198" i="1"/>
  <c r="F190" i="1"/>
  <c r="E189" i="1"/>
  <c r="F189" i="1"/>
  <c r="F191" i="1" s="1"/>
  <c r="I190" i="1"/>
  <c r="H190" i="1"/>
  <c r="F192" i="1"/>
  <c r="B190" i="1"/>
  <c r="D190" i="1" s="1"/>
  <c r="M190" i="1" s="1"/>
  <c r="B189" i="1"/>
  <c r="D189" i="1" s="1"/>
  <c r="M189" i="1" s="1"/>
  <c r="N189" i="1" l="1"/>
  <c r="F193" i="1"/>
  <c r="N190" i="1"/>
  <c r="F182" i="1"/>
  <c r="F181" i="1"/>
  <c r="E181" i="1"/>
  <c r="I182" i="1"/>
  <c r="H182" i="1"/>
  <c r="B182" i="1"/>
  <c r="D182" i="1" s="1"/>
  <c r="M182" i="1" s="1"/>
  <c r="B181" i="1"/>
  <c r="D181" i="1" s="1"/>
  <c r="M181" i="1" s="1"/>
  <c r="F184" i="1" l="1"/>
  <c r="F183" i="1"/>
  <c r="F185" i="1" s="1"/>
  <c r="N181" i="1"/>
  <c r="N182" i="1"/>
  <c r="F174" i="1"/>
  <c r="F176" i="1" s="1"/>
  <c r="F173" i="1"/>
  <c r="E173" i="1"/>
  <c r="I174" i="1"/>
  <c r="H174" i="1"/>
  <c r="B174" i="1"/>
  <c r="D174" i="1" s="1"/>
  <c r="M174" i="1" s="1"/>
  <c r="F175" i="1" l="1"/>
  <c r="F177" i="1"/>
  <c r="N174" i="1"/>
  <c r="E165" i="1"/>
  <c r="F165" i="1"/>
  <c r="B166" i="1" l="1"/>
  <c r="D166" i="1" s="1"/>
  <c r="N166" i="1" s="1"/>
  <c r="B165" i="1"/>
  <c r="C165" i="1" s="1"/>
  <c r="B173" i="1" s="1"/>
  <c r="D173" i="1" s="1"/>
  <c r="F167" i="1"/>
  <c r="F169" i="1" s="1"/>
  <c r="I166" i="1"/>
  <c r="H166" i="1"/>
  <c r="O15" i="2"/>
  <c r="M173" i="1" l="1"/>
  <c r="N173" i="1"/>
  <c r="D165" i="1"/>
  <c r="P15" i="2"/>
  <c r="M117" i="1"/>
  <c r="M109" i="1"/>
  <c r="M101" i="1"/>
  <c r="N165" i="1" l="1"/>
  <c r="M165" i="1"/>
  <c r="I158" i="1"/>
  <c r="H158" i="1"/>
  <c r="F158" i="1"/>
  <c r="I151" i="1"/>
  <c r="H151" i="1"/>
  <c r="F150" i="1"/>
  <c r="B158" i="1"/>
  <c r="D158" i="1" s="1"/>
  <c r="F159" i="1"/>
  <c r="F161" i="1" s="1"/>
  <c r="D157" i="1"/>
  <c r="M157" i="1" s="1"/>
  <c r="F149" i="1" l="1"/>
  <c r="F151" i="1" s="1"/>
  <c r="F153" i="1" s="1"/>
  <c r="B150" i="1" l="1"/>
  <c r="D150" i="1" s="1"/>
  <c r="D149" i="1"/>
  <c r="M149" i="1" s="1"/>
  <c r="I142" i="1"/>
  <c r="H142" i="1"/>
  <c r="F142" i="1"/>
  <c r="F144" i="1" s="1"/>
  <c r="F145" i="1" s="1"/>
  <c r="B142" i="1"/>
  <c r="I134" i="1"/>
  <c r="F136" i="1" s="1"/>
  <c r="F137" i="1" s="1"/>
  <c r="H134" i="1"/>
  <c r="F134" i="1"/>
  <c r="B134" i="1"/>
  <c r="I126" i="1"/>
  <c r="H126" i="1"/>
  <c r="F126" i="1"/>
  <c r="F128" i="1" s="1"/>
  <c r="F141" i="1"/>
  <c r="F133" i="1"/>
  <c r="F125" i="1"/>
  <c r="F127" i="1" s="1"/>
  <c r="F129" i="1" s="1"/>
  <c r="E125" i="1"/>
  <c r="D142" i="1" l="1"/>
  <c r="D141" i="1"/>
  <c r="M141" i="1" s="1"/>
  <c r="D126" i="1"/>
  <c r="D134" i="1"/>
  <c r="D133" i="1"/>
  <c r="M133" i="1" s="1"/>
  <c r="D125" i="1"/>
  <c r="M125" i="1" s="1"/>
</calcChain>
</file>

<file path=xl/sharedStrings.xml><?xml version="1.0" encoding="utf-8"?>
<sst xmlns="http://schemas.openxmlformats.org/spreadsheetml/2006/main" count="1384" uniqueCount="135">
  <si>
    <t>L'Montagne Elec Back Date Summary 2018 - 2019</t>
  </si>
  <si>
    <t>Unit No</t>
  </si>
  <si>
    <t>Opening Reading</t>
  </si>
  <si>
    <t>Closing Reading</t>
  </si>
  <si>
    <t>Cons</t>
  </si>
  <si>
    <t>ComP</t>
  </si>
  <si>
    <t>Elec Amount</t>
  </si>
  <si>
    <t>Demand Levy</t>
  </si>
  <si>
    <t>Service Fee</t>
  </si>
  <si>
    <t>Network Fee</t>
  </si>
  <si>
    <t>BC Bulk</t>
  </si>
  <si>
    <t>Council Bulk</t>
  </si>
  <si>
    <t>BC Total</t>
  </si>
  <si>
    <t>Council Total</t>
  </si>
  <si>
    <t>Difference</t>
  </si>
  <si>
    <t>Estimated?</t>
  </si>
  <si>
    <t>Reading Dates</t>
  </si>
  <si>
    <t>Days</t>
  </si>
  <si>
    <t>Kwh p/day</t>
  </si>
  <si>
    <t>Rates</t>
  </si>
  <si>
    <t>Actual</t>
  </si>
  <si>
    <t>7Jan - 31Jan 2019</t>
  </si>
  <si>
    <t>1Jan - 31Jan 2019</t>
  </si>
  <si>
    <t>31Jan -27Feb 2019</t>
  </si>
  <si>
    <t>1feb - 28Feb 2019</t>
  </si>
  <si>
    <t>27Feb - 30Mar 2019</t>
  </si>
  <si>
    <t>1Mar - 31Mar 2019</t>
  </si>
  <si>
    <t>30Mar - 30Apr 2019</t>
  </si>
  <si>
    <t>1Apr - 30Apr 2019</t>
  </si>
  <si>
    <t>30Apr - 30May 2019</t>
  </si>
  <si>
    <t>1May - 31May 2019</t>
  </si>
  <si>
    <t>30May - 27Jun 2019</t>
  </si>
  <si>
    <t>1Jun -30Jun 2019</t>
  </si>
  <si>
    <t>27Jun - 31Jul 2019</t>
  </si>
  <si>
    <t>1Jul - 31Jul 2019</t>
  </si>
  <si>
    <t>31Jul - 3Sep 2019</t>
  </si>
  <si>
    <t>1Aug - 31Aug 2019</t>
  </si>
  <si>
    <t>31Aug - 26Sep 2019</t>
  </si>
  <si>
    <t>1Sep - 30Sep 2019</t>
  </si>
  <si>
    <t>26Sep - 30Oct 2019</t>
  </si>
  <si>
    <t>1 Oct - 31Oct 2019</t>
  </si>
  <si>
    <t>31Oct - 28Nov 2019</t>
  </si>
  <si>
    <t>1Nov - 30Nov2019</t>
  </si>
  <si>
    <t>28Nov - 6Jan 2020</t>
  </si>
  <si>
    <t>1Dec - 31Dec 2019</t>
  </si>
  <si>
    <t>6Jan - 30Jan 2020</t>
  </si>
  <si>
    <t>1Jan - 31Jan 2020</t>
  </si>
  <si>
    <t>30Jan - 27Feb 2020</t>
  </si>
  <si>
    <t>1Feb - 29Feb 2020</t>
  </si>
  <si>
    <t>27Feb - 25Mar 2020</t>
  </si>
  <si>
    <t>1Mar - 31Mar 2020</t>
  </si>
  <si>
    <t>Estimated</t>
  </si>
  <si>
    <t>25Mar - 30Apr 2020</t>
  </si>
  <si>
    <t>1Apr - 30Apr 2020</t>
  </si>
  <si>
    <t>30Apr - 29May 2020</t>
  </si>
  <si>
    <t>1May - 31May 2020</t>
  </si>
  <si>
    <t>25Mar - 1Jul 2020</t>
  </si>
  <si>
    <t>1Jun - 30Jun 2020</t>
  </si>
  <si>
    <t>1Jul - 3Aug 2020</t>
  </si>
  <si>
    <t>1Jul - 31Jul 2020</t>
  </si>
  <si>
    <t>3Aug - 31Aug 2020</t>
  </si>
  <si>
    <t>1Aug - 31Aug 2020</t>
  </si>
  <si>
    <t>31Aug - 30Sept 2020</t>
  </si>
  <si>
    <t>1Sept - 30Sept 2020</t>
  </si>
  <si>
    <t>30Sept - 30Oct 2020</t>
  </si>
  <si>
    <t>1Oct - 31Oct 2020</t>
  </si>
  <si>
    <t>30oct - 2Dec 2020</t>
  </si>
  <si>
    <t>1Nov - 30Nov 2020</t>
  </si>
  <si>
    <t>2Dec 2020 - 4Jan 2021</t>
  </si>
  <si>
    <t>1Dec -31Dec 2020</t>
  </si>
  <si>
    <t>4Jan - 1Feb 2021</t>
  </si>
  <si>
    <t>1Jan - 31Jan 2021</t>
  </si>
  <si>
    <t>1Feb - 25Feb 2021</t>
  </si>
  <si>
    <t>1Feb - 28Feb 2021</t>
  </si>
  <si>
    <t>25Feb - 3Apr 2021</t>
  </si>
  <si>
    <t>1Mar - 31Mar 2021</t>
  </si>
  <si>
    <t>3Apr - 2May 2021</t>
  </si>
  <si>
    <t>1Apr - 30Apr 2021</t>
  </si>
  <si>
    <t>2May - 31May 2021</t>
  </si>
  <si>
    <t>1May - 31May 2021</t>
  </si>
  <si>
    <t>31May - 29Jun 2021</t>
  </si>
  <si>
    <t>1Jun - 30Jun 2021</t>
  </si>
  <si>
    <t>29Jun - 2Aug 2021</t>
  </si>
  <si>
    <t>2Aug - 31Aug 2021</t>
  </si>
  <si>
    <t>4Aug - 31Aug 2021</t>
  </si>
  <si>
    <t>31Aug - 6Oct 2021</t>
  </si>
  <si>
    <t>1Sept - 30Sept 2021</t>
  </si>
  <si>
    <t>6Oct - 1Nov 2021</t>
  </si>
  <si>
    <t>1Oct - 30Oct 2021</t>
  </si>
  <si>
    <t>1Nov - 3Dec 2021</t>
  </si>
  <si>
    <t>1Nov - 30Nov 2021</t>
  </si>
  <si>
    <t>3Dec 2021 - 3Jan 2022</t>
  </si>
  <si>
    <t>1Dec - 31Dec 2021</t>
  </si>
  <si>
    <t>3Jan - 31Jan 2022</t>
  </si>
  <si>
    <t>1Jan - 31Jan 2022</t>
  </si>
  <si>
    <t>31Jan - 28Feb 2022</t>
  </si>
  <si>
    <t>1Feb - 28Feb 2022</t>
  </si>
  <si>
    <t>28Feb - 31Mar 2022</t>
  </si>
  <si>
    <t>1Mar - 31Mar 2022</t>
  </si>
  <si>
    <t>31Mar - 29Apr 2022</t>
  </si>
  <si>
    <t>1Apr - 30Apr 2022</t>
  </si>
  <si>
    <t>29Apr - 31May 2022</t>
  </si>
  <si>
    <t>1May - 31May 2022</t>
  </si>
  <si>
    <t>31May - 30Jun 2022</t>
  </si>
  <si>
    <t>1Jun - 30Jun 2022</t>
  </si>
  <si>
    <t>30Jun - 29Jul 2022</t>
  </si>
  <si>
    <t>1Jul - 3Aug 2022</t>
  </si>
  <si>
    <t>29Jul - 31Aug 2022</t>
  </si>
  <si>
    <t>4Aug - 2Sept 2022</t>
  </si>
  <si>
    <t>31Aug - 30Sept 2022</t>
  </si>
  <si>
    <t>3Sept - 4Oct 2022</t>
  </si>
  <si>
    <t>30Sept - 31Oct 2022</t>
  </si>
  <si>
    <t>5Oct - 2Nov 2022</t>
  </si>
  <si>
    <t>31Oct - 30Nov 2022</t>
  </si>
  <si>
    <t>3Nov - 2Dec 2022</t>
  </si>
  <si>
    <t>30Nov 2022 - 4Jan 2023</t>
  </si>
  <si>
    <t>3Dec 2022 - 5Jan 2023</t>
  </si>
  <si>
    <t>L'Montagne Elec Back Date</t>
  </si>
  <si>
    <t>BC</t>
  </si>
  <si>
    <t>Council</t>
  </si>
  <si>
    <t>Estimated / Actual</t>
  </si>
  <si>
    <t>A</t>
  </si>
  <si>
    <t>E</t>
  </si>
  <si>
    <t>LM Counil Billing is CORRECT</t>
  </si>
  <si>
    <t>LM Consumption</t>
  </si>
  <si>
    <t>Individual Units (50)</t>
  </si>
  <si>
    <t>Common Property</t>
  </si>
  <si>
    <t xml:space="preserve"> R5,044.57 </t>
  </si>
  <si>
    <t xml:space="preserve"> R4,422.15 </t>
  </si>
  <si>
    <t xml:space="preserve"> R5,160.02 </t>
  </si>
  <si>
    <t xml:space="preserve"> R7,736.76 </t>
  </si>
  <si>
    <t xml:space="preserve"> R4,025.62 </t>
  </si>
  <si>
    <t xml:space="preserve"> R3,262.65 </t>
  </si>
  <si>
    <t>KWH PER DAY</t>
  </si>
  <si>
    <t>LM Rates STS vs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</si>
</sst>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.00"/>
    <numFmt numFmtId="167" formatCode="_-[$R-436]* #,##0.00_-;\-[$R-436]* #,##0.00_-;_-[$R-436]* &quot;-&quot;??_-;_-@_-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4" fillId="0" borderId="0" applyFont="0" applyFill="0" applyBorder="0" applyAlignment="0" applyProtection="0"/>
  </cellStyleXfs>
  <cellXfs count="18">
    <xf numFmtId="0" fontId="0" fillId="0" borderId="0" xfId="0"/>
    <xf numFmtId="17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166" fontId="0" fillId="0" borderId="1" xfId="0" applyNumberFormat="1" applyBorder="1"/>
    <xf numFmtId="0" fontId="2" fillId="0" borderId="0" xfId="0" applyFont="1"/>
    <xf numFmtId="17" fontId="1" fillId="0" borderId="0" xfId="0" applyNumberFormat="1" applyFont="1"/>
    <xf numFmtId="164" fontId="0" fillId="0" borderId="1" xfId="0" applyNumberFormat="1" applyBorder="1"/>
    <xf numFmtId="1" fontId="0" fillId="0" borderId="0" xfId="0" applyNumberFormat="1"/>
    <xf numFmtId="0" fontId="3" fillId="0" borderId="0" xfId="0" applyFont="1"/>
    <xf numFmtId="166" fontId="1" fillId="0" borderId="2" xfId="0" applyNumberFormat="1" applyFont="1" applyBorder="1"/>
    <xf numFmtId="0" fontId="0" fillId="0" borderId="0" xfId="0" applyAlignment="1">
      <alignment horizontal="center"/>
    </xf>
    <xf numFmtId="165" fontId="0" fillId="0" borderId="0" xfId="0" applyNumberFormat="1"/>
    <xf numFmtId="165" fontId="0" fillId="0" borderId="0" xfId="1" applyFont="1"/>
    <xf numFmtId="17" fontId="1" fillId="2" borderId="1" xfId="0" applyNumberFormat="1" applyFont="1" applyFill="1" applyBorder="1"/>
    <xf numFmtId="17" fontId="1" fillId="2" borderId="0" xfId="0" applyNumberFormat="1" applyFont="1" applyFill="1"/>
    <xf numFmtId="0" fontId="5" fillId="0" borderId="0" xfId="0" applyFont="1"/>
    <xf numFmtId="167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Graph!$AD$3:$AD$14</c:f>
              <c:numCache>
                <c:formatCode>_-[$R-436]* #,##0.00_-;\-[$R-436]* #,##0.00_-;_-[$R-436]* "-"??_-;_-@_-</c:formatCode>
                <c:ptCount val="12"/>
                <c:pt idx="0">
                  <c:v>29656.050499999998</c:v>
                </c:pt>
                <c:pt idx="1">
                  <c:v>33231.124499999998</c:v>
                </c:pt>
                <c:pt idx="2">
                  <c:v>36695.487999999998</c:v>
                </c:pt>
                <c:pt idx="3">
                  <c:v>39088.304499999998</c:v>
                </c:pt>
                <c:pt idx="4">
                  <c:v>38629.834000000003</c:v>
                </c:pt>
                <c:pt idx="5">
                  <c:v>43462.248999999996</c:v>
                </c:pt>
                <c:pt idx="6">
                  <c:v>33527.145999999993</c:v>
                </c:pt>
                <c:pt idx="7">
                  <c:v>30080.32</c:v>
                </c:pt>
                <c:pt idx="8">
                  <c:v>33028.988999999994</c:v>
                </c:pt>
                <c:pt idx="9">
                  <c:v>33107.64899999999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86-4FCC-9230-D83FD09AB208}"/>
            </c:ext>
          </c:extLst>
        </c:ser>
        <c:ser>
          <c:idx val="1"/>
          <c:order val="1"/>
          <c:tx>
            <c:strRef>
              <c:f>Graph!$AE$2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Graph!$AE$3:$AE$14</c:f>
              <c:numCache>
                <c:formatCode>_-[$R-436]* #,##0.00_-;\-[$R-436]* #,##0.00_-;_-[$R-436]* "-"??_-;_-@_-</c:formatCode>
                <c:ptCount val="12"/>
                <c:pt idx="0">
                  <c:v>26542.620999999999</c:v>
                </c:pt>
                <c:pt idx="1">
                  <c:v>34389.036499999995</c:v>
                </c:pt>
                <c:pt idx="2">
                  <c:v>34253.922999999995</c:v>
                </c:pt>
                <c:pt idx="3">
                  <c:v>45285.113999999994</c:v>
                </c:pt>
                <c:pt idx="4">
                  <c:v>48282.186499999996</c:v>
                </c:pt>
                <c:pt idx="5">
                  <c:v>37466.252500000002</c:v>
                </c:pt>
                <c:pt idx="6">
                  <c:v>31255.424499999997</c:v>
                </c:pt>
                <c:pt idx="7">
                  <c:v>27212.967499999999</c:v>
                </c:pt>
                <c:pt idx="8">
                  <c:v>26100.721999999994</c:v>
                </c:pt>
                <c:pt idx="9">
                  <c:v>32558.454999999998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86-4FCC-9230-D83FD09AB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533223"/>
        <c:axId val="779920903"/>
      </c:barChart>
      <c:dateAx>
        <c:axId val="6125332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20903"/>
        <c:crosses val="autoZero"/>
        <c:auto val="1"/>
        <c:lblOffset val="100"/>
        <c:baseTimeUnit val="months"/>
      </c:dateAx>
      <c:valAx>
        <c:axId val="779920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33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Graph'!$AD$2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Graph'!$AD$3:$AD$14</c:f>
              <c:numCache>
                <c:formatCode>General</c:formatCode>
                <c:ptCount val="12"/>
                <c:pt idx="0">
                  <c:v>15280</c:v>
                </c:pt>
                <c:pt idx="1">
                  <c:v>17185</c:v>
                </c:pt>
                <c:pt idx="2">
                  <c:v>19031</c:v>
                </c:pt>
                <c:pt idx="3">
                  <c:v>20267</c:v>
                </c:pt>
                <c:pt idx="4">
                  <c:v>18631</c:v>
                </c:pt>
                <c:pt idx="5">
                  <c:v>21027</c:v>
                </c:pt>
                <c:pt idx="6">
                  <c:v>16101</c:v>
                </c:pt>
                <c:pt idx="7">
                  <c:v>14392</c:v>
                </c:pt>
                <c:pt idx="8">
                  <c:v>15854</c:v>
                </c:pt>
                <c:pt idx="9">
                  <c:v>15893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62-4FF4-A113-2C9F8AA8C75D}"/>
            </c:ext>
          </c:extLst>
        </c:ser>
        <c:ser>
          <c:idx val="1"/>
          <c:order val="1"/>
          <c:tx>
            <c:strRef>
              <c:f>'Cons Graph'!$AE$2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Graph'!$AC$3:$AC$14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Graph'!$AE$3:$AE$14</c:f>
              <c:numCache>
                <c:formatCode>General</c:formatCode>
                <c:ptCount val="12"/>
                <c:pt idx="0">
                  <c:v>13621</c:v>
                </c:pt>
                <c:pt idx="1">
                  <c:v>17802</c:v>
                </c:pt>
                <c:pt idx="2">
                  <c:v>17730</c:v>
                </c:pt>
                <c:pt idx="3">
                  <c:v>23569</c:v>
                </c:pt>
                <c:pt idx="4">
                  <c:v>23416</c:v>
                </c:pt>
                <c:pt idx="5">
                  <c:v>18054</c:v>
                </c:pt>
                <c:pt idx="6">
                  <c:v>14975</c:v>
                </c:pt>
                <c:pt idx="7">
                  <c:v>12970</c:v>
                </c:pt>
                <c:pt idx="8">
                  <c:v>12419</c:v>
                </c:pt>
                <c:pt idx="9">
                  <c:v>15621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62-4FF4-A113-2C9F8AA8C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6779448"/>
        <c:axId val="892037848"/>
      </c:barChart>
      <c:dateAx>
        <c:axId val="1056779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37848"/>
        <c:crosses val="autoZero"/>
        <c:auto val="1"/>
        <c:lblOffset val="100"/>
        <c:baseTimeUnit val="months"/>
      </c:dateAx>
      <c:valAx>
        <c:axId val="89203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77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 Graph'!$AD$25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 Graph'!$AC$26:$AC$37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Graph'!$AD$26:$AD$37</c:f>
              <c:numCache>
                <c:formatCode>0</c:formatCode>
                <c:ptCount val="12"/>
                <c:pt idx="0">
                  <c:v>492.90322580645159</c:v>
                </c:pt>
                <c:pt idx="1">
                  <c:v>592.58620689655174</c:v>
                </c:pt>
                <c:pt idx="2">
                  <c:v>594.71875</c:v>
                </c:pt>
                <c:pt idx="3">
                  <c:v>675.56666666666672</c:v>
                </c:pt>
                <c:pt idx="4">
                  <c:v>642.44827586206895</c:v>
                </c:pt>
                <c:pt idx="5">
                  <c:v>637.18181818181813</c:v>
                </c:pt>
                <c:pt idx="6">
                  <c:v>536.70000000000005</c:v>
                </c:pt>
                <c:pt idx="7">
                  <c:v>464.25806451612902</c:v>
                </c:pt>
                <c:pt idx="8">
                  <c:v>528.4666666666667</c:v>
                </c:pt>
                <c:pt idx="9">
                  <c:v>454.08571428571429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F-47CF-959A-799564B73997}"/>
            </c:ext>
          </c:extLst>
        </c:ser>
        <c:ser>
          <c:idx val="1"/>
          <c:order val="1"/>
          <c:tx>
            <c:strRef>
              <c:f>'Cons Graph'!$AE$25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 Graph'!$AC$26:$AC$37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'Cons Graph'!$AE$26:$AE$37</c:f>
              <c:numCache>
                <c:formatCode>0</c:formatCode>
                <c:ptCount val="12"/>
                <c:pt idx="0">
                  <c:v>439.38709677419354</c:v>
                </c:pt>
                <c:pt idx="1">
                  <c:v>593.4</c:v>
                </c:pt>
                <c:pt idx="2">
                  <c:v>591</c:v>
                </c:pt>
                <c:pt idx="3">
                  <c:v>785.63333333333333</c:v>
                </c:pt>
                <c:pt idx="4">
                  <c:v>688.70588235294122</c:v>
                </c:pt>
                <c:pt idx="5">
                  <c:v>601.79999999999995</c:v>
                </c:pt>
                <c:pt idx="6">
                  <c:v>467.96875</c:v>
                </c:pt>
                <c:pt idx="7">
                  <c:v>447.24137931034483</c:v>
                </c:pt>
                <c:pt idx="8">
                  <c:v>413.96666666666664</c:v>
                </c:pt>
                <c:pt idx="9">
                  <c:v>459.44117647058823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F-47CF-959A-799564B73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4166936"/>
        <c:axId val="2029197671"/>
      </c:barChart>
      <c:dateAx>
        <c:axId val="1394166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197671"/>
        <c:crosses val="autoZero"/>
        <c:auto val="1"/>
        <c:lblOffset val="100"/>
        <c:baseTimeUnit val="months"/>
      </c:dateAx>
      <c:valAx>
        <c:axId val="2029197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16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Graph'!$Y$3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Graph'!$X$4:$X$15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Graph'!$Y$4:$Y$15</c:f>
              <c:numCache>
                <c:formatCode>_-[$R-436]* #,##0.00_-;\-[$R-436]* #,##0.00_-;_-[$R-436]* "-"??_-;_-@_-</c:formatCode>
                <c:ptCount val="12"/>
                <c:pt idx="0">
                  <c:v>1.8766856020942406</c:v>
                </c:pt>
                <c:pt idx="1">
                  <c:v>1.8766856020942406</c:v>
                </c:pt>
                <c:pt idx="2">
                  <c:v>1.8766856020942406</c:v>
                </c:pt>
                <c:pt idx="3">
                  <c:v>1.8766851532047168</c:v>
                </c:pt>
                <c:pt idx="4">
                  <c:v>2.02</c:v>
                </c:pt>
                <c:pt idx="5">
                  <c:v>2.02</c:v>
                </c:pt>
                <c:pt idx="6">
                  <c:v>2.0168697285882864</c:v>
                </c:pt>
                <c:pt idx="7">
                  <c:v>2.0168700319622013</c:v>
                </c:pt>
                <c:pt idx="8">
                  <c:v>2.0168700319622013</c:v>
                </c:pt>
                <c:pt idx="9">
                  <c:v>2.0168700319622013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C3-4330-BF40-F2C67FD97AA9}"/>
            </c:ext>
          </c:extLst>
        </c:ser>
        <c:ser>
          <c:idx val="1"/>
          <c:order val="1"/>
          <c:tx>
            <c:strRef>
              <c:f>'Rates Graph'!$Z$3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Graph'!$X$4:$X$15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'Rates Graph'!$Z$4:$Z$15</c:f>
              <c:numCache>
                <c:formatCode>_-[$R-436]* #,##0.00_-;\-[$R-436]* #,##0.00_-;_-[$R-436]* "-"??_-;_-@_-</c:formatCode>
                <c:ptCount val="12"/>
                <c:pt idx="0">
                  <c:v>1.8766850084428455</c:v>
                </c:pt>
                <c:pt idx="1">
                  <c:v>1.8766850084428455</c:v>
                </c:pt>
                <c:pt idx="2">
                  <c:v>1.8766850084428455</c:v>
                </c:pt>
                <c:pt idx="3">
                  <c:v>1.8766849463278032</c:v>
                </c:pt>
                <c:pt idx="4">
                  <c:v>2.02</c:v>
                </c:pt>
                <c:pt idx="5">
                  <c:v>2.02</c:v>
                </c:pt>
                <c:pt idx="6">
                  <c:v>2.0168212353923205</c:v>
                </c:pt>
                <c:pt idx="7">
                  <c:v>2.0169191210485735</c:v>
                </c:pt>
                <c:pt idx="8">
                  <c:v>2.0169191210485735</c:v>
                </c:pt>
                <c:pt idx="9">
                  <c:v>2.0169191210485735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C3-4330-BF40-F2C67FD9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518839"/>
        <c:axId val="908764487"/>
      </c:barChart>
      <c:dateAx>
        <c:axId val="2765188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764487"/>
        <c:crosses val="autoZero"/>
        <c:auto val="1"/>
        <c:lblOffset val="100"/>
        <c:baseTimeUnit val="months"/>
      </c:dateAx>
      <c:valAx>
        <c:axId val="908764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518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114300</xdr:rowOff>
    </xdr:from>
    <xdr:to>
      <xdr:col>9</xdr:col>
      <xdr:colOff>590550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4B4DE9-88EF-144B-1386-89E492E25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180975</xdr:rowOff>
    </xdr:from>
    <xdr:to>
      <xdr:col>9</xdr:col>
      <xdr:colOff>514350</xdr:colOff>
      <xdr:row>20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229AEE-CD7D-5D1C-FBCE-6E314973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390525</xdr:colOff>
      <xdr:row>22</xdr:row>
      <xdr:rowOff>161925</xdr:rowOff>
    </xdr:from>
    <xdr:to>
      <xdr:col>9</xdr:col>
      <xdr:colOff>85725</xdr:colOff>
      <xdr:row>37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B2503-5E1B-79A4-8EFE-AEE00F2D1F7E}"/>
            </a:ext>
            <a:ext uri="{147F2762-F138-4A5C-976F-8EAC2B608ADB}">
              <a16:predDERef xmlns:a16="http://schemas.microsoft.com/office/drawing/2014/main" pred="{8D229AEE-CD7D-5D1C-FBCE-6E314973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</xdr:row>
      <xdr:rowOff>95250</xdr:rowOff>
    </xdr:from>
    <xdr:to>
      <xdr:col>10</xdr:col>
      <xdr:colOff>581025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E173B4-8744-EF32-A791-1367C8CD4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7527-22BD-45E6-945E-A3939C37A5B9}">
  <sheetPr>
    <pageSetUpPr fitToPage="1"/>
  </sheetPr>
  <dimension ref="A1:N481"/>
  <sheetViews>
    <sheetView tabSelected="1" topLeftCell="A457" workbookViewId="0">
      <selection activeCell="R476" sqref="R476"/>
    </sheetView>
  </sheetViews>
  <sheetFormatPr defaultRowHeight="15"/>
  <cols>
    <col min="1" max="1" width="12.42578125" customWidth="1"/>
    <col min="2" max="2" width="16.28515625" bestFit="1" customWidth="1"/>
    <col min="3" max="3" width="15.140625" bestFit="1" customWidth="1"/>
    <col min="6" max="6" width="12.140625" bestFit="1" customWidth="1"/>
    <col min="7" max="7" width="12.85546875" bestFit="1" customWidth="1"/>
    <col min="8" max="8" width="11.140625" bestFit="1" customWidth="1"/>
    <col min="9" max="9" width="12.42578125" bestFit="1" customWidth="1"/>
    <col min="10" max="10" width="10.85546875" bestFit="1" customWidth="1"/>
    <col min="11" max="11" width="22.85546875" customWidth="1"/>
    <col min="13" max="13" width="11" customWidth="1"/>
  </cols>
  <sheetData>
    <row r="1" spans="1:9" ht="18.75">
      <c r="A1" s="5" t="s">
        <v>0</v>
      </c>
    </row>
    <row r="3" spans="1:9">
      <c r="A3" s="14">
        <v>43101</v>
      </c>
      <c r="B3" s="2"/>
      <c r="C3" s="2"/>
      <c r="D3" s="2"/>
      <c r="E3" s="2"/>
      <c r="F3" s="2"/>
      <c r="G3" s="2"/>
      <c r="H3" s="2"/>
      <c r="I3" s="2"/>
    </row>
    <row r="4" spans="1:9" ht="18" hidden="1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</row>
    <row r="5" spans="1:9" ht="18" hidden="1" customHeight="1">
      <c r="A5" s="3" t="s">
        <v>10</v>
      </c>
      <c r="B5" s="3"/>
      <c r="C5" s="3"/>
      <c r="D5" s="3">
        <v>0</v>
      </c>
      <c r="E5" s="3">
        <v>6078.9999999999973</v>
      </c>
      <c r="F5" s="4">
        <v>12483.890000000001</v>
      </c>
      <c r="G5" s="4"/>
      <c r="H5" s="4"/>
      <c r="I5" s="4"/>
    </row>
    <row r="6" spans="1:9" ht="18" hidden="1" customHeight="1">
      <c r="A6" s="3" t="s">
        <v>11</v>
      </c>
      <c r="B6" s="3">
        <v>971991</v>
      </c>
      <c r="C6" s="3">
        <v>985942</v>
      </c>
      <c r="D6" s="3">
        <v>13951</v>
      </c>
      <c r="E6" s="3"/>
      <c r="F6" s="4">
        <v>17597.929199999999</v>
      </c>
      <c r="G6" s="4"/>
      <c r="H6" s="4">
        <v>130.60979999999998</v>
      </c>
      <c r="I6" s="4">
        <v>527.05619999999999</v>
      </c>
    </row>
    <row r="7" spans="1:9" ht="18" hidden="1" customHeight="1">
      <c r="A7" s="3" t="s">
        <v>12</v>
      </c>
      <c r="B7" s="3"/>
      <c r="C7" s="3"/>
      <c r="D7" s="3"/>
      <c r="E7" s="3"/>
      <c r="F7" s="4">
        <v>18562.89</v>
      </c>
      <c r="G7" s="4"/>
      <c r="H7" s="4"/>
      <c r="I7" s="4"/>
    </row>
    <row r="8" spans="1:9" ht="18" hidden="1" customHeight="1">
      <c r="A8" s="3" t="s">
        <v>13</v>
      </c>
      <c r="B8" s="3"/>
      <c r="C8" s="3"/>
      <c r="D8" s="3"/>
      <c r="E8" s="3"/>
      <c r="F8" s="4">
        <v>18255.595199999996</v>
      </c>
      <c r="G8" s="4"/>
      <c r="H8" s="4"/>
      <c r="I8" s="4"/>
    </row>
    <row r="9" spans="1:9" ht="18" hidden="1" customHeight="1">
      <c r="A9" s="3" t="s">
        <v>14</v>
      </c>
      <c r="B9" s="3"/>
      <c r="C9" s="3"/>
      <c r="D9" s="3"/>
      <c r="E9" s="3"/>
      <c r="F9" s="4">
        <v>307.29480000000331</v>
      </c>
      <c r="G9" s="4"/>
      <c r="H9" s="4"/>
      <c r="I9" s="4"/>
    </row>
    <row r="10" spans="1:9" ht="18" hidden="1" customHeight="1"/>
    <row r="11" spans="1:9" ht="18" hidden="1" customHeight="1">
      <c r="A11" s="1">
        <v>43132</v>
      </c>
      <c r="B11" s="2"/>
      <c r="C11" s="2"/>
      <c r="D11" s="2"/>
      <c r="E11" s="2"/>
      <c r="F11" s="2"/>
      <c r="G11" s="2"/>
      <c r="H11" s="2"/>
      <c r="I11" s="2"/>
    </row>
    <row r="12" spans="1:9" ht="18" hidden="1" customHeight="1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9" ht="18" hidden="1" customHeight="1">
      <c r="A13" s="3" t="s">
        <v>10</v>
      </c>
      <c r="B13" s="3"/>
      <c r="C13" s="3"/>
      <c r="D13" s="3">
        <v>0</v>
      </c>
      <c r="E13" s="3">
        <v>6496.0000000000027</v>
      </c>
      <c r="F13" s="4">
        <v>21456.630000000005</v>
      </c>
      <c r="G13" s="4"/>
      <c r="H13" s="4"/>
      <c r="I13" s="4"/>
    </row>
    <row r="14" spans="1:9" ht="18" hidden="1" customHeight="1">
      <c r="A14" s="3" t="s">
        <v>11</v>
      </c>
      <c r="B14" s="3">
        <v>985942</v>
      </c>
      <c r="C14" s="3">
        <v>1002170</v>
      </c>
      <c r="D14" s="3">
        <v>16228</v>
      </c>
      <c r="E14" s="3"/>
      <c r="F14" s="4">
        <v>20470.159199999998</v>
      </c>
      <c r="G14" s="4"/>
      <c r="H14" s="4">
        <v>130.60979999999998</v>
      </c>
      <c r="I14" s="4">
        <v>527.05619999999999</v>
      </c>
    </row>
    <row r="15" spans="1:9" ht="18" hidden="1" customHeight="1">
      <c r="A15" s="3" t="s">
        <v>12</v>
      </c>
      <c r="B15" s="3"/>
      <c r="C15" s="3"/>
      <c r="D15" s="3"/>
      <c r="E15" s="3"/>
      <c r="F15" s="4">
        <v>27952.630000000008</v>
      </c>
      <c r="G15" s="4"/>
      <c r="H15" s="4"/>
      <c r="I15" s="4"/>
    </row>
    <row r="16" spans="1:9" ht="18" hidden="1" customHeight="1">
      <c r="A16" s="3" t="s">
        <v>13</v>
      </c>
      <c r="B16" s="3"/>
      <c r="C16" s="3"/>
      <c r="D16" s="3"/>
      <c r="E16" s="3"/>
      <c r="F16" s="4">
        <v>21127.825199999996</v>
      </c>
      <c r="G16" s="4"/>
      <c r="H16" s="4"/>
      <c r="I16" s="4"/>
    </row>
    <row r="17" spans="1:9" ht="18" hidden="1" customHeight="1">
      <c r="A17" s="3" t="s">
        <v>14</v>
      </c>
      <c r="B17" s="3"/>
      <c r="C17" s="3"/>
      <c r="D17" s="3"/>
      <c r="E17" s="3"/>
      <c r="F17" s="4">
        <v>6824.8048000000126</v>
      </c>
      <c r="G17" s="4"/>
      <c r="H17" s="4"/>
      <c r="I17" s="4"/>
    </row>
    <row r="18" spans="1:9" ht="18" hidden="1" customHeight="1"/>
    <row r="19" spans="1:9" ht="18" hidden="1" customHeight="1">
      <c r="A19" s="1">
        <v>43160</v>
      </c>
      <c r="B19" s="2"/>
      <c r="C19" s="2"/>
      <c r="D19" s="2"/>
      <c r="E19" s="2"/>
      <c r="F19" s="2"/>
      <c r="G19" s="2"/>
      <c r="H19" s="2"/>
      <c r="I19" s="2"/>
    </row>
    <row r="20" spans="1:9" ht="18" hidden="1" customHeight="1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G20" s="2" t="s">
        <v>7</v>
      </c>
      <c r="H20" s="2" t="s">
        <v>8</v>
      </c>
      <c r="I20" s="2" t="s">
        <v>9</v>
      </c>
    </row>
    <row r="21" spans="1:9" ht="18" hidden="1" customHeight="1">
      <c r="A21" s="3" t="s">
        <v>10</v>
      </c>
      <c r="B21" s="3"/>
      <c r="C21" s="3"/>
      <c r="D21" s="3">
        <v>0</v>
      </c>
      <c r="E21" s="3">
        <v>4075.5000000000055</v>
      </c>
      <c r="F21" s="4">
        <v>16824.299999999996</v>
      </c>
      <c r="G21" s="4"/>
      <c r="H21" s="4"/>
      <c r="I21" s="4"/>
    </row>
    <row r="22" spans="1:9" ht="18" hidden="1" customHeight="1">
      <c r="A22" s="3" t="s">
        <v>11</v>
      </c>
      <c r="B22" s="3">
        <v>1002170</v>
      </c>
      <c r="C22" s="3">
        <v>1017448</v>
      </c>
      <c r="D22" s="3">
        <v>15278</v>
      </c>
      <c r="E22" s="3"/>
      <c r="F22" s="4">
        <v>19271.825399999998</v>
      </c>
      <c r="G22" s="4"/>
      <c r="H22" s="4">
        <v>130.60979999999998</v>
      </c>
      <c r="I22" s="4">
        <v>527.05619999999999</v>
      </c>
    </row>
    <row r="23" spans="1:9" ht="18" hidden="1" customHeight="1">
      <c r="A23" s="3" t="s">
        <v>12</v>
      </c>
      <c r="B23" s="3"/>
      <c r="C23" s="3"/>
      <c r="D23" s="3"/>
      <c r="E23" s="3"/>
      <c r="F23" s="4">
        <v>20899.800000000003</v>
      </c>
      <c r="G23" s="4"/>
      <c r="H23" s="4"/>
      <c r="I23" s="4"/>
    </row>
    <row r="24" spans="1:9" ht="18" hidden="1" customHeight="1">
      <c r="A24" s="3" t="s">
        <v>13</v>
      </c>
      <c r="B24" s="3"/>
      <c r="C24" s="3"/>
      <c r="D24" s="3"/>
      <c r="E24" s="3"/>
      <c r="F24" s="4">
        <v>19929.491399999995</v>
      </c>
      <c r="G24" s="4"/>
      <c r="H24" s="4"/>
      <c r="I24" s="4"/>
    </row>
    <row r="25" spans="1:9" ht="18" hidden="1" customHeight="1">
      <c r="A25" s="3" t="s">
        <v>14</v>
      </c>
      <c r="B25" s="3"/>
      <c r="C25" s="3"/>
      <c r="D25" s="3"/>
      <c r="E25" s="3"/>
      <c r="F25" s="4">
        <v>970.30860000000757</v>
      </c>
      <c r="G25" s="4"/>
      <c r="H25" s="4"/>
      <c r="I25" s="4"/>
    </row>
    <row r="26" spans="1:9" ht="18" hidden="1" customHeight="1"/>
    <row r="27" spans="1:9" ht="18" hidden="1" customHeight="1">
      <c r="A27" s="1">
        <v>43191</v>
      </c>
      <c r="B27" s="2"/>
      <c r="C27" s="2"/>
      <c r="D27" s="2"/>
      <c r="E27" s="2"/>
      <c r="F27" s="2"/>
      <c r="G27" s="2"/>
      <c r="H27" s="2"/>
      <c r="I27" s="2"/>
    </row>
    <row r="28" spans="1:9" ht="18" hidden="1" customHeight="1">
      <c r="A28" s="2" t="s">
        <v>1</v>
      </c>
      <c r="B28" s="2" t="s">
        <v>2</v>
      </c>
      <c r="C28" s="2" t="s">
        <v>3</v>
      </c>
      <c r="D28" s="2" t="s">
        <v>4</v>
      </c>
      <c r="E28" s="2" t="s">
        <v>5</v>
      </c>
      <c r="F28" s="2" t="s">
        <v>6</v>
      </c>
      <c r="G28" s="2" t="s">
        <v>7</v>
      </c>
      <c r="H28" s="2" t="s">
        <v>8</v>
      </c>
      <c r="I28" s="2" t="s">
        <v>9</v>
      </c>
    </row>
    <row r="29" spans="1:9" ht="18" hidden="1" customHeight="1">
      <c r="A29" s="3" t="s">
        <v>10</v>
      </c>
      <c r="B29" s="3"/>
      <c r="C29" s="3"/>
      <c r="D29" s="3">
        <v>0</v>
      </c>
      <c r="E29" s="3">
        <v>2432.5000000000023</v>
      </c>
      <c r="F29" s="4">
        <v>19354.129999999997</v>
      </c>
      <c r="G29" s="4"/>
      <c r="H29" s="4"/>
      <c r="I29" s="4"/>
    </row>
    <row r="30" spans="1:9" ht="18" hidden="1" customHeight="1">
      <c r="A30" s="3" t="s">
        <v>11</v>
      </c>
      <c r="B30" s="3">
        <v>1017448</v>
      </c>
      <c r="C30" s="3">
        <v>1034268</v>
      </c>
      <c r="D30" s="3">
        <v>16820</v>
      </c>
      <c r="E30" s="3"/>
      <c r="F30" s="4">
        <v>21403.029500000001</v>
      </c>
      <c r="G30" s="4"/>
      <c r="H30" s="4">
        <v>131.75549999999998</v>
      </c>
      <c r="I30" s="4">
        <v>531.67949999999996</v>
      </c>
    </row>
    <row r="31" spans="1:9" ht="18" hidden="1" customHeight="1">
      <c r="A31" s="3" t="s">
        <v>12</v>
      </c>
      <c r="B31" s="3"/>
      <c r="C31" s="3"/>
      <c r="D31" s="3"/>
      <c r="E31" s="3"/>
      <c r="F31" s="4">
        <v>21786.63</v>
      </c>
      <c r="G31" s="4"/>
      <c r="H31" s="4"/>
      <c r="I31" s="4"/>
    </row>
    <row r="32" spans="1:9" ht="18" hidden="1" customHeight="1">
      <c r="A32" s="3" t="s">
        <v>13</v>
      </c>
      <c r="B32" s="3"/>
      <c r="C32" s="3"/>
      <c r="D32" s="3"/>
      <c r="E32" s="3"/>
      <c r="F32" s="4">
        <v>22066.464499999998</v>
      </c>
      <c r="G32" s="4"/>
      <c r="H32" s="4"/>
      <c r="I32" s="4"/>
    </row>
    <row r="33" spans="1:9" ht="18" hidden="1" customHeight="1">
      <c r="A33" s="3" t="s">
        <v>14</v>
      </c>
      <c r="B33" s="3"/>
      <c r="C33" s="3"/>
      <c r="D33" s="3"/>
      <c r="E33" s="3"/>
      <c r="F33" s="4">
        <v>-279.83449999999721</v>
      </c>
      <c r="G33" s="4"/>
      <c r="H33" s="4"/>
      <c r="I33" s="4"/>
    </row>
    <row r="34" spans="1:9" ht="18" hidden="1" customHeight="1"/>
    <row r="35" spans="1:9" ht="18" hidden="1" customHeight="1">
      <c r="A35" s="1">
        <v>43221</v>
      </c>
      <c r="B35" s="2"/>
      <c r="C35" s="2"/>
      <c r="D35" s="2"/>
      <c r="E35" s="2"/>
      <c r="F35" s="2"/>
      <c r="G35" s="2"/>
      <c r="H35" s="2"/>
      <c r="I35" s="2"/>
    </row>
    <row r="36" spans="1:9" ht="18" hidden="1" customHeight="1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</row>
    <row r="37" spans="1:9" ht="18" hidden="1" customHeight="1">
      <c r="A37" s="3" t="s">
        <v>10</v>
      </c>
      <c r="B37" s="3"/>
      <c r="C37" s="3"/>
      <c r="D37" s="3">
        <v>0</v>
      </c>
      <c r="E37" s="3">
        <v>2432.5000000000023</v>
      </c>
      <c r="F37" s="4">
        <v>19822.470000000005</v>
      </c>
      <c r="G37" s="4"/>
      <c r="H37" s="4"/>
      <c r="I37" s="4"/>
    </row>
    <row r="38" spans="1:9" ht="18" hidden="1" customHeight="1">
      <c r="A38" s="3" t="s">
        <v>11</v>
      </c>
      <c r="B38" s="3">
        <v>1034268</v>
      </c>
      <c r="C38" s="3">
        <v>1052137</v>
      </c>
      <c r="D38" s="3">
        <v>17869</v>
      </c>
      <c r="E38" s="3"/>
      <c r="F38" s="4">
        <v>22737.857499999998</v>
      </c>
      <c r="G38" s="4"/>
      <c r="H38" s="4">
        <v>131.75549999999998</v>
      </c>
      <c r="I38" s="4">
        <v>531.67949999999996</v>
      </c>
    </row>
    <row r="39" spans="1:9" ht="18" hidden="1" customHeight="1">
      <c r="A39" s="3" t="s">
        <v>12</v>
      </c>
      <c r="B39" s="3"/>
      <c r="C39" s="3"/>
      <c r="D39" s="3"/>
      <c r="E39" s="3"/>
      <c r="F39" s="4">
        <v>22254.970000000008</v>
      </c>
      <c r="G39" s="4"/>
      <c r="H39" s="4"/>
      <c r="I39" s="4"/>
    </row>
    <row r="40" spans="1:9" ht="18" hidden="1" customHeight="1">
      <c r="A40" s="3" t="s">
        <v>13</v>
      </c>
      <c r="B40" s="3"/>
      <c r="C40" s="3"/>
      <c r="D40" s="3"/>
      <c r="E40" s="3"/>
      <c r="F40" s="4">
        <v>23401.292499999996</v>
      </c>
      <c r="G40" s="4"/>
      <c r="H40" s="4"/>
      <c r="I40" s="4"/>
    </row>
    <row r="41" spans="1:9" ht="18" hidden="1" customHeight="1">
      <c r="A41" s="3" t="s">
        <v>14</v>
      </c>
      <c r="B41" s="3"/>
      <c r="C41" s="3"/>
      <c r="D41" s="3"/>
      <c r="E41" s="3"/>
      <c r="F41" s="4">
        <v>-1146.3224999999875</v>
      </c>
      <c r="G41" s="4"/>
      <c r="H41" s="4"/>
      <c r="I41" s="4"/>
    </row>
    <row r="42" spans="1:9" ht="18" hidden="1" customHeight="1"/>
    <row r="43" spans="1:9" ht="18" hidden="1" customHeight="1">
      <c r="A43" s="1">
        <v>43252</v>
      </c>
      <c r="B43" s="2"/>
      <c r="C43" s="2"/>
      <c r="D43" s="2"/>
      <c r="E43" s="2"/>
      <c r="F43" s="2"/>
      <c r="G43" s="2"/>
      <c r="H43" s="2"/>
      <c r="I43" s="2"/>
    </row>
    <row r="44" spans="1:9" ht="18" hidden="1" customHeight="1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</row>
    <row r="45" spans="1:9" ht="18" hidden="1" customHeight="1">
      <c r="A45" s="3" t="s">
        <v>10</v>
      </c>
      <c r="B45" s="3"/>
      <c r="C45" s="3"/>
      <c r="D45" s="3">
        <v>0</v>
      </c>
      <c r="E45" s="3">
        <v>0</v>
      </c>
      <c r="F45" s="4">
        <v>23197.119999999995</v>
      </c>
      <c r="G45" s="4"/>
      <c r="H45" s="4"/>
      <c r="I45" s="4"/>
    </row>
    <row r="46" spans="1:9" ht="18" hidden="1" customHeight="1">
      <c r="A46" s="3" t="s">
        <v>11</v>
      </c>
      <c r="B46" s="3">
        <v>1052137</v>
      </c>
      <c r="C46" s="3">
        <v>1071224</v>
      </c>
      <c r="D46" s="3">
        <v>19087</v>
      </c>
      <c r="E46" s="3"/>
      <c r="F46" s="4">
        <v>24287.735499999999</v>
      </c>
      <c r="G46" s="4"/>
      <c r="H46" s="4">
        <v>131.75549999999998</v>
      </c>
      <c r="I46" s="4">
        <v>531.67949999999996</v>
      </c>
    </row>
    <row r="47" spans="1:9" ht="18" hidden="1" customHeight="1">
      <c r="A47" s="3" t="s">
        <v>12</v>
      </c>
      <c r="B47" s="3"/>
      <c r="C47" s="3"/>
      <c r="D47" s="3"/>
      <c r="E47" s="3"/>
      <c r="F47" s="4">
        <v>23197.119999999995</v>
      </c>
      <c r="G47" s="4"/>
      <c r="H47" s="4"/>
      <c r="I47" s="4"/>
    </row>
    <row r="48" spans="1:9" ht="18" hidden="1" customHeight="1">
      <c r="A48" s="3" t="s">
        <v>13</v>
      </c>
      <c r="B48" s="3"/>
      <c r="C48" s="3"/>
      <c r="D48" s="3"/>
      <c r="E48" s="3"/>
      <c r="F48" s="4">
        <v>24951.170499999997</v>
      </c>
      <c r="G48" s="4"/>
      <c r="H48" s="4"/>
      <c r="I48" s="4"/>
    </row>
    <row r="49" spans="1:9" ht="18" hidden="1" customHeight="1">
      <c r="A49" s="3" t="s">
        <v>14</v>
      </c>
      <c r="B49" s="3"/>
      <c r="C49" s="3"/>
      <c r="D49" s="3"/>
      <c r="E49" s="3"/>
      <c r="F49" s="4">
        <v>-1754.0505000000012</v>
      </c>
      <c r="G49" s="4"/>
      <c r="H49" s="4"/>
      <c r="I49" s="4"/>
    </row>
    <row r="50" spans="1:9" ht="18" hidden="1" customHeight="1"/>
    <row r="51" spans="1:9" ht="18" hidden="1" customHeight="1">
      <c r="A51" s="1">
        <v>43282</v>
      </c>
      <c r="B51" s="2"/>
      <c r="C51" s="2"/>
      <c r="D51" s="2"/>
      <c r="E51" s="2"/>
      <c r="F51" s="2"/>
      <c r="G51" s="2"/>
      <c r="H51" s="2"/>
      <c r="I51" s="2"/>
    </row>
    <row r="52" spans="1:9" ht="18" hidden="1" customHeight="1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2" t="s">
        <v>7</v>
      </c>
      <c r="H52" s="2" t="s">
        <v>8</v>
      </c>
      <c r="I52" s="2" t="s">
        <v>9</v>
      </c>
    </row>
    <row r="53" spans="1:9" ht="18" hidden="1" customHeight="1">
      <c r="A53" s="3" t="s">
        <v>10</v>
      </c>
      <c r="B53" s="3"/>
      <c r="C53" s="3"/>
      <c r="D53" s="3">
        <v>0</v>
      </c>
      <c r="E53" s="3">
        <v>11339.500000000011</v>
      </c>
      <c r="F53" s="4">
        <v>22732.629999999997</v>
      </c>
      <c r="G53" s="4"/>
      <c r="H53" s="4"/>
      <c r="I53" s="4"/>
    </row>
    <row r="54" spans="1:9" ht="18" hidden="1" customHeight="1">
      <c r="A54" s="3" t="s">
        <v>11</v>
      </c>
      <c r="B54" s="3">
        <v>1071224</v>
      </c>
      <c r="C54" s="3">
        <v>1093370</v>
      </c>
      <c r="D54" s="3">
        <v>22146</v>
      </c>
      <c r="E54" s="3"/>
      <c r="F54" s="4">
        <v>30199.839499999998</v>
      </c>
      <c r="G54" s="4"/>
      <c r="H54" s="4">
        <v>141.4615</v>
      </c>
      <c r="I54" s="4">
        <v>570.84849999999994</v>
      </c>
    </row>
    <row r="55" spans="1:9" ht="18" hidden="1" customHeight="1">
      <c r="A55" s="3" t="s">
        <v>12</v>
      </c>
      <c r="B55" s="3"/>
      <c r="C55" s="3"/>
      <c r="D55" s="3"/>
      <c r="E55" s="3"/>
      <c r="F55" s="4">
        <v>34072.130000000005</v>
      </c>
      <c r="G55" s="4"/>
      <c r="H55" s="4"/>
      <c r="I55" s="4"/>
    </row>
    <row r="56" spans="1:9" ht="18" hidden="1" customHeight="1">
      <c r="A56" s="3" t="s">
        <v>13</v>
      </c>
      <c r="B56" s="3"/>
      <c r="C56" s="3"/>
      <c r="D56" s="3"/>
      <c r="E56" s="3"/>
      <c r="F56" s="4">
        <v>30912.1495</v>
      </c>
      <c r="G56" s="4"/>
      <c r="H56" s="4"/>
      <c r="I56" s="4"/>
    </row>
    <row r="57" spans="1:9" ht="18" hidden="1" customHeight="1">
      <c r="A57" s="3" t="s">
        <v>14</v>
      </c>
      <c r="B57" s="3"/>
      <c r="C57" s="3"/>
      <c r="D57" s="3"/>
      <c r="E57" s="3"/>
      <c r="F57" s="4">
        <v>3159.9805000000051</v>
      </c>
      <c r="G57" s="4"/>
      <c r="H57" s="4"/>
      <c r="I57" s="4"/>
    </row>
    <row r="58" spans="1:9" ht="18" hidden="1" customHeight="1"/>
    <row r="59" spans="1:9" ht="18" hidden="1" customHeight="1">
      <c r="A59" s="1">
        <v>43313</v>
      </c>
      <c r="B59" s="2"/>
      <c r="C59" s="2"/>
      <c r="D59" s="2"/>
      <c r="E59" s="2"/>
      <c r="F59" s="2"/>
      <c r="G59" s="2"/>
      <c r="H59" s="2"/>
      <c r="I59" s="2"/>
    </row>
    <row r="60" spans="1:9" ht="18" hidden="1" customHeight="1">
      <c r="A60" s="2" t="s">
        <v>1</v>
      </c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</row>
    <row r="61" spans="1:9" ht="18" hidden="1" customHeight="1">
      <c r="A61" s="3" t="s">
        <v>10</v>
      </c>
      <c r="B61" s="3"/>
      <c r="C61" s="3"/>
      <c r="D61" s="3">
        <v>0</v>
      </c>
      <c r="E61" s="3">
        <v>0</v>
      </c>
      <c r="F61" s="4">
        <v>20920.319999999996</v>
      </c>
      <c r="G61" s="4"/>
      <c r="H61" s="4"/>
      <c r="I61" s="4"/>
    </row>
    <row r="62" spans="1:9" ht="18" hidden="1" customHeight="1">
      <c r="A62" s="3" t="s">
        <v>11</v>
      </c>
      <c r="B62" s="3">
        <v>1093370</v>
      </c>
      <c r="C62" s="3">
        <v>1112185</v>
      </c>
      <c r="D62" s="3">
        <v>18815</v>
      </c>
      <c r="E62" s="3"/>
      <c r="F62" s="4">
        <v>25657.4545</v>
      </c>
      <c r="G62" s="4"/>
      <c r="H62" s="4">
        <v>141.4615</v>
      </c>
      <c r="I62" s="4">
        <v>570.84849999999994</v>
      </c>
    </row>
    <row r="63" spans="1:9" ht="18" hidden="1" customHeight="1">
      <c r="A63" s="3" t="s">
        <v>12</v>
      </c>
      <c r="B63" s="3"/>
      <c r="C63" s="3"/>
      <c r="D63" s="3"/>
      <c r="E63" s="3"/>
      <c r="F63" s="4">
        <v>20920.319999999996</v>
      </c>
      <c r="G63" s="4"/>
      <c r="H63" s="4"/>
      <c r="I63" s="4"/>
    </row>
    <row r="64" spans="1:9" ht="18" hidden="1" customHeight="1">
      <c r="A64" s="3" t="s">
        <v>13</v>
      </c>
      <c r="B64" s="3"/>
      <c r="C64" s="3"/>
      <c r="D64" s="3"/>
      <c r="E64" s="3"/>
      <c r="F64" s="4">
        <v>26369.764500000001</v>
      </c>
      <c r="G64" s="4"/>
      <c r="H64" s="4"/>
      <c r="I64" s="4"/>
    </row>
    <row r="65" spans="1:9" ht="18" hidden="1" customHeight="1">
      <c r="A65" s="3" t="s">
        <v>14</v>
      </c>
      <c r="B65" s="3"/>
      <c r="C65" s="3"/>
      <c r="D65" s="3"/>
      <c r="E65" s="3"/>
      <c r="F65" s="4">
        <v>-5449.4445000000051</v>
      </c>
      <c r="G65" s="4"/>
      <c r="H65" s="4"/>
      <c r="I65" s="4"/>
    </row>
    <row r="66" spans="1:9" ht="18" hidden="1" customHeight="1"/>
    <row r="67" spans="1:9" ht="18" hidden="1" customHeight="1">
      <c r="A67" s="1">
        <v>43344</v>
      </c>
      <c r="B67" s="2"/>
      <c r="C67" s="2"/>
      <c r="D67" s="2"/>
      <c r="E67" s="2"/>
      <c r="F67" s="2"/>
      <c r="G67" s="2"/>
      <c r="H67" s="2"/>
      <c r="I67" s="2"/>
    </row>
    <row r="68" spans="1:9" ht="18" hidden="1" customHeight="1">
      <c r="A68" s="2" t="s">
        <v>1</v>
      </c>
      <c r="B68" s="2" t="s">
        <v>2</v>
      </c>
      <c r="C68" s="2" t="s">
        <v>3</v>
      </c>
      <c r="D68" s="2" t="s">
        <v>4</v>
      </c>
      <c r="E68" s="2" t="s">
        <v>5</v>
      </c>
      <c r="F68" s="2" t="s">
        <v>6</v>
      </c>
      <c r="G68" s="2" t="s">
        <v>7</v>
      </c>
      <c r="H68" s="2" t="s">
        <v>8</v>
      </c>
      <c r="I68" s="2" t="s">
        <v>9</v>
      </c>
    </row>
    <row r="69" spans="1:9" ht="18" hidden="1" customHeight="1">
      <c r="A69" s="3" t="s">
        <v>10</v>
      </c>
      <c r="B69" s="3">
        <v>1112184</v>
      </c>
      <c r="C69" s="3">
        <v>1133030</v>
      </c>
      <c r="D69" s="3">
        <v>20846</v>
      </c>
      <c r="E69" s="3">
        <v>2432.5000000000023</v>
      </c>
      <c r="F69" s="4">
        <v>20927.139999999996</v>
      </c>
      <c r="G69" s="4"/>
      <c r="H69" s="4"/>
      <c r="I69" s="4"/>
    </row>
    <row r="70" spans="1:9" ht="18" hidden="1" customHeight="1">
      <c r="A70" s="3" t="s">
        <v>11</v>
      </c>
      <c r="B70" s="3">
        <v>1112185</v>
      </c>
      <c r="C70" s="3">
        <v>1129486</v>
      </c>
      <c r="D70" s="3">
        <v>17301</v>
      </c>
      <c r="E70" s="3"/>
      <c r="F70" s="4">
        <v>23592.859499999995</v>
      </c>
      <c r="G70" s="4"/>
      <c r="H70" s="4">
        <v>141.4615</v>
      </c>
      <c r="I70" s="4">
        <v>570.84849999999994</v>
      </c>
    </row>
    <row r="71" spans="1:9" ht="18" hidden="1" customHeight="1">
      <c r="A71" s="3" t="s">
        <v>12</v>
      </c>
      <c r="B71" s="3"/>
      <c r="C71" s="3"/>
      <c r="D71" s="3"/>
      <c r="E71" s="3"/>
      <c r="F71" s="4">
        <v>23359.64</v>
      </c>
      <c r="G71" s="4"/>
      <c r="H71" s="4"/>
      <c r="I71" s="4"/>
    </row>
    <row r="72" spans="1:9" ht="18" hidden="1" customHeight="1">
      <c r="A72" s="3" t="s">
        <v>13</v>
      </c>
      <c r="B72" s="3"/>
      <c r="C72" s="3"/>
      <c r="D72" s="3"/>
      <c r="E72" s="3"/>
      <c r="F72" s="4">
        <v>24305.169499999996</v>
      </c>
      <c r="G72" s="4"/>
      <c r="H72" s="4"/>
      <c r="I72" s="4"/>
    </row>
    <row r="73" spans="1:9" ht="18" hidden="1" customHeight="1">
      <c r="A73" s="3" t="s">
        <v>14</v>
      </c>
      <c r="B73" s="3"/>
      <c r="C73" s="3"/>
      <c r="D73" s="3"/>
      <c r="E73" s="3"/>
      <c r="F73" s="4">
        <v>-945.52949999999691</v>
      </c>
      <c r="G73" s="4"/>
      <c r="H73" s="4"/>
      <c r="I73" s="4"/>
    </row>
    <row r="74" spans="1:9" ht="18" hidden="1" customHeight="1"/>
    <row r="75" spans="1:9" ht="18" hidden="1" customHeight="1">
      <c r="A75" s="1">
        <v>43374</v>
      </c>
      <c r="B75" s="2"/>
      <c r="C75" s="2"/>
      <c r="D75" s="2"/>
      <c r="E75" s="2"/>
      <c r="F75" s="2"/>
      <c r="G75" s="2"/>
      <c r="H75" s="2"/>
      <c r="I75" s="2"/>
    </row>
    <row r="76" spans="1:9" ht="18" hidden="1" customHeight="1">
      <c r="A76" s="2" t="s">
        <v>1</v>
      </c>
      <c r="B76" s="2" t="s">
        <v>2</v>
      </c>
      <c r="C76" s="2" t="s">
        <v>3</v>
      </c>
      <c r="D76" s="2" t="s">
        <v>4</v>
      </c>
      <c r="E76" s="2" t="s">
        <v>5</v>
      </c>
      <c r="F76" s="2" t="s">
        <v>6</v>
      </c>
      <c r="G76" s="2" t="s">
        <v>7</v>
      </c>
      <c r="H76" s="2" t="s">
        <v>8</v>
      </c>
      <c r="I76" s="2" t="s">
        <v>9</v>
      </c>
    </row>
    <row r="77" spans="1:9" ht="18" hidden="1" customHeight="1">
      <c r="A77" s="3" t="s">
        <v>10</v>
      </c>
      <c r="B77" s="3">
        <v>1133030</v>
      </c>
      <c r="C77" s="3">
        <v>1147417</v>
      </c>
      <c r="D77" s="3">
        <v>14387</v>
      </c>
      <c r="E77" s="3">
        <v>2368.4999999999968</v>
      </c>
      <c r="F77" s="4">
        <v>20188.559999999994</v>
      </c>
      <c r="G77" s="4"/>
      <c r="H77" s="4"/>
      <c r="I77" s="4"/>
    </row>
    <row r="78" spans="1:9" ht="18" hidden="1" customHeight="1">
      <c r="A78" s="3" t="s">
        <v>11</v>
      </c>
      <c r="B78" s="3">
        <v>1129486</v>
      </c>
      <c r="C78" s="3">
        <v>1143997</v>
      </c>
      <c r="D78" s="3">
        <v>14511</v>
      </c>
      <c r="E78" s="3"/>
      <c r="F78" s="4">
        <v>19788.210999999999</v>
      </c>
      <c r="G78" s="4"/>
      <c r="H78" s="4">
        <v>141.4615</v>
      </c>
      <c r="I78" s="4">
        <v>570.84849999999994</v>
      </c>
    </row>
    <row r="79" spans="1:9" ht="18" hidden="1" customHeight="1">
      <c r="A79" s="3" t="s">
        <v>12</v>
      </c>
      <c r="B79" s="3"/>
      <c r="C79" s="3"/>
      <c r="D79" s="3"/>
      <c r="E79" s="3"/>
      <c r="F79" s="4">
        <v>22557.05999999999</v>
      </c>
      <c r="G79" s="4"/>
      <c r="H79" s="4"/>
      <c r="I79" s="4"/>
    </row>
    <row r="80" spans="1:9" ht="18" hidden="1" customHeight="1">
      <c r="A80" s="3" t="s">
        <v>13</v>
      </c>
      <c r="B80" s="3"/>
      <c r="C80" s="3"/>
      <c r="D80" s="3"/>
      <c r="E80" s="3"/>
      <c r="F80" s="4">
        <v>20500.521000000001</v>
      </c>
      <c r="G80" s="4"/>
      <c r="H80" s="4"/>
      <c r="I80" s="4"/>
    </row>
    <row r="81" spans="1:9" ht="18" hidden="1" customHeight="1">
      <c r="A81" s="3" t="s">
        <v>14</v>
      </c>
      <c r="B81" s="3"/>
      <c r="C81" s="3"/>
      <c r="D81" s="3"/>
      <c r="E81" s="3"/>
      <c r="F81" s="4">
        <v>2056.5389999999898</v>
      </c>
      <c r="G81" s="4"/>
      <c r="H81" s="4"/>
      <c r="I81" s="4"/>
    </row>
    <row r="82" spans="1:9" ht="18" hidden="1" customHeight="1"/>
    <row r="83" spans="1:9" ht="18" hidden="1" customHeight="1">
      <c r="A83" s="1">
        <v>43405</v>
      </c>
      <c r="B83" s="2"/>
      <c r="C83" s="2"/>
      <c r="D83" s="2"/>
      <c r="E83" s="2"/>
      <c r="F83" s="2"/>
      <c r="G83" s="2"/>
      <c r="H83" s="2"/>
      <c r="I83" s="2"/>
    </row>
    <row r="84" spans="1:9" ht="18" hidden="1" customHeight="1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  <c r="F84" s="2" t="s">
        <v>6</v>
      </c>
      <c r="G84" s="2" t="s">
        <v>7</v>
      </c>
      <c r="H84" s="2" t="s">
        <v>8</v>
      </c>
      <c r="I84" s="2" t="s">
        <v>9</v>
      </c>
    </row>
    <row r="85" spans="1:9" ht="18" hidden="1" customHeight="1">
      <c r="A85" s="3" t="s">
        <v>10</v>
      </c>
      <c r="B85" s="3">
        <v>1147417</v>
      </c>
      <c r="C85" s="3">
        <v>1160704</v>
      </c>
      <c r="D85" s="3">
        <v>13287</v>
      </c>
      <c r="E85" s="3">
        <v>2713.0000000000027</v>
      </c>
      <c r="F85" s="4">
        <v>16021.830000000004</v>
      </c>
      <c r="G85" s="4"/>
      <c r="H85" s="4"/>
      <c r="I85" s="4"/>
    </row>
    <row r="86" spans="1:9" ht="18" hidden="1" customHeight="1">
      <c r="A86" s="3" t="s">
        <v>11</v>
      </c>
      <c r="B86" s="3">
        <v>1143997</v>
      </c>
      <c r="C86" s="3">
        <v>1158678</v>
      </c>
      <c r="D86" s="3">
        <v>14681</v>
      </c>
      <c r="E86" s="3"/>
      <c r="F86" s="4">
        <v>20020.039499999999</v>
      </c>
      <c r="G86" s="4"/>
      <c r="H86" s="4">
        <v>141.4615</v>
      </c>
      <c r="I86" s="4">
        <v>570.84849999999994</v>
      </c>
    </row>
    <row r="87" spans="1:9" ht="18" hidden="1" customHeight="1">
      <c r="A87" s="3" t="s">
        <v>12</v>
      </c>
      <c r="B87" s="3"/>
      <c r="C87" s="3"/>
      <c r="D87" s="3"/>
      <c r="E87" s="3"/>
      <c r="F87" s="4">
        <v>18734.830000000005</v>
      </c>
      <c r="G87" s="4"/>
      <c r="H87" s="4"/>
      <c r="I87" s="4"/>
    </row>
    <row r="88" spans="1:9" ht="18" hidden="1" customHeight="1">
      <c r="A88" s="3" t="s">
        <v>13</v>
      </c>
      <c r="B88" s="3"/>
      <c r="C88" s="3"/>
      <c r="D88" s="3"/>
      <c r="E88" s="3"/>
      <c r="F88" s="4">
        <v>20732.3495</v>
      </c>
      <c r="G88" s="4"/>
      <c r="H88" s="4"/>
      <c r="I88" s="4"/>
    </row>
    <row r="89" spans="1:9" ht="18" hidden="1" customHeight="1">
      <c r="A89" s="3" t="s">
        <v>14</v>
      </c>
      <c r="B89" s="3"/>
      <c r="C89" s="3"/>
      <c r="D89" s="3"/>
      <c r="E89" s="3"/>
      <c r="F89" s="4">
        <v>-1997.5194999999949</v>
      </c>
      <c r="G89" s="4"/>
      <c r="H89" s="4"/>
      <c r="I89" s="4"/>
    </row>
    <row r="90" spans="1:9" ht="18" hidden="1" customHeight="1"/>
    <row r="91" spans="1:9" ht="18" hidden="1" customHeight="1">
      <c r="A91" s="1">
        <v>43435</v>
      </c>
      <c r="B91" s="2"/>
      <c r="C91" s="2"/>
      <c r="D91" s="2"/>
      <c r="E91" s="2"/>
      <c r="F91" s="2"/>
      <c r="G91" s="2"/>
      <c r="H91" s="2"/>
      <c r="I91" s="2"/>
    </row>
    <row r="92" spans="1:9" ht="18" hidden="1" customHeight="1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  <c r="F92" s="2" t="s">
        <v>6</v>
      </c>
      <c r="G92" s="2" t="s">
        <v>7</v>
      </c>
      <c r="H92" s="2" t="s">
        <v>8</v>
      </c>
      <c r="I92" s="2" t="s">
        <v>9</v>
      </c>
    </row>
    <row r="93" spans="1:9" ht="18" hidden="1" customHeight="1">
      <c r="A93" s="3" t="s">
        <v>10</v>
      </c>
      <c r="B93" s="3">
        <v>1160704</v>
      </c>
      <c r="C93" s="3">
        <v>1177175</v>
      </c>
      <c r="D93" s="3">
        <v>16471</v>
      </c>
      <c r="E93" s="3">
        <v>3825.500000000005</v>
      </c>
      <c r="F93" s="4">
        <v>19563.340000000007</v>
      </c>
      <c r="G93" s="4"/>
      <c r="H93" s="4"/>
      <c r="I93" s="4"/>
    </row>
    <row r="94" spans="1:9" ht="18" hidden="1" customHeight="1">
      <c r="A94" s="3" t="s">
        <v>11</v>
      </c>
      <c r="B94" s="3">
        <v>1158678</v>
      </c>
      <c r="C94" s="3">
        <v>1171824</v>
      </c>
      <c r="D94" s="3">
        <v>13146</v>
      </c>
      <c r="E94" s="3"/>
      <c r="F94" s="4">
        <v>17926.809499999999</v>
      </c>
      <c r="G94" s="4"/>
      <c r="H94" s="4">
        <v>141.4615</v>
      </c>
      <c r="I94" s="4">
        <v>570.84849999999994</v>
      </c>
    </row>
    <row r="95" spans="1:9" ht="18" hidden="1" customHeight="1">
      <c r="A95" s="3" t="s">
        <v>12</v>
      </c>
      <c r="B95" s="3"/>
      <c r="C95" s="3"/>
      <c r="D95" s="3"/>
      <c r="E95" s="3"/>
      <c r="F95" s="4">
        <v>23388.840000000011</v>
      </c>
      <c r="G95" s="4"/>
      <c r="H95" s="4"/>
      <c r="I95" s="4"/>
    </row>
    <row r="96" spans="1:9" ht="18" hidden="1" customHeight="1">
      <c r="A96" s="3" t="s">
        <v>13</v>
      </c>
      <c r="B96" s="3"/>
      <c r="C96" s="3"/>
      <c r="D96" s="3"/>
      <c r="E96" s="3"/>
      <c r="F96" s="4">
        <v>18639.119500000001</v>
      </c>
      <c r="G96" s="4"/>
      <c r="H96" s="4"/>
      <c r="I96" s="4"/>
    </row>
    <row r="97" spans="1:14" ht="18" hidden="1" customHeight="1">
      <c r="A97" s="3" t="s">
        <v>14</v>
      </c>
      <c r="B97" s="3"/>
      <c r="C97" s="3"/>
      <c r="D97" s="3"/>
      <c r="E97" s="3"/>
      <c r="F97" s="4">
        <v>4749.7205000000104</v>
      </c>
      <c r="G97" s="4"/>
      <c r="H97" s="4"/>
      <c r="I97" s="4"/>
    </row>
    <row r="98" spans="1:14" ht="18" customHeight="1"/>
    <row r="99" spans="1:14">
      <c r="A99" s="14">
        <v>43466</v>
      </c>
      <c r="B99" s="2"/>
      <c r="C99" s="2"/>
      <c r="D99" s="2"/>
      <c r="E99" s="2"/>
      <c r="F99" s="2"/>
      <c r="G99" s="2"/>
      <c r="H99" s="2"/>
      <c r="I99" s="2"/>
      <c r="J99" s="3"/>
      <c r="K99" s="3"/>
      <c r="L99" s="3"/>
      <c r="M99" s="3"/>
      <c r="N99" s="3"/>
    </row>
    <row r="100" spans="1:14" hidden="1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5</v>
      </c>
      <c r="F100" s="2" t="s">
        <v>6</v>
      </c>
      <c r="G100" s="2" t="s">
        <v>7</v>
      </c>
      <c r="H100" s="2" t="s">
        <v>8</v>
      </c>
      <c r="I100" s="2" t="s">
        <v>9</v>
      </c>
      <c r="J100" s="2" t="s">
        <v>15</v>
      </c>
      <c r="K100" s="2" t="s">
        <v>16</v>
      </c>
      <c r="L100" s="2" t="s">
        <v>17</v>
      </c>
      <c r="M100" s="2" t="s">
        <v>18</v>
      </c>
      <c r="N100" s="2" t="s">
        <v>19</v>
      </c>
    </row>
    <row r="101" spans="1:14" hidden="1">
      <c r="A101" s="3" t="s">
        <v>10</v>
      </c>
      <c r="B101" s="3">
        <v>1177175</v>
      </c>
      <c r="C101" s="3">
        <v>1187885</v>
      </c>
      <c r="D101" s="3">
        <v>10710</v>
      </c>
      <c r="E101" s="3">
        <v>2316</v>
      </c>
      <c r="F101" s="4">
        <v>12892.18</v>
      </c>
      <c r="G101" s="4"/>
      <c r="H101" s="4"/>
      <c r="I101" s="4"/>
      <c r="J101" s="3" t="s">
        <v>20</v>
      </c>
      <c r="K101" s="3" t="s">
        <v>21</v>
      </c>
      <c r="L101" s="3">
        <v>24</v>
      </c>
      <c r="M101" s="3">
        <f>D101/24</f>
        <v>446.25</v>
      </c>
      <c r="N101" s="7">
        <v>1.42</v>
      </c>
    </row>
    <row r="102" spans="1:14" hidden="1">
      <c r="A102" s="3" t="s">
        <v>11</v>
      </c>
      <c r="B102" s="3">
        <v>1171824</v>
      </c>
      <c r="C102" s="3">
        <v>1184897</v>
      </c>
      <c r="D102" s="3">
        <v>13073</v>
      </c>
      <c r="E102" s="3"/>
      <c r="F102" s="4">
        <v>17827.253999999997</v>
      </c>
      <c r="G102" s="4"/>
      <c r="H102" s="4">
        <v>141.4615</v>
      </c>
      <c r="I102" s="4">
        <v>570.84849999999994</v>
      </c>
      <c r="J102" s="3" t="s">
        <v>20</v>
      </c>
      <c r="K102" s="3" t="s">
        <v>22</v>
      </c>
      <c r="L102" s="3">
        <v>31</v>
      </c>
      <c r="M102" s="3">
        <v>421</v>
      </c>
      <c r="N102" s="7">
        <v>1.42</v>
      </c>
    </row>
    <row r="103" spans="1:14" hidden="1">
      <c r="A103" s="3" t="s">
        <v>12</v>
      </c>
      <c r="B103" s="3"/>
      <c r="C103" s="3"/>
      <c r="D103" s="3"/>
      <c r="E103" s="3"/>
      <c r="F103" s="4">
        <v>15208.18</v>
      </c>
      <c r="G103" s="4"/>
      <c r="H103" s="4"/>
      <c r="I103" s="4"/>
      <c r="J103" s="3"/>
      <c r="K103" s="3"/>
      <c r="L103" s="3"/>
      <c r="M103" s="3"/>
      <c r="N103" s="3"/>
    </row>
    <row r="104" spans="1:14" hidden="1">
      <c r="A104" s="3" t="s">
        <v>13</v>
      </c>
      <c r="B104" s="3"/>
      <c r="C104" s="3"/>
      <c r="D104" s="3"/>
      <c r="E104" s="3"/>
      <c r="F104" s="4">
        <v>18539.563999999998</v>
      </c>
      <c r="G104" s="4"/>
      <c r="H104" s="4"/>
      <c r="I104" s="4"/>
      <c r="J104" s="3"/>
      <c r="K104" s="3"/>
      <c r="L104" s="3"/>
      <c r="M104" s="3"/>
      <c r="N104" s="3"/>
    </row>
    <row r="105" spans="1:14" hidden="1">
      <c r="A105" s="3" t="s">
        <v>14</v>
      </c>
      <c r="B105" s="3"/>
      <c r="C105" s="3"/>
      <c r="D105" s="3"/>
      <c r="E105" s="3"/>
      <c r="F105" s="4">
        <v>-3331.3839999999982</v>
      </c>
      <c r="G105" s="4"/>
      <c r="H105" s="4"/>
      <c r="I105" s="4"/>
      <c r="J105" s="3"/>
      <c r="K105" s="3"/>
      <c r="L105" s="3"/>
      <c r="M105" s="3"/>
      <c r="N105" s="3"/>
    </row>
    <row r="106" spans="1:14" hidden="1"/>
    <row r="107" spans="1:14" hidden="1">
      <c r="A107" s="1">
        <v>43497</v>
      </c>
      <c r="B107" s="2"/>
      <c r="C107" s="2"/>
      <c r="D107" s="2"/>
      <c r="E107" s="2"/>
      <c r="F107" s="2"/>
      <c r="G107" s="2"/>
      <c r="H107" s="2"/>
      <c r="I107" s="2"/>
    </row>
    <row r="108" spans="1:14" hidden="1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5</v>
      </c>
      <c r="F108" s="2" t="s">
        <v>6</v>
      </c>
      <c r="G108" s="2" t="s">
        <v>7</v>
      </c>
      <c r="H108" s="2" t="s">
        <v>8</v>
      </c>
      <c r="I108" s="2" t="s">
        <v>9</v>
      </c>
      <c r="J108" s="2" t="s">
        <v>15</v>
      </c>
      <c r="K108" s="2" t="s">
        <v>16</v>
      </c>
      <c r="L108" s="2" t="s">
        <v>17</v>
      </c>
      <c r="M108" s="2" t="s">
        <v>18</v>
      </c>
      <c r="N108" s="2" t="s">
        <v>19</v>
      </c>
    </row>
    <row r="109" spans="1:14" hidden="1">
      <c r="A109" s="3" t="s">
        <v>10</v>
      </c>
      <c r="B109" s="3">
        <v>1187885</v>
      </c>
      <c r="C109" s="3">
        <v>1200866</v>
      </c>
      <c r="D109" s="3">
        <v>12981</v>
      </c>
      <c r="E109" s="3">
        <v>2844.5</v>
      </c>
      <c r="F109" s="4">
        <v>16075.970000000003</v>
      </c>
      <c r="G109" s="4"/>
      <c r="H109" s="4"/>
      <c r="I109" s="4"/>
      <c r="J109" s="3" t="s">
        <v>20</v>
      </c>
      <c r="K109" s="3" t="s">
        <v>23</v>
      </c>
      <c r="L109" s="3">
        <v>27</v>
      </c>
      <c r="M109" s="3">
        <f>D109/27</f>
        <v>480.77777777777777</v>
      </c>
      <c r="N109" s="7">
        <v>1.72</v>
      </c>
    </row>
    <row r="110" spans="1:14" hidden="1">
      <c r="A110" s="3" t="s">
        <v>11</v>
      </c>
      <c r="B110" s="3">
        <v>1184897</v>
      </c>
      <c r="C110" s="3">
        <v>1199706</v>
      </c>
      <c r="D110" s="3">
        <v>14809</v>
      </c>
      <c r="E110" s="3"/>
      <c r="F110" s="4">
        <v>20194.586499999998</v>
      </c>
      <c r="G110" s="4"/>
      <c r="H110" s="4">
        <v>141.4615</v>
      </c>
      <c r="I110" s="4">
        <v>570.84849999999994</v>
      </c>
      <c r="J110" s="3" t="s">
        <v>20</v>
      </c>
      <c r="K110" s="3" t="s">
        <v>24</v>
      </c>
      <c r="L110" s="3">
        <v>28</v>
      </c>
      <c r="M110" s="3">
        <v>528</v>
      </c>
      <c r="N110" s="7">
        <v>1.41</v>
      </c>
    </row>
    <row r="111" spans="1:14" hidden="1">
      <c r="A111" s="3" t="s">
        <v>12</v>
      </c>
      <c r="B111" s="3"/>
      <c r="C111" s="3"/>
      <c r="D111" s="3"/>
      <c r="E111" s="3"/>
      <c r="F111" s="4">
        <v>18920.47</v>
      </c>
      <c r="G111" s="4"/>
      <c r="H111" s="4"/>
      <c r="I111" s="4"/>
      <c r="J111" s="3"/>
      <c r="K111" s="3"/>
      <c r="L111" s="3"/>
      <c r="M111" s="3"/>
      <c r="N111" s="3"/>
    </row>
    <row r="112" spans="1:14" hidden="1">
      <c r="A112" s="3" t="s">
        <v>13</v>
      </c>
      <c r="B112" s="3"/>
      <c r="C112" s="3"/>
      <c r="D112" s="3"/>
      <c r="E112" s="3"/>
      <c r="F112" s="4">
        <v>20906.896499999999</v>
      </c>
      <c r="G112" s="4"/>
      <c r="H112" s="4"/>
      <c r="I112" s="4"/>
      <c r="J112" s="3"/>
      <c r="K112" s="3"/>
      <c r="L112" s="3"/>
      <c r="M112" s="3"/>
      <c r="N112" s="3"/>
    </row>
    <row r="113" spans="1:14" hidden="1">
      <c r="A113" s="3" t="s">
        <v>14</v>
      </c>
      <c r="B113" s="3"/>
      <c r="C113" s="3"/>
      <c r="D113" s="3"/>
      <c r="E113" s="3"/>
      <c r="F113" s="4">
        <v>-1986.4264999999978</v>
      </c>
      <c r="G113" s="4"/>
      <c r="H113" s="4"/>
      <c r="I113" s="4"/>
      <c r="J113" s="3"/>
      <c r="K113" s="3"/>
      <c r="L113" s="3"/>
      <c r="M113" s="3"/>
      <c r="N113" s="3"/>
    </row>
    <row r="114" spans="1:14" hidden="1"/>
    <row r="115" spans="1:14" hidden="1">
      <c r="A115" s="1">
        <v>43525</v>
      </c>
      <c r="B115" s="2"/>
      <c r="C115" s="2"/>
      <c r="D115" s="2"/>
      <c r="E115" s="2"/>
      <c r="F115" s="2"/>
      <c r="G115" s="2"/>
      <c r="H115" s="2"/>
      <c r="I115" s="2"/>
    </row>
    <row r="116" spans="1:14" hidden="1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5</v>
      </c>
      <c r="F116" s="2" t="s">
        <v>6</v>
      </c>
      <c r="G116" s="2" t="s">
        <v>7</v>
      </c>
      <c r="H116" s="2" t="s">
        <v>8</v>
      </c>
      <c r="I116" s="2" t="s">
        <v>9</v>
      </c>
      <c r="J116" s="2" t="s">
        <v>15</v>
      </c>
      <c r="K116" s="2" t="s">
        <v>16</v>
      </c>
      <c r="L116" s="2" t="s">
        <v>17</v>
      </c>
      <c r="M116" s="2" t="s">
        <v>18</v>
      </c>
      <c r="N116" s="2" t="s">
        <v>19</v>
      </c>
    </row>
    <row r="117" spans="1:14" hidden="1">
      <c r="A117" s="3" t="s">
        <v>10</v>
      </c>
      <c r="B117" s="3">
        <v>1200866</v>
      </c>
      <c r="C117" s="3">
        <v>1213865</v>
      </c>
      <c r="D117" s="3">
        <v>12999</v>
      </c>
      <c r="E117" s="3">
        <v>2496.9600000000014</v>
      </c>
      <c r="F117" s="4">
        <v>15225.98</v>
      </c>
      <c r="G117" s="4"/>
      <c r="H117" s="4"/>
      <c r="I117" s="4"/>
      <c r="J117" s="3" t="s">
        <v>20</v>
      </c>
      <c r="K117" s="3" t="s">
        <v>25</v>
      </c>
      <c r="L117" s="3">
        <v>30</v>
      </c>
      <c r="M117" s="3">
        <f>D117/30</f>
        <v>433.3</v>
      </c>
      <c r="N117" s="7">
        <v>1.42</v>
      </c>
    </row>
    <row r="118" spans="1:14" hidden="1">
      <c r="A118" s="3" t="s">
        <v>11</v>
      </c>
      <c r="B118" s="3">
        <v>1199706</v>
      </c>
      <c r="C118" s="3">
        <v>1212302</v>
      </c>
      <c r="D118" s="3">
        <v>12596</v>
      </c>
      <c r="E118" s="3"/>
      <c r="F118" s="4">
        <v>17176.790999999997</v>
      </c>
      <c r="G118" s="4"/>
      <c r="H118" s="4">
        <v>141.4615</v>
      </c>
      <c r="I118" s="4">
        <v>570.84849999999994</v>
      </c>
      <c r="J118" s="3" t="s">
        <v>20</v>
      </c>
      <c r="K118" s="3" t="s">
        <v>26</v>
      </c>
      <c r="L118" s="3">
        <v>31</v>
      </c>
      <c r="M118" s="3">
        <v>406</v>
      </c>
      <c r="N118" s="7">
        <v>1.42</v>
      </c>
    </row>
    <row r="119" spans="1:14" hidden="1">
      <c r="A119" s="3" t="s">
        <v>12</v>
      </c>
      <c r="B119" s="3"/>
      <c r="C119" s="3"/>
      <c r="D119" s="3"/>
      <c r="E119" s="3"/>
      <c r="F119" s="4">
        <v>17722.940000000002</v>
      </c>
      <c r="G119" s="4"/>
      <c r="H119" s="4"/>
      <c r="I119" s="4"/>
      <c r="J119" s="3"/>
      <c r="K119" s="3"/>
      <c r="L119" s="3"/>
      <c r="M119" s="3"/>
      <c r="N119" s="3"/>
    </row>
    <row r="120" spans="1:14" hidden="1">
      <c r="A120" s="3" t="s">
        <v>13</v>
      </c>
      <c r="B120" s="3"/>
      <c r="C120" s="3"/>
      <c r="D120" s="3"/>
      <c r="E120" s="3"/>
      <c r="F120" s="4">
        <v>17889.100999999999</v>
      </c>
      <c r="G120" s="4"/>
      <c r="H120" s="4"/>
      <c r="I120" s="4"/>
      <c r="J120" s="3"/>
      <c r="K120" s="3"/>
      <c r="L120" s="3"/>
      <c r="M120" s="3"/>
      <c r="N120" s="3"/>
    </row>
    <row r="121" spans="1:14" hidden="1">
      <c r="A121" s="3" t="s">
        <v>14</v>
      </c>
      <c r="B121" s="3"/>
      <c r="C121" s="3"/>
      <c r="D121" s="3"/>
      <c r="E121" s="3"/>
      <c r="F121" s="4">
        <v>-166.16099999999642</v>
      </c>
      <c r="G121" s="4"/>
      <c r="H121" s="4"/>
      <c r="I121" s="4"/>
      <c r="J121" s="3"/>
      <c r="K121" s="3"/>
      <c r="L121" s="3"/>
      <c r="M121" s="3"/>
      <c r="N121" s="3"/>
    </row>
    <row r="122" spans="1:14" hidden="1"/>
    <row r="123" spans="1:14" hidden="1">
      <c r="A123" s="6">
        <v>43556</v>
      </c>
    </row>
    <row r="124" spans="1:14" hidden="1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5</v>
      </c>
      <c r="F124" s="2" t="s">
        <v>6</v>
      </c>
      <c r="G124" s="2" t="s">
        <v>7</v>
      </c>
      <c r="H124" s="2" t="s">
        <v>8</v>
      </c>
      <c r="I124" s="2" t="s">
        <v>9</v>
      </c>
      <c r="J124" s="2" t="s">
        <v>15</v>
      </c>
      <c r="K124" s="2" t="s">
        <v>16</v>
      </c>
      <c r="L124" s="2" t="s">
        <v>17</v>
      </c>
      <c r="M124" s="2" t="s">
        <v>18</v>
      </c>
      <c r="N124" s="2" t="s">
        <v>19</v>
      </c>
    </row>
    <row r="125" spans="1:14" hidden="1">
      <c r="A125" s="3" t="s">
        <v>10</v>
      </c>
      <c r="B125" s="3">
        <v>1213865</v>
      </c>
      <c r="C125" s="3">
        <v>1230930</v>
      </c>
      <c r="D125" s="3">
        <f>C125-B125</f>
        <v>17065</v>
      </c>
      <c r="E125" s="3">
        <f>76.91*50</f>
        <v>3845.5</v>
      </c>
      <c r="F125" s="4">
        <f>24138.44-E125</f>
        <v>20292.939999999999</v>
      </c>
      <c r="G125" s="4"/>
      <c r="H125" s="4"/>
      <c r="I125" s="4"/>
      <c r="J125" s="3" t="s">
        <v>20</v>
      </c>
      <c r="K125" s="3" t="s">
        <v>27</v>
      </c>
      <c r="L125" s="3">
        <v>31</v>
      </c>
      <c r="M125" s="3">
        <f>D125/L125</f>
        <v>550.48387096774195</v>
      </c>
      <c r="N125" s="7">
        <v>1.63</v>
      </c>
    </row>
    <row r="126" spans="1:14" hidden="1">
      <c r="A126" s="3" t="s">
        <v>11</v>
      </c>
      <c r="B126" s="3">
        <v>1212302</v>
      </c>
      <c r="C126" s="3">
        <v>1228052</v>
      </c>
      <c r="D126" s="3">
        <f>C126-B126</f>
        <v>15750</v>
      </c>
      <c r="E126" s="3"/>
      <c r="F126" s="4">
        <f>18676.35*1.15</f>
        <v>21477.802499999998</v>
      </c>
      <c r="G126" s="4"/>
      <c r="H126" s="4">
        <f>123.01*1.15</f>
        <v>141.4615</v>
      </c>
      <c r="I126" s="4">
        <f>496.39*1.15</f>
        <v>570.84849999999994</v>
      </c>
      <c r="J126" s="3" t="s">
        <v>20</v>
      </c>
      <c r="K126" s="3" t="s">
        <v>28</v>
      </c>
      <c r="L126" s="3">
        <v>30</v>
      </c>
      <c r="M126" s="3">
        <v>525</v>
      </c>
      <c r="N126" s="7">
        <v>1.41</v>
      </c>
    </row>
    <row r="127" spans="1:14" hidden="1">
      <c r="A127" s="3" t="s">
        <v>12</v>
      </c>
      <c r="B127" s="3"/>
      <c r="C127" s="3"/>
      <c r="D127" s="3"/>
      <c r="E127" s="3"/>
      <c r="F127" s="4">
        <f>F125+E125</f>
        <v>24138.44</v>
      </c>
      <c r="G127" s="4"/>
      <c r="H127" s="4"/>
      <c r="I127" s="4"/>
      <c r="J127" s="3"/>
      <c r="K127" s="3"/>
      <c r="L127" s="3"/>
      <c r="M127" s="3"/>
      <c r="N127" s="3"/>
    </row>
    <row r="128" spans="1:14" hidden="1">
      <c r="A128" s="3" t="s">
        <v>13</v>
      </c>
      <c r="B128" s="3"/>
      <c r="C128" s="3"/>
      <c r="D128" s="3"/>
      <c r="E128" s="3"/>
      <c r="F128" s="4">
        <f>F126+H126+I126</f>
        <v>22190.112499999999</v>
      </c>
      <c r="G128" s="4"/>
      <c r="H128" s="4"/>
      <c r="I128" s="4"/>
      <c r="J128" s="3"/>
      <c r="K128" s="3"/>
      <c r="L128" s="3"/>
      <c r="M128" s="3"/>
      <c r="N128" s="3"/>
    </row>
    <row r="129" spans="1:14" hidden="1">
      <c r="A129" s="3" t="s">
        <v>14</v>
      </c>
      <c r="B129" s="3"/>
      <c r="C129" s="3"/>
      <c r="D129" s="3"/>
      <c r="E129" s="3"/>
      <c r="F129" s="4">
        <f>F127-F128</f>
        <v>1948.3274999999994</v>
      </c>
      <c r="G129" s="4"/>
      <c r="H129" s="4"/>
      <c r="I129" s="4"/>
      <c r="J129" s="3"/>
      <c r="K129" s="3"/>
      <c r="L129" s="3"/>
      <c r="M129" s="3"/>
      <c r="N129" s="3"/>
    </row>
    <row r="130" spans="1:14" hidden="1"/>
    <row r="131" spans="1:14" hidden="1">
      <c r="A131" s="6">
        <v>43586</v>
      </c>
    </row>
    <row r="132" spans="1:14" hidden="1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5</v>
      </c>
      <c r="F132" s="2" t="s">
        <v>6</v>
      </c>
      <c r="G132" s="2" t="s">
        <v>7</v>
      </c>
      <c r="H132" s="2" t="s">
        <v>8</v>
      </c>
      <c r="I132" s="2" t="s">
        <v>9</v>
      </c>
      <c r="J132" s="2" t="s">
        <v>15</v>
      </c>
      <c r="K132" s="2" t="s">
        <v>16</v>
      </c>
      <c r="L132" s="2" t="s">
        <v>17</v>
      </c>
      <c r="M132" s="2" t="s">
        <v>18</v>
      </c>
      <c r="N132" s="2" t="s">
        <v>19</v>
      </c>
    </row>
    <row r="133" spans="1:14" hidden="1">
      <c r="A133" s="3" t="s">
        <v>10</v>
      </c>
      <c r="B133" s="3">
        <v>1230930</v>
      </c>
      <c r="C133" s="3">
        <v>1243975</v>
      </c>
      <c r="D133" s="3">
        <f>C133-B133</f>
        <v>13045</v>
      </c>
      <c r="E133" s="3">
        <v>868.25</v>
      </c>
      <c r="F133" s="4">
        <f>20189.16-E133</f>
        <v>19320.91</v>
      </c>
      <c r="G133" s="4"/>
      <c r="H133" s="4"/>
      <c r="I133" s="4"/>
      <c r="J133" s="3" t="s">
        <v>20</v>
      </c>
      <c r="K133" s="3" t="s">
        <v>29</v>
      </c>
      <c r="L133" s="3">
        <v>30</v>
      </c>
      <c r="M133" s="3">
        <f>D133/30</f>
        <v>434.83333333333331</v>
      </c>
      <c r="N133" s="7">
        <v>1.42</v>
      </c>
    </row>
    <row r="134" spans="1:14" hidden="1">
      <c r="A134" s="3" t="s">
        <v>11</v>
      </c>
      <c r="B134" s="3">
        <f>C126</f>
        <v>1228052</v>
      </c>
      <c r="C134" s="3">
        <v>1243975</v>
      </c>
      <c r="D134" s="3">
        <f>C134-B134</f>
        <v>15923</v>
      </c>
      <c r="E134" s="3"/>
      <c r="F134" s="4">
        <f>18881.49*1.15</f>
        <v>21713.713500000002</v>
      </c>
      <c r="G134" s="4"/>
      <c r="H134" s="4">
        <f>123.01*1.15</f>
        <v>141.4615</v>
      </c>
      <c r="I134" s="4">
        <f>496.39*1.15</f>
        <v>570.84849999999994</v>
      </c>
      <c r="J134" s="3" t="s">
        <v>20</v>
      </c>
      <c r="K134" s="3" t="s">
        <v>30</v>
      </c>
      <c r="L134" s="3">
        <v>31</v>
      </c>
      <c r="M134" s="3">
        <v>513</v>
      </c>
      <c r="N134" s="7">
        <v>1.41</v>
      </c>
    </row>
    <row r="135" spans="1:14" hidden="1">
      <c r="A135" s="3" t="s">
        <v>12</v>
      </c>
      <c r="B135" s="3"/>
      <c r="C135" s="3"/>
      <c r="D135" s="3"/>
      <c r="E135" s="3"/>
      <c r="F135" s="4">
        <v>20189.16</v>
      </c>
      <c r="G135" s="4"/>
      <c r="H135" s="4"/>
      <c r="I135" s="4"/>
      <c r="J135" s="3"/>
      <c r="K135" s="3"/>
      <c r="L135" s="3"/>
      <c r="M135" s="3"/>
      <c r="N135" s="3"/>
    </row>
    <row r="136" spans="1:14" hidden="1">
      <c r="A136" s="3" t="s">
        <v>13</v>
      </c>
      <c r="B136" s="3"/>
      <c r="C136" s="3"/>
      <c r="D136" s="3"/>
      <c r="E136" s="3"/>
      <c r="F136" s="4">
        <f>F134+H134+I134</f>
        <v>22426.023500000003</v>
      </c>
      <c r="G136" s="4"/>
      <c r="H136" s="4"/>
      <c r="I136" s="4"/>
      <c r="J136" s="3"/>
      <c r="K136" s="3"/>
      <c r="L136" s="3"/>
      <c r="M136" s="3"/>
      <c r="N136" s="3"/>
    </row>
    <row r="137" spans="1:14" hidden="1">
      <c r="A137" s="3" t="s">
        <v>14</v>
      </c>
      <c r="B137" s="3"/>
      <c r="C137" s="3"/>
      <c r="D137" s="3"/>
      <c r="E137" s="3"/>
      <c r="F137" s="4">
        <f>F135-F136</f>
        <v>-2236.8635000000031</v>
      </c>
      <c r="G137" s="4"/>
      <c r="H137" s="4"/>
      <c r="I137" s="4"/>
      <c r="J137" s="3"/>
      <c r="K137" s="3"/>
      <c r="L137" s="3"/>
      <c r="M137" s="3"/>
      <c r="N137" s="3"/>
    </row>
    <row r="138" spans="1:14" hidden="1"/>
    <row r="139" spans="1:14" hidden="1">
      <c r="A139" s="6">
        <v>43617</v>
      </c>
    </row>
    <row r="140" spans="1:14" hidden="1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8</v>
      </c>
      <c r="I140" s="2" t="s">
        <v>9</v>
      </c>
      <c r="J140" s="2" t="s">
        <v>15</v>
      </c>
      <c r="K140" s="2" t="s">
        <v>16</v>
      </c>
      <c r="L140" s="2" t="s">
        <v>17</v>
      </c>
      <c r="M140" s="2" t="s">
        <v>18</v>
      </c>
      <c r="N140" s="2" t="s">
        <v>19</v>
      </c>
    </row>
    <row r="141" spans="1:14" hidden="1">
      <c r="A141" s="3" t="s">
        <v>10</v>
      </c>
      <c r="B141" s="3">
        <v>1243975</v>
      </c>
      <c r="C141" s="3">
        <v>1261626</v>
      </c>
      <c r="D141" s="3">
        <f>C141-B141</f>
        <v>17651</v>
      </c>
      <c r="E141" s="3">
        <v>4771.3500000000004</v>
      </c>
      <c r="F141" s="4">
        <f>24967.34-E141</f>
        <v>20195.989999999998</v>
      </c>
      <c r="G141" s="4"/>
      <c r="H141" s="4"/>
      <c r="I141" s="4"/>
      <c r="J141" s="3" t="s">
        <v>20</v>
      </c>
      <c r="K141" s="3" t="s">
        <v>31</v>
      </c>
      <c r="L141" s="3">
        <v>28</v>
      </c>
      <c r="M141" s="3">
        <f>D141/28</f>
        <v>630.39285714285711</v>
      </c>
      <c r="N141" s="7">
        <v>1.42</v>
      </c>
    </row>
    <row r="142" spans="1:14" hidden="1">
      <c r="A142" s="3" t="s">
        <v>11</v>
      </c>
      <c r="B142" s="3">
        <f>C134</f>
        <v>1243975</v>
      </c>
      <c r="C142" s="3">
        <v>1261626</v>
      </c>
      <c r="D142" s="3">
        <f>C142-B142</f>
        <v>17651</v>
      </c>
      <c r="E142" s="3"/>
      <c r="F142" s="4">
        <f>20930.56*1.15</f>
        <v>24070.144</v>
      </c>
      <c r="G142" s="4"/>
      <c r="H142" s="4">
        <f>139.09*1.15</f>
        <v>159.95349999999999</v>
      </c>
      <c r="I142" s="4">
        <f>561.27*1.15</f>
        <v>645.46049999999991</v>
      </c>
      <c r="J142" s="3" t="s">
        <v>20</v>
      </c>
      <c r="K142" s="3" t="s">
        <v>32</v>
      </c>
      <c r="L142" s="3">
        <v>30</v>
      </c>
      <c r="M142" s="3">
        <v>588</v>
      </c>
      <c r="N142" s="7">
        <v>1.41</v>
      </c>
    </row>
    <row r="143" spans="1:14" hidden="1">
      <c r="A143" s="3" t="s">
        <v>12</v>
      </c>
      <c r="B143" s="3"/>
      <c r="C143" s="3"/>
      <c r="D143" s="3"/>
      <c r="E143" s="3"/>
      <c r="F143" s="4">
        <v>24967.34</v>
      </c>
      <c r="G143" s="4"/>
      <c r="H143" s="4"/>
      <c r="I143" s="4"/>
      <c r="J143" s="3"/>
      <c r="K143" s="3"/>
      <c r="L143" s="3"/>
      <c r="M143" s="3"/>
      <c r="N143" s="3"/>
    </row>
    <row r="144" spans="1:14" hidden="1">
      <c r="A144" s="3" t="s">
        <v>13</v>
      </c>
      <c r="B144" s="3"/>
      <c r="C144" s="3"/>
      <c r="D144" s="3"/>
      <c r="E144" s="3"/>
      <c r="F144" s="4">
        <f>F142+H142+I142</f>
        <v>24875.558000000001</v>
      </c>
      <c r="G144" s="4"/>
      <c r="H144" s="4"/>
      <c r="I144" s="4"/>
      <c r="J144" s="3"/>
      <c r="K144" s="3"/>
      <c r="L144" s="3"/>
      <c r="M144" s="3"/>
      <c r="N144" s="3"/>
    </row>
    <row r="145" spans="1:14" hidden="1">
      <c r="A145" s="3" t="s">
        <v>14</v>
      </c>
      <c r="B145" s="3"/>
      <c r="C145" s="3"/>
      <c r="D145" s="3"/>
      <c r="E145" s="3"/>
      <c r="F145" s="4">
        <f>F143-F144</f>
        <v>91.781999999999243</v>
      </c>
      <c r="G145" s="4"/>
      <c r="H145" s="4"/>
      <c r="I145" s="4"/>
      <c r="J145" s="3"/>
      <c r="K145" s="3"/>
      <c r="L145" s="3"/>
      <c r="M145" s="3"/>
      <c r="N145" s="3"/>
    </row>
    <row r="146" spans="1:14" hidden="1"/>
    <row r="147" spans="1:14" hidden="1">
      <c r="A147" s="6">
        <v>43647</v>
      </c>
    </row>
    <row r="148" spans="1:14" hidden="1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8</v>
      </c>
      <c r="I148" s="2" t="s">
        <v>9</v>
      </c>
      <c r="J148" s="2" t="s">
        <v>15</v>
      </c>
      <c r="K148" s="2" t="s">
        <v>16</v>
      </c>
      <c r="L148" s="2" t="s">
        <v>17</v>
      </c>
      <c r="M148" s="2" t="s">
        <v>18</v>
      </c>
      <c r="N148" s="2" t="s">
        <v>19</v>
      </c>
    </row>
    <row r="149" spans="1:14" hidden="1">
      <c r="A149" s="3" t="s">
        <v>10</v>
      </c>
      <c r="B149" s="3">
        <v>1261626</v>
      </c>
      <c r="C149" s="3">
        <v>1281205</v>
      </c>
      <c r="D149" s="3">
        <f>C149-B149</f>
        <v>19579</v>
      </c>
      <c r="E149" s="3">
        <v>1267.6099999999999</v>
      </c>
      <c r="F149" s="4">
        <f>31297.03-E149</f>
        <v>30029.42</v>
      </c>
      <c r="G149" s="4"/>
      <c r="H149" s="4"/>
      <c r="I149" s="4"/>
      <c r="J149" s="3" t="s">
        <v>20</v>
      </c>
      <c r="K149" s="3" t="s">
        <v>33</v>
      </c>
      <c r="L149" s="3">
        <v>34</v>
      </c>
      <c r="M149" s="3">
        <f>D149/34</f>
        <v>575.85294117647061</v>
      </c>
      <c r="N149" s="7">
        <v>1.6</v>
      </c>
    </row>
    <row r="150" spans="1:14" hidden="1">
      <c r="A150" s="3" t="s">
        <v>11</v>
      </c>
      <c r="B150" s="3">
        <f>C141</f>
        <v>1261626</v>
      </c>
      <c r="C150" s="3">
        <v>1281205</v>
      </c>
      <c r="D150" s="3">
        <f>C150-B150</f>
        <v>19579</v>
      </c>
      <c r="E150" s="3"/>
      <c r="F150" s="4">
        <f>26251.52*1.15</f>
        <v>30189.248</v>
      </c>
      <c r="G150" s="4"/>
      <c r="H150" s="4"/>
      <c r="I150" s="4"/>
      <c r="J150" s="3" t="s">
        <v>20</v>
      </c>
      <c r="K150" s="3" t="s">
        <v>34</v>
      </c>
      <c r="L150" s="3">
        <v>31</v>
      </c>
      <c r="M150" s="3">
        <v>631</v>
      </c>
      <c r="N150" s="7">
        <v>1.58</v>
      </c>
    </row>
    <row r="151" spans="1:14" hidden="1">
      <c r="A151" s="3" t="s">
        <v>12</v>
      </c>
      <c r="B151" s="3"/>
      <c r="C151" s="3"/>
      <c r="D151" s="3"/>
      <c r="E151" s="3"/>
      <c r="F151" s="4">
        <f>F149+E149</f>
        <v>31297.03</v>
      </c>
      <c r="G151" s="4"/>
      <c r="H151" s="4">
        <f>139.09*1.15</f>
        <v>159.95349999999999</v>
      </c>
      <c r="I151" s="4">
        <f>561.27*1.15</f>
        <v>645.46049999999991</v>
      </c>
      <c r="J151" s="3"/>
      <c r="K151" s="3"/>
      <c r="L151" s="3"/>
      <c r="M151" s="3"/>
      <c r="N151" s="3"/>
    </row>
    <row r="152" spans="1:14" hidden="1">
      <c r="A152" s="3" t="s">
        <v>13</v>
      </c>
      <c r="B152" s="3"/>
      <c r="C152" s="3"/>
      <c r="D152" s="3"/>
      <c r="E152" s="3"/>
      <c r="F152" s="4">
        <v>30994.66</v>
      </c>
      <c r="G152" s="4"/>
      <c r="H152" s="4"/>
      <c r="I152" s="4"/>
      <c r="J152" s="3"/>
      <c r="K152" s="3"/>
      <c r="L152" s="3"/>
      <c r="M152" s="3"/>
      <c r="N152" s="3"/>
    </row>
    <row r="153" spans="1:14" hidden="1">
      <c r="A153" s="3" t="s">
        <v>14</v>
      </c>
      <c r="B153" s="3"/>
      <c r="C153" s="3"/>
      <c r="D153" s="3"/>
      <c r="E153" s="3"/>
      <c r="F153" s="4">
        <f>F151-F152</f>
        <v>302.36999999999898</v>
      </c>
      <c r="G153" s="4"/>
      <c r="H153" s="4"/>
      <c r="I153" s="4"/>
      <c r="J153" s="3"/>
      <c r="K153" s="3"/>
      <c r="L153" s="3"/>
      <c r="M153" s="3"/>
      <c r="N153" s="3"/>
    </row>
    <row r="154" spans="1:14" hidden="1"/>
    <row r="155" spans="1:14" hidden="1">
      <c r="A155" s="6">
        <v>43678</v>
      </c>
    </row>
    <row r="156" spans="1:14" hidden="1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5</v>
      </c>
      <c r="F156" s="2" t="s">
        <v>6</v>
      </c>
      <c r="G156" s="2" t="s">
        <v>7</v>
      </c>
      <c r="H156" s="2" t="s">
        <v>8</v>
      </c>
      <c r="I156" s="2" t="s">
        <v>9</v>
      </c>
      <c r="J156" s="2" t="s">
        <v>15</v>
      </c>
      <c r="K156" s="2" t="s">
        <v>16</v>
      </c>
      <c r="L156" s="2" t="s">
        <v>17</v>
      </c>
      <c r="M156" s="2" t="s">
        <v>18</v>
      </c>
      <c r="N156" s="2" t="s">
        <v>19</v>
      </c>
    </row>
    <row r="157" spans="1:14" hidden="1">
      <c r="A157" s="3" t="s">
        <v>10</v>
      </c>
      <c r="B157" s="3">
        <v>1281205</v>
      </c>
      <c r="C157" s="3">
        <v>1298562</v>
      </c>
      <c r="D157" s="3">
        <f>C157-B157</f>
        <v>17357</v>
      </c>
      <c r="E157" s="3"/>
      <c r="F157" s="4">
        <v>27182.15</v>
      </c>
      <c r="G157" s="4"/>
      <c r="H157" s="4"/>
      <c r="I157" s="4"/>
      <c r="J157" s="3" t="s">
        <v>20</v>
      </c>
      <c r="K157" s="3" t="s">
        <v>35</v>
      </c>
      <c r="L157" s="3">
        <v>34</v>
      </c>
      <c r="M157" s="3">
        <f>D157/34</f>
        <v>510.5</v>
      </c>
      <c r="N157" s="7">
        <v>1.58</v>
      </c>
    </row>
    <row r="158" spans="1:14" hidden="1">
      <c r="A158" s="3" t="s">
        <v>11</v>
      </c>
      <c r="B158" s="3">
        <f>C149</f>
        <v>1281205</v>
      </c>
      <c r="C158" s="3">
        <v>1298563</v>
      </c>
      <c r="D158" s="3">
        <f>C158-B158</f>
        <v>17358</v>
      </c>
      <c r="E158" s="3"/>
      <c r="F158" s="4">
        <f>23273.61*1.15</f>
        <v>26764.6515</v>
      </c>
      <c r="G158" s="4"/>
      <c r="H158" s="4">
        <f>139.09*1.15</f>
        <v>159.95349999999999</v>
      </c>
      <c r="I158" s="4">
        <f>561.27*1.15</f>
        <v>645.46049999999991</v>
      </c>
      <c r="J158" s="3" t="s">
        <v>20</v>
      </c>
      <c r="K158" s="3" t="s">
        <v>36</v>
      </c>
      <c r="L158" s="3">
        <v>31</v>
      </c>
      <c r="M158" s="3">
        <v>559</v>
      </c>
      <c r="N158" s="7">
        <v>1.59</v>
      </c>
    </row>
    <row r="159" spans="1:14" hidden="1">
      <c r="A159" s="3" t="s">
        <v>12</v>
      </c>
      <c r="B159" s="3"/>
      <c r="C159" s="3"/>
      <c r="D159" s="3"/>
      <c r="E159" s="3"/>
      <c r="F159" s="4">
        <f>F157+E157</f>
        <v>27182.15</v>
      </c>
      <c r="G159" s="4"/>
      <c r="H159" s="4"/>
      <c r="I159" s="4"/>
      <c r="J159" s="3"/>
      <c r="K159" s="3"/>
      <c r="L159" s="3"/>
      <c r="M159" s="3"/>
      <c r="N159" s="3"/>
    </row>
    <row r="160" spans="1:14" hidden="1">
      <c r="A160" s="3" t="s">
        <v>13</v>
      </c>
      <c r="B160" s="3"/>
      <c r="C160" s="3"/>
      <c r="D160" s="3"/>
      <c r="E160" s="3"/>
      <c r="F160" s="4">
        <v>27570.07</v>
      </c>
      <c r="G160" s="4"/>
      <c r="H160" s="4"/>
      <c r="I160" s="4"/>
      <c r="J160" s="3"/>
      <c r="K160" s="3"/>
      <c r="L160" s="3"/>
      <c r="M160" s="3"/>
      <c r="N160" s="3"/>
    </row>
    <row r="161" spans="1:14" hidden="1">
      <c r="A161" s="3" t="s">
        <v>14</v>
      </c>
      <c r="B161" s="3"/>
      <c r="C161" s="3"/>
      <c r="D161" s="3"/>
      <c r="E161" s="3"/>
      <c r="F161" s="4">
        <f>F159-F160</f>
        <v>-387.91999999999825</v>
      </c>
      <c r="G161" s="4"/>
      <c r="H161" s="4"/>
      <c r="I161" s="4"/>
      <c r="J161" s="3"/>
      <c r="K161" s="3"/>
      <c r="L161" s="3"/>
      <c r="M161" s="3"/>
      <c r="N161" s="3"/>
    </row>
    <row r="162" spans="1:14" hidden="1"/>
    <row r="163" spans="1:14" hidden="1">
      <c r="A163" s="6">
        <v>43709</v>
      </c>
    </row>
    <row r="164" spans="1:14" hidden="1">
      <c r="A164" s="2" t="s">
        <v>1</v>
      </c>
      <c r="B164" s="2" t="s">
        <v>2</v>
      </c>
      <c r="C164" s="2" t="s">
        <v>3</v>
      </c>
      <c r="D164" s="2" t="s">
        <v>4</v>
      </c>
      <c r="E164" s="2" t="s">
        <v>5</v>
      </c>
      <c r="F164" s="2" t="s">
        <v>6</v>
      </c>
      <c r="G164" s="2" t="s">
        <v>7</v>
      </c>
      <c r="H164" s="2" t="s">
        <v>8</v>
      </c>
      <c r="I164" s="2" t="s">
        <v>9</v>
      </c>
      <c r="J164" s="2" t="s">
        <v>15</v>
      </c>
      <c r="K164" s="2" t="s">
        <v>16</v>
      </c>
      <c r="L164" s="2" t="s">
        <v>17</v>
      </c>
      <c r="M164" s="2" t="s">
        <v>18</v>
      </c>
      <c r="N164" s="2" t="s">
        <v>19</v>
      </c>
    </row>
    <row r="165" spans="1:14" hidden="1">
      <c r="A165" s="3" t="s">
        <v>10</v>
      </c>
      <c r="B165" s="3">
        <f>C157</f>
        <v>1298562</v>
      </c>
      <c r="C165" s="3">
        <f>B165+16636</f>
        <v>1315198</v>
      </c>
      <c r="D165" s="3">
        <f>C165-B165</f>
        <v>16636</v>
      </c>
      <c r="E165" s="3">
        <f>9507.3385*1.15</f>
        <v>10933.439274999999</v>
      </c>
      <c r="F165" s="4">
        <f>13531.8579*1.15</f>
        <v>15561.636585</v>
      </c>
      <c r="G165" s="4"/>
      <c r="H165" s="4"/>
      <c r="I165" s="4"/>
      <c r="J165" s="3" t="s">
        <v>20</v>
      </c>
      <c r="K165" s="3" t="s">
        <v>37</v>
      </c>
      <c r="L165" s="3">
        <v>26</v>
      </c>
      <c r="M165" s="3">
        <f>D165/L165</f>
        <v>639.84615384615381</v>
      </c>
      <c r="N165" s="7">
        <f>F168/D165</f>
        <v>1.6572535465256071</v>
      </c>
    </row>
    <row r="166" spans="1:14" hidden="1">
      <c r="A166" s="3" t="s">
        <v>11</v>
      </c>
      <c r="B166" s="3">
        <f>C158</f>
        <v>1298563</v>
      </c>
      <c r="C166" s="3">
        <v>1314436</v>
      </c>
      <c r="D166" s="3">
        <f>C166-B166</f>
        <v>15873</v>
      </c>
      <c r="E166" s="3"/>
      <c r="F166" s="4">
        <v>24474.897999999997</v>
      </c>
      <c r="G166" s="4"/>
      <c r="H166" s="4">
        <f>139.09*1.15</f>
        <v>159.95349999999999</v>
      </c>
      <c r="I166" s="4">
        <f>561.27*1.15</f>
        <v>645.46049999999991</v>
      </c>
      <c r="J166" s="3" t="s">
        <v>20</v>
      </c>
      <c r="K166" s="3" t="s">
        <v>38</v>
      </c>
      <c r="L166" s="3">
        <v>30</v>
      </c>
      <c r="M166" s="3">
        <v>529</v>
      </c>
      <c r="N166" s="7">
        <f>F166/D166</f>
        <v>1.5419201159201157</v>
      </c>
    </row>
    <row r="167" spans="1:14" hidden="1">
      <c r="A167" s="3" t="s">
        <v>12</v>
      </c>
      <c r="B167" s="3"/>
      <c r="C167" s="3"/>
      <c r="D167" s="3"/>
      <c r="E167" s="3"/>
      <c r="F167" s="4">
        <f>F165+E165</f>
        <v>26495.075859999997</v>
      </c>
      <c r="G167" s="4"/>
      <c r="H167" s="4"/>
      <c r="I167" s="4"/>
      <c r="J167" s="3"/>
      <c r="K167" s="3"/>
      <c r="L167" s="3"/>
      <c r="M167" s="3"/>
      <c r="N167" s="3"/>
    </row>
    <row r="168" spans="1:14" hidden="1">
      <c r="A168" s="3" t="s">
        <v>13</v>
      </c>
      <c r="B168" s="3"/>
      <c r="C168" s="3"/>
      <c r="D168" s="3"/>
      <c r="E168" s="3"/>
      <c r="F168" s="4">
        <v>27570.07</v>
      </c>
      <c r="G168" s="4"/>
      <c r="H168" s="4"/>
      <c r="I168" s="4"/>
      <c r="J168" s="3"/>
      <c r="K168" s="3"/>
      <c r="L168" s="3"/>
      <c r="M168" s="3"/>
      <c r="N168" s="3"/>
    </row>
    <row r="169" spans="1:14" hidden="1">
      <c r="A169" s="3" t="s">
        <v>14</v>
      </c>
      <c r="B169" s="3"/>
      <c r="C169" s="3"/>
      <c r="D169" s="3"/>
      <c r="E169" s="3"/>
      <c r="F169" s="4">
        <f>F167-F168</f>
        <v>-1074.9941400000025</v>
      </c>
      <c r="G169" s="4"/>
      <c r="H169" s="4"/>
      <c r="I169" s="4"/>
      <c r="J169" s="3"/>
      <c r="K169" s="3"/>
      <c r="L169" s="3"/>
      <c r="M169" s="3"/>
      <c r="N169" s="3"/>
    </row>
    <row r="170" spans="1:14" hidden="1"/>
    <row r="171" spans="1:14" hidden="1">
      <c r="A171" s="6">
        <v>43739</v>
      </c>
    </row>
    <row r="172" spans="1:14" hidden="1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5</v>
      </c>
      <c r="F172" s="2" t="s">
        <v>6</v>
      </c>
      <c r="G172" s="2" t="s">
        <v>7</v>
      </c>
      <c r="H172" s="2" t="s">
        <v>8</v>
      </c>
      <c r="I172" s="2" t="s">
        <v>9</v>
      </c>
      <c r="J172" s="2" t="s">
        <v>15</v>
      </c>
      <c r="K172" s="2" t="s">
        <v>16</v>
      </c>
      <c r="L172" s="2" t="s">
        <v>17</v>
      </c>
      <c r="M172" s="2" t="s">
        <v>18</v>
      </c>
      <c r="N172" s="2" t="s">
        <v>19</v>
      </c>
    </row>
    <row r="173" spans="1:14" hidden="1">
      <c r="A173" s="3" t="s">
        <v>10</v>
      </c>
      <c r="B173" s="3">
        <f>C165</f>
        <v>1315198</v>
      </c>
      <c r="C173" s="3">
        <v>1331618</v>
      </c>
      <c r="D173" s="3">
        <f>C173-B173</f>
        <v>16420</v>
      </c>
      <c r="E173" s="3">
        <f>3408.2389*1.15</f>
        <v>3919.4747349999993</v>
      </c>
      <c r="F173" s="4">
        <f>19331.8191*1.15</f>
        <v>22231.591965</v>
      </c>
      <c r="G173" s="4"/>
      <c r="H173" s="4"/>
      <c r="I173" s="4"/>
      <c r="J173" s="3" t="s">
        <v>20</v>
      </c>
      <c r="K173" s="3" t="s">
        <v>39</v>
      </c>
      <c r="L173" s="3">
        <v>34</v>
      </c>
      <c r="M173" s="3">
        <f>D173/L173</f>
        <v>482.94117647058823</v>
      </c>
      <c r="N173" s="7">
        <f>F176/D173</f>
        <v>1.3973389464068209</v>
      </c>
    </row>
    <row r="174" spans="1:14" hidden="1">
      <c r="A174" s="3" t="s">
        <v>11</v>
      </c>
      <c r="B174" s="3">
        <f>C166</f>
        <v>1314436</v>
      </c>
      <c r="C174" s="3">
        <v>1328794</v>
      </c>
      <c r="D174" s="3">
        <f>C174-B174</f>
        <v>14358</v>
      </c>
      <c r="E174" s="3"/>
      <c r="F174" s="4">
        <f>19251.21*1.15</f>
        <v>22138.891499999998</v>
      </c>
      <c r="G174" s="4"/>
      <c r="H174" s="4">
        <f>139.09*1.15</f>
        <v>159.95349999999999</v>
      </c>
      <c r="I174" s="4">
        <f>561.27*1.15</f>
        <v>645.46049999999991</v>
      </c>
      <c r="J174" s="3" t="s">
        <v>20</v>
      </c>
      <c r="K174" s="3" t="s">
        <v>40</v>
      </c>
      <c r="L174" s="3">
        <v>31</v>
      </c>
      <c r="M174" s="3">
        <f>D174/L174</f>
        <v>463.16129032258067</v>
      </c>
      <c r="N174" s="7">
        <f>F174/D174</f>
        <v>1.5419202883409944</v>
      </c>
    </row>
    <row r="175" spans="1:14" hidden="1">
      <c r="A175" s="3" t="s">
        <v>12</v>
      </c>
      <c r="B175" s="3"/>
      <c r="C175" s="3"/>
      <c r="D175" s="3"/>
      <c r="E175" s="3"/>
      <c r="F175" s="4">
        <f>F173+E173</f>
        <v>26151.066699999999</v>
      </c>
      <c r="G175" s="4"/>
      <c r="H175" s="4"/>
      <c r="I175" s="4"/>
      <c r="J175" s="3"/>
      <c r="K175" s="3"/>
      <c r="L175" s="3"/>
      <c r="M175" s="3"/>
      <c r="N175" s="3"/>
    </row>
    <row r="176" spans="1:14" hidden="1">
      <c r="A176" s="3" t="s">
        <v>13</v>
      </c>
      <c r="B176" s="3"/>
      <c r="C176" s="3"/>
      <c r="D176" s="3"/>
      <c r="E176" s="3"/>
      <c r="F176" s="4">
        <f>F174+H174+I174</f>
        <v>22944.305499999999</v>
      </c>
      <c r="G176" s="4"/>
      <c r="H176" s="4"/>
      <c r="I176" s="4"/>
      <c r="J176" s="3"/>
      <c r="K176" s="3"/>
      <c r="L176" s="3"/>
      <c r="M176" s="3"/>
      <c r="N176" s="3"/>
    </row>
    <row r="177" spans="1:14" hidden="1">
      <c r="A177" s="3" t="s">
        <v>14</v>
      </c>
      <c r="B177" s="3"/>
      <c r="C177" s="3"/>
      <c r="D177" s="3"/>
      <c r="E177" s="3"/>
      <c r="F177" s="4">
        <f>F175-F176</f>
        <v>3206.7612000000008</v>
      </c>
      <c r="G177" s="4"/>
      <c r="H177" s="4"/>
      <c r="I177" s="4"/>
      <c r="J177" s="3"/>
      <c r="K177" s="3"/>
      <c r="L177" s="3"/>
      <c r="M177" s="3"/>
      <c r="N177" s="3"/>
    </row>
    <row r="178" spans="1:14" hidden="1"/>
    <row r="179" spans="1:14" hidden="1">
      <c r="A179" s="6">
        <v>43770</v>
      </c>
    </row>
    <row r="180" spans="1:14" hidden="1">
      <c r="A180" s="2" t="s">
        <v>1</v>
      </c>
      <c r="B180" s="2" t="s">
        <v>2</v>
      </c>
      <c r="C180" s="2" t="s">
        <v>3</v>
      </c>
      <c r="D180" s="2" t="s">
        <v>4</v>
      </c>
      <c r="E180" s="2" t="s">
        <v>5</v>
      </c>
      <c r="F180" s="2" t="s">
        <v>6</v>
      </c>
      <c r="G180" s="2" t="s">
        <v>7</v>
      </c>
      <c r="H180" s="2" t="s">
        <v>8</v>
      </c>
      <c r="I180" s="2" t="s">
        <v>9</v>
      </c>
      <c r="J180" s="2" t="s">
        <v>15</v>
      </c>
      <c r="K180" s="2" t="s">
        <v>16</v>
      </c>
      <c r="L180" s="2" t="s">
        <v>17</v>
      </c>
      <c r="M180" s="2" t="s">
        <v>18</v>
      </c>
      <c r="N180" s="2" t="s">
        <v>19</v>
      </c>
    </row>
    <row r="181" spans="1:14" hidden="1">
      <c r="A181" s="3" t="s">
        <v>10</v>
      </c>
      <c r="B181" s="3">
        <f>C173</f>
        <v>1331618</v>
      </c>
      <c r="C181" s="3">
        <v>1344308</v>
      </c>
      <c r="D181" s="3">
        <f>C181-B181</f>
        <v>12690</v>
      </c>
      <c r="E181" s="3">
        <f>2643.7741*1.15</f>
        <v>3040.3402149999997</v>
      </c>
      <c r="F181" s="4">
        <f>14930.6069*1.15</f>
        <v>17170.197935</v>
      </c>
      <c r="G181" s="4"/>
      <c r="H181" s="4"/>
      <c r="I181" s="4"/>
      <c r="J181" s="3" t="s">
        <v>20</v>
      </c>
      <c r="K181" s="3" t="s">
        <v>41</v>
      </c>
      <c r="L181" s="3">
        <v>28</v>
      </c>
      <c r="M181" s="3">
        <f>D181/L181</f>
        <v>453.21428571428572</v>
      </c>
      <c r="N181" s="7">
        <f>F184/D181</f>
        <v>1.7510748226950352</v>
      </c>
    </row>
    <row r="182" spans="1:14" hidden="1">
      <c r="A182" s="3" t="s">
        <v>11</v>
      </c>
      <c r="B182" s="3">
        <f>C174</f>
        <v>1328794</v>
      </c>
      <c r="C182" s="3">
        <v>1342683</v>
      </c>
      <c r="D182" s="3">
        <f>C182-B182</f>
        <v>13889</v>
      </c>
      <c r="E182" s="3"/>
      <c r="F182" s="4">
        <f>18622.37*1.15</f>
        <v>21415.725499999997</v>
      </c>
      <c r="G182" s="4"/>
      <c r="H182" s="4">
        <f>139.09*1.15</f>
        <v>159.95349999999999</v>
      </c>
      <c r="I182" s="4">
        <f>561.27*1.15</f>
        <v>645.46049999999991</v>
      </c>
      <c r="J182" s="3" t="s">
        <v>20</v>
      </c>
      <c r="K182" s="3" t="s">
        <v>42</v>
      </c>
      <c r="L182" s="3">
        <v>30</v>
      </c>
      <c r="M182" s="3">
        <f>D182/L182</f>
        <v>462.96666666666664</v>
      </c>
      <c r="N182" s="7">
        <f>F182/D182</f>
        <v>1.5419199006407946</v>
      </c>
    </row>
    <row r="183" spans="1:14" hidden="1">
      <c r="A183" s="3" t="s">
        <v>12</v>
      </c>
      <c r="B183" s="3"/>
      <c r="C183" s="3"/>
      <c r="D183" s="3"/>
      <c r="E183" s="3"/>
      <c r="F183" s="4">
        <f>F181+E181</f>
        <v>20210.53815</v>
      </c>
      <c r="G183" s="4"/>
      <c r="H183" s="4"/>
      <c r="I183" s="4"/>
      <c r="J183" s="3"/>
      <c r="K183" s="3"/>
      <c r="L183" s="3"/>
      <c r="M183" s="3"/>
      <c r="N183" s="3"/>
    </row>
    <row r="184" spans="1:14" hidden="1">
      <c r="A184" s="3" t="s">
        <v>13</v>
      </c>
      <c r="B184" s="3"/>
      <c r="C184" s="3"/>
      <c r="D184" s="3"/>
      <c r="E184" s="3"/>
      <c r="F184" s="4">
        <f>F182+H182+I182</f>
        <v>22221.139499999997</v>
      </c>
      <c r="G184" s="4"/>
      <c r="H184" s="4"/>
      <c r="I184" s="4"/>
      <c r="J184" s="3"/>
      <c r="K184" s="3"/>
      <c r="L184" s="3"/>
      <c r="M184" s="3"/>
      <c r="N184" s="3"/>
    </row>
    <row r="185" spans="1:14" hidden="1">
      <c r="A185" s="3" t="s">
        <v>14</v>
      </c>
      <c r="B185" s="3"/>
      <c r="C185" s="3"/>
      <c r="D185" s="3"/>
      <c r="E185" s="3"/>
      <c r="F185" s="4">
        <f>F183-F184</f>
        <v>-2010.6013499999972</v>
      </c>
      <c r="G185" s="4"/>
      <c r="H185" s="4"/>
      <c r="I185" s="4"/>
      <c r="J185" s="3"/>
      <c r="K185" s="3"/>
      <c r="L185" s="3"/>
      <c r="M185" s="3"/>
      <c r="N185" s="3"/>
    </row>
    <row r="186" spans="1:14" hidden="1"/>
    <row r="187" spans="1:14" hidden="1">
      <c r="A187" s="6">
        <v>43800</v>
      </c>
    </row>
    <row r="188" spans="1:14" hidden="1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5</v>
      </c>
      <c r="F188" s="2" t="s">
        <v>6</v>
      </c>
      <c r="G188" s="2" t="s">
        <v>7</v>
      </c>
      <c r="H188" s="2" t="s">
        <v>8</v>
      </c>
      <c r="I188" s="2" t="s">
        <v>9</v>
      </c>
      <c r="J188" s="2" t="s">
        <v>15</v>
      </c>
      <c r="K188" s="2" t="s">
        <v>16</v>
      </c>
      <c r="L188" s="2" t="s">
        <v>17</v>
      </c>
      <c r="M188" s="2" t="s">
        <v>18</v>
      </c>
      <c r="N188" s="2" t="s">
        <v>19</v>
      </c>
    </row>
    <row r="189" spans="1:14" hidden="1">
      <c r="A189" s="3" t="s">
        <v>10</v>
      </c>
      <c r="B189" s="3">
        <f>C181</f>
        <v>1344308</v>
      </c>
      <c r="C189" s="3">
        <v>1361954</v>
      </c>
      <c r="D189" s="3">
        <f>C189-B189</f>
        <v>17646</v>
      </c>
      <c r="E189" s="3">
        <f>3507.95*1.15</f>
        <v>4034.1424999999995</v>
      </c>
      <c r="F189" s="4">
        <f>20929.9937*1.15</f>
        <v>24069.492754999996</v>
      </c>
      <c r="G189" s="4"/>
      <c r="H189" s="4"/>
      <c r="I189" s="4"/>
      <c r="J189" s="3" t="s">
        <v>20</v>
      </c>
      <c r="K189" s="3" t="s">
        <v>43</v>
      </c>
      <c r="L189" s="3">
        <v>39</v>
      </c>
      <c r="M189" s="3">
        <f>D189/L189</f>
        <v>452.46153846153845</v>
      </c>
      <c r="N189" s="7">
        <f>F192/D189</f>
        <v>1.2622445880086137</v>
      </c>
    </row>
    <row r="190" spans="1:14" hidden="1">
      <c r="A190" s="3" t="s">
        <v>11</v>
      </c>
      <c r="B190" s="3">
        <f>C182</f>
        <v>1342683</v>
      </c>
      <c r="C190" s="3">
        <v>1356606</v>
      </c>
      <c r="D190" s="3">
        <f>C190-B190</f>
        <v>13923</v>
      </c>
      <c r="E190" s="3"/>
      <c r="F190" s="4">
        <f>18667.96*1.15</f>
        <v>21468.153999999999</v>
      </c>
      <c r="G190" s="4"/>
      <c r="H190" s="4">
        <f>139.09*1.15</f>
        <v>159.95349999999999</v>
      </c>
      <c r="I190" s="4">
        <f>561.27*1.15</f>
        <v>645.46049999999991</v>
      </c>
      <c r="J190" s="3" t="s">
        <v>20</v>
      </c>
      <c r="K190" s="3" t="s">
        <v>44</v>
      </c>
      <c r="L190" s="3">
        <v>31</v>
      </c>
      <c r="M190" s="3">
        <f>D190/L190</f>
        <v>449.12903225806451</v>
      </c>
      <c r="N190" s="7">
        <f>F190/D190</f>
        <v>1.5419201321554261</v>
      </c>
    </row>
    <row r="191" spans="1:14" hidden="1">
      <c r="A191" s="3" t="s">
        <v>12</v>
      </c>
      <c r="B191" s="3"/>
      <c r="C191" s="3"/>
      <c r="D191" s="3"/>
      <c r="E191" s="3"/>
      <c r="F191" s="4">
        <f>F189+E189</f>
        <v>28103.635254999994</v>
      </c>
      <c r="G191" s="4"/>
      <c r="H191" s="4"/>
      <c r="I191" s="4"/>
      <c r="J191" s="3"/>
      <c r="K191" s="3"/>
      <c r="L191" s="3"/>
      <c r="M191" s="3"/>
      <c r="N191" s="3"/>
    </row>
    <row r="192" spans="1:14" hidden="1">
      <c r="A192" s="3" t="s">
        <v>13</v>
      </c>
      <c r="B192" s="3"/>
      <c r="C192" s="3"/>
      <c r="D192" s="3"/>
      <c r="E192" s="3"/>
      <c r="F192" s="4">
        <f>F190+H190+I190</f>
        <v>22273.567999999999</v>
      </c>
      <c r="G192" s="4"/>
      <c r="H192" s="4"/>
      <c r="I192" s="4"/>
      <c r="J192" s="3"/>
      <c r="K192" s="3"/>
      <c r="L192" s="3"/>
      <c r="M192" s="3"/>
      <c r="N192" s="3"/>
    </row>
    <row r="193" spans="1:14" hidden="1">
      <c r="A193" s="3" t="s">
        <v>14</v>
      </c>
      <c r="B193" s="3"/>
      <c r="C193" s="3"/>
      <c r="D193" s="3"/>
      <c r="E193" s="3"/>
      <c r="F193" s="4">
        <f>F191-F192</f>
        <v>5830.0672549999945</v>
      </c>
      <c r="G193" s="4"/>
      <c r="H193" s="4"/>
      <c r="I193" s="4"/>
      <c r="J193" s="3"/>
      <c r="K193" s="3"/>
      <c r="L193" s="3"/>
      <c r="M193" s="3"/>
      <c r="N193" s="3"/>
    </row>
    <row r="195" spans="1:14">
      <c r="A195" s="15">
        <v>43831</v>
      </c>
    </row>
    <row r="196" spans="1:14" hidden="1">
      <c r="A196" s="2" t="s">
        <v>1</v>
      </c>
      <c r="B196" s="2" t="s">
        <v>2</v>
      </c>
      <c r="C196" s="2" t="s">
        <v>3</v>
      </c>
      <c r="D196" s="2" t="s">
        <v>4</v>
      </c>
      <c r="E196" s="2" t="s">
        <v>5</v>
      </c>
      <c r="F196" s="2" t="s">
        <v>6</v>
      </c>
      <c r="G196" s="2" t="s">
        <v>7</v>
      </c>
      <c r="H196" s="2" t="s">
        <v>8</v>
      </c>
      <c r="I196" s="2" t="s">
        <v>9</v>
      </c>
      <c r="J196" s="2" t="s">
        <v>15</v>
      </c>
      <c r="K196" s="2" t="s">
        <v>16</v>
      </c>
      <c r="L196" s="2" t="s">
        <v>17</v>
      </c>
      <c r="M196" s="2" t="s">
        <v>18</v>
      </c>
      <c r="N196" s="2" t="s">
        <v>19</v>
      </c>
    </row>
    <row r="197" spans="1:14" hidden="1">
      <c r="A197" s="3" t="s">
        <v>10</v>
      </c>
      <c r="B197" s="3">
        <f>C189</f>
        <v>1361954</v>
      </c>
      <c r="C197" s="3">
        <v>1373215</v>
      </c>
      <c r="D197" s="3">
        <f>C197-B197</f>
        <v>11261</v>
      </c>
      <c r="E197" s="3">
        <f>2163.21*1.15</f>
        <v>2487.6914999999999</v>
      </c>
      <c r="F197" s="4">
        <f>13432.15*1.15</f>
        <v>15446.972499999998</v>
      </c>
      <c r="G197" s="4"/>
      <c r="H197" s="4"/>
      <c r="I197" s="4"/>
      <c r="J197" s="3" t="s">
        <v>20</v>
      </c>
      <c r="K197" s="3" t="s">
        <v>45</v>
      </c>
      <c r="L197" s="3">
        <v>24</v>
      </c>
      <c r="M197" s="3">
        <f>D197/L197</f>
        <v>469.20833333333331</v>
      </c>
      <c r="N197" s="7">
        <f>F200/D197</f>
        <v>1.9895776130006215</v>
      </c>
    </row>
    <row r="198" spans="1:14" hidden="1">
      <c r="A198" s="3" t="s">
        <v>11</v>
      </c>
      <c r="B198" s="3">
        <f>C190</f>
        <v>1356606</v>
      </c>
      <c r="C198" s="3">
        <v>1370614</v>
      </c>
      <c r="D198" s="3">
        <f>C198-B198</f>
        <v>14008</v>
      </c>
      <c r="E198" s="3"/>
      <c r="F198" s="4">
        <f>18781.93*1.15</f>
        <v>21599.219499999999</v>
      </c>
      <c r="G198" s="4"/>
      <c r="H198" s="4">
        <f>139.09*1.15</f>
        <v>159.95349999999999</v>
      </c>
      <c r="I198" s="4">
        <f>561.27*1.15</f>
        <v>645.46049999999991</v>
      </c>
      <c r="J198" s="3" t="s">
        <v>20</v>
      </c>
      <c r="K198" s="3" t="s">
        <v>46</v>
      </c>
      <c r="L198" s="3">
        <v>31</v>
      </c>
      <c r="M198" s="3">
        <f>D198/L198</f>
        <v>451.87096774193549</v>
      </c>
      <c r="N198" s="7">
        <f>F198/D198</f>
        <v>1.5419202955454026</v>
      </c>
    </row>
    <row r="199" spans="1:14" hidden="1">
      <c r="A199" s="3" t="s">
        <v>12</v>
      </c>
      <c r="B199" s="3"/>
      <c r="C199" s="3"/>
      <c r="D199" s="3"/>
      <c r="E199" s="3"/>
      <c r="F199" s="4">
        <f>F197+E197</f>
        <v>17934.663999999997</v>
      </c>
      <c r="G199" s="4"/>
      <c r="H199" s="4"/>
      <c r="I199" s="4"/>
      <c r="J199" s="3"/>
      <c r="K199" s="3"/>
      <c r="L199" s="3"/>
      <c r="M199" s="3"/>
      <c r="N199" s="3"/>
    </row>
    <row r="200" spans="1:14" hidden="1">
      <c r="A200" s="3" t="s">
        <v>13</v>
      </c>
      <c r="B200" s="3"/>
      <c r="C200" s="3"/>
      <c r="D200" s="3"/>
      <c r="E200" s="3"/>
      <c r="F200" s="4">
        <f>F198+H198+I198</f>
        <v>22404.6335</v>
      </c>
      <c r="G200" s="4"/>
      <c r="H200" s="4"/>
      <c r="I200" s="4"/>
      <c r="J200" s="3"/>
      <c r="K200" s="3"/>
      <c r="L200" s="3"/>
      <c r="M200" s="3"/>
      <c r="N200" s="3"/>
    </row>
    <row r="201" spans="1:14" hidden="1">
      <c r="A201" s="3" t="s">
        <v>14</v>
      </c>
      <c r="B201" s="3"/>
      <c r="C201" s="3"/>
      <c r="D201" s="3"/>
      <c r="E201" s="3"/>
      <c r="F201" s="4">
        <f>F199-F200</f>
        <v>-4469.9695000000029</v>
      </c>
      <c r="G201" s="4"/>
      <c r="H201" s="4"/>
      <c r="I201" s="4"/>
      <c r="J201" s="3"/>
      <c r="K201" s="3"/>
      <c r="L201" s="3"/>
      <c r="M201" s="3"/>
      <c r="N201" s="3"/>
    </row>
    <row r="202" spans="1:14" hidden="1"/>
    <row r="203" spans="1:14" hidden="1">
      <c r="A203" s="15">
        <v>43862</v>
      </c>
    </row>
    <row r="204" spans="1:14" hidden="1">
      <c r="A204" s="2" t="s">
        <v>1</v>
      </c>
      <c r="B204" s="2" t="s">
        <v>2</v>
      </c>
      <c r="C204" s="2" t="s">
        <v>3</v>
      </c>
      <c r="D204" s="2" t="s">
        <v>4</v>
      </c>
      <c r="E204" s="2" t="s">
        <v>5</v>
      </c>
      <c r="F204" s="2" t="s">
        <v>6</v>
      </c>
      <c r="G204" s="2" t="s">
        <v>7</v>
      </c>
      <c r="H204" s="2" t="s">
        <v>8</v>
      </c>
      <c r="I204" s="2" t="s">
        <v>9</v>
      </c>
      <c r="J204" s="2" t="s">
        <v>15</v>
      </c>
      <c r="K204" s="2" t="s">
        <v>16</v>
      </c>
      <c r="L204" s="2" t="s">
        <v>17</v>
      </c>
      <c r="M204" s="2" t="s">
        <v>18</v>
      </c>
      <c r="N204" s="2" t="s">
        <v>19</v>
      </c>
    </row>
    <row r="205" spans="1:14" hidden="1">
      <c r="A205" s="3" t="s">
        <v>10</v>
      </c>
      <c r="B205" s="3">
        <f>C197</f>
        <v>1373215</v>
      </c>
      <c r="C205" s="3">
        <v>1385656</v>
      </c>
      <c r="D205" s="3">
        <f>C205-B205</f>
        <v>12441</v>
      </c>
      <c r="E205" s="3">
        <f>2384.8*1.15</f>
        <v>2742.52</v>
      </c>
      <c r="F205" s="4">
        <f>14844.74*1.15</f>
        <v>17071.450999999997</v>
      </c>
      <c r="G205" s="4"/>
      <c r="H205" s="4"/>
      <c r="I205" s="4"/>
      <c r="J205" s="3" t="s">
        <v>20</v>
      </c>
      <c r="K205" s="3" t="s">
        <v>47</v>
      </c>
      <c r="L205" s="3">
        <v>28</v>
      </c>
      <c r="M205" s="3">
        <f>D205/L205</f>
        <v>444.32142857142856</v>
      </c>
      <c r="N205" s="7">
        <f>F208/D205</f>
        <v>1.791575395868499</v>
      </c>
    </row>
    <row r="206" spans="1:14" hidden="1">
      <c r="A206" s="3" t="s">
        <v>11</v>
      </c>
      <c r="B206" s="3">
        <f>C198</f>
        <v>1370614</v>
      </c>
      <c r="C206" s="3">
        <v>1384547</v>
      </c>
      <c r="D206" s="3">
        <f>C206-B206</f>
        <v>13933</v>
      </c>
      <c r="E206" s="3"/>
      <c r="F206" s="4">
        <f>18681.37*1.15</f>
        <v>21483.575499999995</v>
      </c>
      <c r="G206" s="4"/>
      <c r="H206" s="4">
        <f>139.09*1.15</f>
        <v>159.95349999999999</v>
      </c>
      <c r="I206" s="4">
        <f>561.27*1.15</f>
        <v>645.46049999999991</v>
      </c>
      <c r="J206" s="3" t="s">
        <v>20</v>
      </c>
      <c r="K206" s="3" t="s">
        <v>48</v>
      </c>
      <c r="L206" s="3">
        <v>29</v>
      </c>
      <c r="M206" s="3">
        <f>D206/L206</f>
        <v>480.44827586206895</v>
      </c>
      <c r="N206" s="7">
        <f>F206/D206</f>
        <v>1.5419202971362949</v>
      </c>
    </row>
    <row r="207" spans="1:14" hidden="1">
      <c r="A207" s="3" t="s">
        <v>12</v>
      </c>
      <c r="B207" s="3"/>
      <c r="C207" s="3"/>
      <c r="D207" s="3"/>
      <c r="E207" s="3"/>
      <c r="F207" s="4">
        <f>F205+E205</f>
        <v>19813.970999999998</v>
      </c>
      <c r="G207" s="4"/>
      <c r="H207" s="4"/>
      <c r="I207" s="4"/>
      <c r="J207" s="3"/>
      <c r="K207" s="3"/>
      <c r="L207" s="3"/>
      <c r="M207" s="3"/>
      <c r="N207" s="3"/>
    </row>
    <row r="208" spans="1:14" hidden="1">
      <c r="A208" s="3" t="s">
        <v>13</v>
      </c>
      <c r="B208" s="3"/>
      <c r="C208" s="3"/>
      <c r="D208" s="3"/>
      <c r="E208" s="3"/>
      <c r="F208" s="4">
        <f>F206+H206+I206</f>
        <v>22288.989499999996</v>
      </c>
      <c r="G208" s="4"/>
      <c r="H208" s="4"/>
      <c r="I208" s="4"/>
      <c r="J208" s="3"/>
      <c r="K208" s="3"/>
      <c r="L208" s="3"/>
      <c r="M208" s="3"/>
      <c r="N208" s="3"/>
    </row>
    <row r="209" spans="1:14" hidden="1">
      <c r="A209" s="3" t="s">
        <v>14</v>
      </c>
      <c r="B209" s="3"/>
      <c r="C209" s="3"/>
      <c r="D209" s="3"/>
      <c r="E209" s="3"/>
      <c r="F209" s="4">
        <f>F207-F208</f>
        <v>-2475.0184999999983</v>
      </c>
      <c r="G209" s="4"/>
      <c r="H209" s="4"/>
      <c r="I209" s="4"/>
      <c r="J209" s="3"/>
      <c r="K209" s="3"/>
      <c r="L209" s="3"/>
      <c r="M209" s="3"/>
      <c r="N209" s="3"/>
    </row>
    <row r="210" spans="1:14" hidden="1"/>
    <row r="211" spans="1:14" hidden="1">
      <c r="A211" s="15">
        <v>43891</v>
      </c>
    </row>
    <row r="212" spans="1:14" hidden="1">
      <c r="A212" s="2" t="s">
        <v>1</v>
      </c>
      <c r="B212" s="2" t="s">
        <v>2</v>
      </c>
      <c r="C212" s="2" t="s">
        <v>3</v>
      </c>
      <c r="D212" s="2" t="s">
        <v>4</v>
      </c>
      <c r="E212" s="2" t="s">
        <v>5</v>
      </c>
      <c r="F212" s="2" t="s">
        <v>6</v>
      </c>
      <c r="G212" s="2" t="s">
        <v>7</v>
      </c>
      <c r="H212" s="2" t="s">
        <v>8</v>
      </c>
      <c r="I212" s="2" t="s">
        <v>9</v>
      </c>
      <c r="J212" s="2" t="s">
        <v>15</v>
      </c>
      <c r="K212" s="2" t="s">
        <v>16</v>
      </c>
      <c r="L212" s="2" t="s">
        <v>17</v>
      </c>
      <c r="M212" s="2" t="s">
        <v>18</v>
      </c>
      <c r="N212" s="2" t="s">
        <v>19</v>
      </c>
    </row>
    <row r="213" spans="1:14" hidden="1">
      <c r="A213" s="3" t="s">
        <v>10</v>
      </c>
      <c r="B213" s="3">
        <f>C205</f>
        <v>1385656</v>
      </c>
      <c r="C213" s="3">
        <v>1398947</v>
      </c>
      <c r="D213" s="3">
        <f>C213-B213</f>
        <v>13291</v>
      </c>
      <c r="E213" s="3">
        <f>2279.55*1.15</f>
        <v>2621.4825000000001</v>
      </c>
      <c r="F213" s="4">
        <f>16127.16*1.15</f>
        <v>18546.233999999997</v>
      </c>
      <c r="G213" s="4"/>
      <c r="H213" s="4"/>
      <c r="I213" s="4"/>
      <c r="J213" s="3" t="s">
        <v>20</v>
      </c>
      <c r="K213" s="3" t="s">
        <v>49</v>
      </c>
      <c r="L213" s="3">
        <v>28</v>
      </c>
      <c r="M213" s="3">
        <f>D213/L213</f>
        <v>474.67857142857144</v>
      </c>
      <c r="N213" s="7">
        <f>F216/D213</f>
        <v>1.6996205703107365</v>
      </c>
    </row>
    <row r="214" spans="1:14" hidden="1">
      <c r="A214" s="3" t="s">
        <v>11</v>
      </c>
      <c r="B214" s="3">
        <f>C206</f>
        <v>1384547</v>
      </c>
      <c r="C214" s="3">
        <v>1398675</v>
      </c>
      <c r="D214" s="3">
        <f>C214-B214</f>
        <v>14128</v>
      </c>
      <c r="E214" s="3"/>
      <c r="F214" s="4">
        <f>18942.82*1.15</f>
        <v>21784.242999999999</v>
      </c>
      <c r="G214" s="4"/>
      <c r="H214" s="4">
        <f>139.09*1.15</f>
        <v>159.95349999999999</v>
      </c>
      <c r="I214" s="4">
        <f>561.27*1.15</f>
        <v>645.46049999999991</v>
      </c>
      <c r="J214" s="3" t="s">
        <v>20</v>
      </c>
      <c r="K214" s="3" t="s">
        <v>50</v>
      </c>
      <c r="L214" s="3">
        <v>31</v>
      </c>
      <c r="M214" s="3">
        <f>D214/L214</f>
        <v>455.74193548387098</v>
      </c>
      <c r="N214" s="7">
        <f>F214/D214</f>
        <v>1.5419198046432616</v>
      </c>
    </row>
    <row r="215" spans="1:14" hidden="1">
      <c r="A215" s="3" t="s">
        <v>12</v>
      </c>
      <c r="B215" s="3"/>
      <c r="C215" s="3"/>
      <c r="D215" s="3"/>
      <c r="E215" s="3"/>
      <c r="F215" s="4">
        <f>F213+E213</f>
        <v>21167.716499999995</v>
      </c>
      <c r="G215" s="4"/>
      <c r="H215" s="4"/>
      <c r="I215" s="4"/>
      <c r="J215" s="3"/>
      <c r="K215" s="3"/>
      <c r="L215" s="3"/>
      <c r="M215" s="3"/>
      <c r="N215" s="3"/>
    </row>
    <row r="216" spans="1:14" hidden="1">
      <c r="A216" s="3" t="s">
        <v>13</v>
      </c>
      <c r="B216" s="3"/>
      <c r="C216" s="3"/>
      <c r="D216" s="3"/>
      <c r="E216" s="3"/>
      <c r="F216" s="4">
        <f>F214+H214+I214</f>
        <v>22589.656999999999</v>
      </c>
      <c r="G216" s="4"/>
      <c r="H216" s="4"/>
      <c r="I216" s="4"/>
      <c r="J216" s="3"/>
      <c r="K216" s="3"/>
      <c r="L216" s="3"/>
      <c r="M216" s="3"/>
      <c r="N216" s="3"/>
    </row>
    <row r="217" spans="1:14" hidden="1">
      <c r="A217" s="3" t="s">
        <v>14</v>
      </c>
      <c r="B217" s="3"/>
      <c r="C217" s="3"/>
      <c r="D217" s="3"/>
      <c r="E217" s="3"/>
      <c r="F217" s="4">
        <f>F215-F216</f>
        <v>-1421.9405000000042</v>
      </c>
      <c r="G217" s="4"/>
      <c r="H217" s="4"/>
      <c r="I217" s="4"/>
      <c r="J217" s="3"/>
      <c r="K217" s="3"/>
      <c r="L217" s="3"/>
      <c r="M217" s="3"/>
      <c r="N217" s="3"/>
    </row>
    <row r="218" spans="1:14" hidden="1"/>
    <row r="219" spans="1:14" hidden="1">
      <c r="A219" s="15">
        <v>43922</v>
      </c>
    </row>
    <row r="220" spans="1:14" hidden="1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5</v>
      </c>
      <c r="F220" s="2" t="s">
        <v>6</v>
      </c>
      <c r="G220" s="2" t="s">
        <v>7</v>
      </c>
      <c r="H220" s="2" t="s">
        <v>8</v>
      </c>
      <c r="I220" s="2" t="s">
        <v>9</v>
      </c>
      <c r="J220" s="2" t="s">
        <v>15</v>
      </c>
      <c r="K220" s="2" t="s">
        <v>16</v>
      </c>
      <c r="L220" s="2" t="s">
        <v>17</v>
      </c>
      <c r="M220" s="2" t="s">
        <v>18</v>
      </c>
      <c r="N220" s="2" t="s">
        <v>19</v>
      </c>
    </row>
    <row r="221" spans="1:14" hidden="1">
      <c r="A221" s="3" t="s">
        <v>10</v>
      </c>
      <c r="B221" s="3">
        <f>C213</f>
        <v>1398947</v>
      </c>
      <c r="C221" s="3">
        <f>1398947+13509</f>
        <v>1412456</v>
      </c>
      <c r="D221" s="3">
        <f>C221-B221</f>
        <v>13509</v>
      </c>
      <c r="E221" s="3">
        <f>2678.4*1.15</f>
        <v>3080.16</v>
      </c>
      <c r="F221" s="4">
        <f>16030.22*1.15</f>
        <v>18434.752999999997</v>
      </c>
      <c r="G221" s="4"/>
      <c r="H221" s="4"/>
      <c r="I221" s="4"/>
      <c r="J221" s="3" t="s">
        <v>51</v>
      </c>
      <c r="K221" s="3" t="s">
        <v>52</v>
      </c>
      <c r="L221" s="3">
        <v>34</v>
      </c>
      <c r="M221" s="3">
        <f>D221/L221</f>
        <v>397.3235294117647</v>
      </c>
      <c r="N221" s="7">
        <f>F224/D221</f>
        <v>2.0671184025464506</v>
      </c>
    </row>
    <row r="222" spans="1:14" hidden="1">
      <c r="A222" s="3" t="s">
        <v>11</v>
      </c>
      <c r="B222" s="3">
        <f>C214</f>
        <v>1398675</v>
      </c>
      <c r="C222" s="3">
        <v>1416263</v>
      </c>
      <c r="D222" s="3">
        <f>C222-B222</f>
        <v>17588</v>
      </c>
      <c r="E222" s="3"/>
      <c r="F222" s="4">
        <f>23581.99*1.15</f>
        <v>27119.288499999999</v>
      </c>
      <c r="G222" s="4"/>
      <c r="H222" s="4">
        <f>139.09*1.15</f>
        <v>159.95349999999999</v>
      </c>
      <c r="I222" s="4">
        <f>561.27*1.15</f>
        <v>645.46049999999991</v>
      </c>
      <c r="J222" s="3" t="s">
        <v>20</v>
      </c>
      <c r="K222" s="3" t="s">
        <v>53</v>
      </c>
      <c r="L222" s="3">
        <v>30</v>
      </c>
      <c r="M222" s="3">
        <f>D222/L222</f>
        <v>586.26666666666665</v>
      </c>
      <c r="N222" s="7">
        <f>F222/D222</f>
        <v>1.5419199738458038</v>
      </c>
    </row>
    <row r="223" spans="1:14" hidden="1">
      <c r="A223" s="3" t="s">
        <v>12</v>
      </c>
      <c r="B223" s="3"/>
      <c r="C223" s="3"/>
      <c r="D223" s="3"/>
      <c r="E223" s="3"/>
      <c r="F223" s="4">
        <f>F221+E221</f>
        <v>21514.912999999997</v>
      </c>
      <c r="G223" s="4"/>
      <c r="H223" s="4"/>
      <c r="I223" s="4"/>
      <c r="J223" s="3"/>
      <c r="K223" s="3"/>
      <c r="L223" s="3"/>
      <c r="M223" s="3"/>
      <c r="N223" s="3"/>
    </row>
    <row r="224" spans="1:14" hidden="1">
      <c r="A224" s="3" t="s">
        <v>13</v>
      </c>
      <c r="B224" s="3"/>
      <c r="C224" s="3"/>
      <c r="D224" s="3"/>
      <c r="E224" s="3"/>
      <c r="F224" s="4">
        <f>F222+H222+I222</f>
        <v>27924.702499999999</v>
      </c>
      <c r="G224" s="4"/>
      <c r="H224" s="4"/>
      <c r="I224" s="4"/>
      <c r="J224" s="3"/>
      <c r="K224" s="3"/>
      <c r="L224" s="3"/>
      <c r="M224" s="3"/>
      <c r="N224" s="3"/>
    </row>
    <row r="225" spans="1:14" hidden="1">
      <c r="A225" s="3" t="s">
        <v>14</v>
      </c>
      <c r="B225" s="3"/>
      <c r="C225" s="3"/>
      <c r="D225" s="3"/>
      <c r="E225" s="3"/>
      <c r="F225" s="4">
        <f>F223-F224</f>
        <v>-6409.7895000000026</v>
      </c>
      <c r="G225" s="4"/>
      <c r="H225" s="4"/>
      <c r="I225" s="4"/>
      <c r="J225" s="3"/>
      <c r="K225" s="3"/>
      <c r="L225" s="3"/>
      <c r="M225" s="3"/>
      <c r="N225" s="3"/>
    </row>
    <row r="226" spans="1:14" hidden="1"/>
    <row r="227" spans="1:14" hidden="1">
      <c r="A227" s="15">
        <v>43952</v>
      </c>
    </row>
    <row r="228" spans="1:14" hidden="1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5</v>
      </c>
      <c r="F228" s="2" t="s">
        <v>6</v>
      </c>
      <c r="G228" s="2" t="s">
        <v>7</v>
      </c>
      <c r="H228" s="2" t="s">
        <v>8</v>
      </c>
      <c r="I228" s="2" t="s">
        <v>9</v>
      </c>
      <c r="J228" s="2" t="s">
        <v>15</v>
      </c>
      <c r="K228" s="2" t="s">
        <v>16</v>
      </c>
      <c r="L228" s="2" t="s">
        <v>17</v>
      </c>
      <c r="M228" s="2" t="s">
        <v>18</v>
      </c>
      <c r="N228" s="2" t="s">
        <v>19</v>
      </c>
    </row>
    <row r="229" spans="1:14" hidden="1">
      <c r="A229" s="3" t="s">
        <v>10</v>
      </c>
      <c r="B229" s="3">
        <f>C221</f>
        <v>1412456</v>
      </c>
      <c r="C229" s="3">
        <v>1425965</v>
      </c>
      <c r="D229" s="3">
        <f>C229-B229</f>
        <v>13509</v>
      </c>
      <c r="E229" s="3">
        <f>2678.4*1.15</f>
        <v>3080.16</v>
      </c>
      <c r="F229" s="4">
        <f>16030.22*1.15</f>
        <v>18434.752999999997</v>
      </c>
      <c r="G229" s="4"/>
      <c r="H229" s="4"/>
      <c r="I229" s="4"/>
      <c r="J229" s="3" t="s">
        <v>51</v>
      </c>
      <c r="K229" s="3" t="s">
        <v>54</v>
      </c>
      <c r="L229" s="3">
        <v>29</v>
      </c>
      <c r="M229" s="3">
        <f>D229/L229</f>
        <v>465.82758620689657</v>
      </c>
      <c r="N229" s="7">
        <f>F232/D229</f>
        <v>2.0932562365830187</v>
      </c>
    </row>
    <row r="230" spans="1:14" hidden="1">
      <c r="A230" s="3" t="s">
        <v>11</v>
      </c>
      <c r="B230" s="3">
        <f>C222</f>
        <v>1416263</v>
      </c>
      <c r="C230" s="3">
        <v>1434080</v>
      </c>
      <c r="D230" s="3">
        <f>C230-B230</f>
        <v>17817</v>
      </c>
      <c r="E230" s="3"/>
      <c r="F230" s="4">
        <f>23889.03*1.15</f>
        <v>27472.384499999996</v>
      </c>
      <c r="G230" s="4"/>
      <c r="H230" s="4">
        <f>139.09*1.15</f>
        <v>159.95349999999999</v>
      </c>
      <c r="I230" s="4">
        <f>561.27*1.15</f>
        <v>645.46049999999991</v>
      </c>
      <c r="J230" s="3" t="s">
        <v>20</v>
      </c>
      <c r="K230" s="3" t="s">
        <v>55</v>
      </c>
      <c r="L230" s="3">
        <v>31</v>
      </c>
      <c r="M230" s="3">
        <f>D230/L230</f>
        <v>574.74193548387098</v>
      </c>
      <c r="N230" s="7">
        <f>F230/D230</f>
        <v>1.5419197676376493</v>
      </c>
    </row>
    <row r="231" spans="1:14" hidden="1">
      <c r="A231" s="3" t="s">
        <v>12</v>
      </c>
      <c r="B231" s="3"/>
      <c r="C231" s="3"/>
      <c r="D231" s="3"/>
      <c r="E231" s="3"/>
      <c r="F231" s="4">
        <f>F229+E229</f>
        <v>21514.912999999997</v>
      </c>
      <c r="G231" s="4"/>
      <c r="H231" s="4"/>
      <c r="I231" s="4"/>
      <c r="J231" s="3"/>
      <c r="K231" s="3"/>
      <c r="L231" s="3"/>
      <c r="M231" s="3"/>
      <c r="N231" s="3"/>
    </row>
    <row r="232" spans="1:14" hidden="1">
      <c r="A232" s="3" t="s">
        <v>13</v>
      </c>
      <c r="B232" s="3"/>
      <c r="C232" s="3"/>
      <c r="D232" s="3"/>
      <c r="E232" s="3"/>
      <c r="F232" s="4">
        <f>F230+H230+I230</f>
        <v>28277.798499999997</v>
      </c>
      <c r="G232" s="4"/>
      <c r="H232" s="4"/>
      <c r="I232" s="4"/>
      <c r="J232" s="3"/>
      <c r="K232" s="3"/>
      <c r="L232" s="3"/>
      <c r="M232" s="3"/>
      <c r="N232" s="3"/>
    </row>
    <row r="233" spans="1:14" hidden="1">
      <c r="A233" s="3" t="s">
        <v>14</v>
      </c>
      <c r="B233" s="3"/>
      <c r="C233" s="3"/>
      <c r="D233" s="3"/>
      <c r="E233" s="3"/>
      <c r="F233" s="4">
        <f>F231-F232</f>
        <v>-6762.8855000000003</v>
      </c>
      <c r="G233" s="4"/>
      <c r="H233" s="4"/>
      <c r="I233" s="4"/>
      <c r="J233" s="3"/>
      <c r="K233" s="3"/>
      <c r="L233" s="3"/>
      <c r="M233" s="3"/>
      <c r="N233" s="3"/>
    </row>
    <row r="234" spans="1:14" hidden="1"/>
    <row r="235" spans="1:14" hidden="1">
      <c r="A235" s="15">
        <v>43983</v>
      </c>
    </row>
    <row r="236" spans="1:14" hidden="1">
      <c r="A236" s="2" t="s">
        <v>1</v>
      </c>
      <c r="B236" s="2" t="s">
        <v>2</v>
      </c>
      <c r="C236" s="2" t="s">
        <v>3</v>
      </c>
      <c r="D236" s="2" t="s">
        <v>4</v>
      </c>
      <c r="E236" s="2" t="s">
        <v>5</v>
      </c>
      <c r="F236" s="2" t="s">
        <v>6</v>
      </c>
      <c r="G236" s="2" t="s">
        <v>7</v>
      </c>
      <c r="H236" s="2" t="s">
        <v>8</v>
      </c>
      <c r="I236" s="2" t="s">
        <v>9</v>
      </c>
      <c r="J236" s="2" t="s">
        <v>15</v>
      </c>
      <c r="K236" s="2" t="s">
        <v>16</v>
      </c>
      <c r="L236" s="2" t="s">
        <v>17</v>
      </c>
      <c r="M236" s="2" t="s">
        <v>18</v>
      </c>
      <c r="N236" s="2" t="s">
        <v>19</v>
      </c>
    </row>
    <row r="237" spans="1:14" hidden="1">
      <c r="A237" s="3" t="s">
        <v>10</v>
      </c>
      <c r="B237" s="3">
        <v>1398947</v>
      </c>
      <c r="C237" s="3">
        <v>1462010</v>
      </c>
      <c r="D237" s="3">
        <f>C237-B237</f>
        <v>63063</v>
      </c>
      <c r="E237" s="3"/>
      <c r="F237" s="4">
        <v>57406.489999999983</v>
      </c>
      <c r="G237" s="4"/>
      <c r="H237" s="4"/>
      <c r="I237" s="4"/>
      <c r="J237" s="3" t="s">
        <v>20</v>
      </c>
      <c r="K237" s="3" t="s">
        <v>56</v>
      </c>
      <c r="L237" s="3">
        <v>95</v>
      </c>
      <c r="M237" s="3">
        <f>D237/L237</f>
        <v>663.82105263157894</v>
      </c>
      <c r="N237" s="7">
        <f>F240/D237</f>
        <v>0.56524187717044849</v>
      </c>
    </row>
    <row r="238" spans="1:14" hidden="1">
      <c r="A238" s="3" t="s">
        <v>11</v>
      </c>
      <c r="B238" s="3">
        <f>C230</f>
        <v>1434080</v>
      </c>
      <c r="C238" s="3">
        <v>1456643</v>
      </c>
      <c r="D238" s="3">
        <f>C238-B238</f>
        <v>22563</v>
      </c>
      <c r="E238" s="3"/>
      <c r="F238" s="4">
        <f>30252.47*1.15</f>
        <v>34790.340499999998</v>
      </c>
      <c r="G238" s="4"/>
      <c r="H238" s="4">
        <f>147.74*1.15</f>
        <v>169.90100000000001</v>
      </c>
      <c r="I238" s="4">
        <f>596.18*1.15</f>
        <v>685.60699999999986</v>
      </c>
      <c r="J238" s="3" t="s">
        <v>20</v>
      </c>
      <c r="K238" s="3" t="s">
        <v>57</v>
      </c>
      <c r="L238" s="3">
        <v>30</v>
      </c>
      <c r="M238" s="3">
        <f>D238/L238</f>
        <v>752.1</v>
      </c>
      <c r="N238" s="7">
        <f>F238/D238</f>
        <v>1.5419199796126402</v>
      </c>
    </row>
    <row r="239" spans="1:14" hidden="1">
      <c r="A239" s="3" t="s">
        <v>12</v>
      </c>
      <c r="B239" s="3"/>
      <c r="C239" s="3"/>
      <c r="D239" s="3"/>
      <c r="E239" s="3"/>
      <c r="F239" s="4">
        <f>F237+E237</f>
        <v>57406.489999999983</v>
      </c>
      <c r="G239" s="4"/>
      <c r="H239" s="4"/>
      <c r="I239" s="4"/>
      <c r="J239" s="3"/>
      <c r="K239" s="3"/>
      <c r="L239" s="3"/>
      <c r="M239" s="3"/>
      <c r="N239" s="3"/>
    </row>
    <row r="240" spans="1:14" hidden="1">
      <c r="A240" s="3" t="s">
        <v>13</v>
      </c>
      <c r="B240" s="3"/>
      <c r="C240" s="3"/>
      <c r="D240" s="3"/>
      <c r="E240" s="3"/>
      <c r="F240" s="4">
        <f>F238+H238+I238</f>
        <v>35645.848499999993</v>
      </c>
      <c r="G240" s="4"/>
      <c r="H240" s="4"/>
      <c r="I240" s="4"/>
      <c r="J240" s="3"/>
      <c r="K240" s="3"/>
      <c r="L240" s="3"/>
      <c r="M240" s="3"/>
      <c r="N240" s="3"/>
    </row>
    <row r="241" spans="1:14" hidden="1">
      <c r="A241" s="3" t="s">
        <v>14</v>
      </c>
      <c r="B241" s="3"/>
      <c r="C241" s="3"/>
      <c r="D241" s="3"/>
      <c r="E241" s="3"/>
      <c r="F241" s="4">
        <f>F239-F240</f>
        <v>21760.641499999991</v>
      </c>
      <c r="G241" s="4"/>
      <c r="H241" s="4"/>
      <c r="I241" s="4"/>
      <c r="J241" s="3"/>
      <c r="K241" s="3"/>
      <c r="L241" s="3"/>
      <c r="M241" s="3"/>
      <c r="N241" s="3"/>
    </row>
    <row r="242" spans="1:14" hidden="1"/>
    <row r="243" spans="1:14" hidden="1">
      <c r="A243" s="15">
        <v>44013</v>
      </c>
    </row>
    <row r="244" spans="1:14" hidden="1">
      <c r="A244" s="2" t="s">
        <v>1</v>
      </c>
      <c r="B244" s="2" t="s">
        <v>2</v>
      </c>
      <c r="C244" s="2" t="s">
        <v>3</v>
      </c>
      <c r="D244" s="2" t="s">
        <v>4</v>
      </c>
      <c r="E244" s="2" t="s">
        <v>5</v>
      </c>
      <c r="F244" s="2" t="s">
        <v>6</v>
      </c>
      <c r="G244" s="2" t="s">
        <v>7</v>
      </c>
      <c r="H244" s="2" t="s">
        <v>8</v>
      </c>
      <c r="I244" s="2" t="s">
        <v>9</v>
      </c>
      <c r="J244" s="2" t="s">
        <v>15</v>
      </c>
      <c r="K244" s="2" t="s">
        <v>16</v>
      </c>
      <c r="L244" s="2" t="s">
        <v>17</v>
      </c>
      <c r="M244" s="2" t="s">
        <v>18</v>
      </c>
      <c r="N244" s="2" t="s">
        <v>19</v>
      </c>
    </row>
    <row r="245" spans="1:14" hidden="1">
      <c r="A245" s="3" t="s">
        <v>10</v>
      </c>
      <c r="B245" s="3">
        <f>C237</f>
        <v>1462010</v>
      </c>
      <c r="C245" s="3">
        <v>1488139</v>
      </c>
      <c r="D245" s="3">
        <f>C245-B245</f>
        <v>26129</v>
      </c>
      <c r="E245" s="3">
        <f>5140.23235999999*1.15</f>
        <v>5911.2672139999877</v>
      </c>
      <c r="F245" s="4">
        <f>32875.37232*1.15</f>
        <v>37806.678167999999</v>
      </c>
      <c r="G245" s="4"/>
      <c r="H245" s="4"/>
      <c r="I245" s="4"/>
      <c r="J245" s="3" t="s">
        <v>20</v>
      </c>
      <c r="K245" s="3" t="s">
        <v>58</v>
      </c>
      <c r="L245" s="3">
        <v>95</v>
      </c>
      <c r="M245" s="3">
        <f>D245/L245</f>
        <v>275.04210526315791</v>
      </c>
      <c r="N245" s="7">
        <f>F248/D245</f>
        <v>1.5502839756592288</v>
      </c>
    </row>
    <row r="246" spans="1:14" hidden="1">
      <c r="A246" s="3" t="s">
        <v>11</v>
      </c>
      <c r="B246" s="3">
        <f>C238</f>
        <v>1456643</v>
      </c>
      <c r="C246" s="3">
        <v>1480853</v>
      </c>
      <c r="D246" s="3">
        <f>C246-B246</f>
        <v>24210</v>
      </c>
      <c r="E246" s="3"/>
      <c r="F246" s="4">
        <f>34479.88*1.15</f>
        <v>39651.861999999994</v>
      </c>
      <c r="G246" s="4"/>
      <c r="H246" s="4">
        <f>147.74*1.15</f>
        <v>169.90100000000001</v>
      </c>
      <c r="I246" s="4">
        <f>596.18*1.15</f>
        <v>685.60699999999986</v>
      </c>
      <c r="J246" s="3" t="s">
        <v>20</v>
      </c>
      <c r="K246" s="3" t="s">
        <v>59</v>
      </c>
      <c r="L246" s="3">
        <v>31</v>
      </c>
      <c r="M246" s="3">
        <f>D246/L246</f>
        <v>780.9677419354839</v>
      </c>
      <c r="N246" s="7">
        <f>F246/D246</f>
        <v>1.6378299049979346</v>
      </c>
    </row>
    <row r="247" spans="1:14" hidden="1">
      <c r="A247" s="3" t="s">
        <v>12</v>
      </c>
      <c r="B247" s="3"/>
      <c r="C247" s="3"/>
      <c r="D247" s="3"/>
      <c r="E247" s="3"/>
      <c r="F247" s="4">
        <f>F245+E245</f>
        <v>43717.945381999984</v>
      </c>
      <c r="G247" s="4"/>
      <c r="H247" s="4"/>
      <c r="I247" s="4"/>
      <c r="J247" s="3"/>
      <c r="K247" s="3"/>
      <c r="L247" s="3"/>
      <c r="M247" s="3"/>
      <c r="N247" s="3"/>
    </row>
    <row r="248" spans="1:14" hidden="1">
      <c r="A248" s="3" t="s">
        <v>13</v>
      </c>
      <c r="B248" s="3"/>
      <c r="C248" s="3"/>
      <c r="D248" s="3"/>
      <c r="E248" s="3"/>
      <c r="F248" s="4">
        <f>F246+H246+I246</f>
        <v>40507.369999999988</v>
      </c>
      <c r="G248" s="4"/>
      <c r="H248" s="4"/>
      <c r="I248" s="4"/>
      <c r="J248" s="3"/>
      <c r="K248" s="3"/>
      <c r="L248" s="3"/>
      <c r="M248" s="3"/>
      <c r="N248" s="3"/>
    </row>
    <row r="249" spans="1:14" hidden="1">
      <c r="A249" s="3" t="s">
        <v>14</v>
      </c>
      <c r="B249" s="3"/>
      <c r="C249" s="3"/>
      <c r="D249" s="3"/>
      <c r="E249" s="3"/>
      <c r="F249" s="4">
        <f>F247-F248</f>
        <v>3210.5753819999954</v>
      </c>
      <c r="G249" s="4"/>
      <c r="H249" s="4"/>
      <c r="I249" s="4"/>
      <c r="J249" s="3"/>
      <c r="K249" s="3"/>
      <c r="L249" s="3"/>
      <c r="M249" s="3"/>
      <c r="N249" s="3"/>
    </row>
    <row r="250" spans="1:14" hidden="1"/>
    <row r="251" spans="1:14" hidden="1">
      <c r="A251" s="15">
        <v>44044</v>
      </c>
    </row>
    <row r="252" spans="1:14" hidden="1">
      <c r="A252" s="2" t="s">
        <v>1</v>
      </c>
      <c r="B252" s="2" t="s">
        <v>2</v>
      </c>
      <c r="C252" s="2" t="s">
        <v>3</v>
      </c>
      <c r="D252" s="2" t="s">
        <v>4</v>
      </c>
      <c r="E252" s="2" t="s">
        <v>5</v>
      </c>
      <c r="F252" s="2" t="s">
        <v>6</v>
      </c>
      <c r="G252" s="2" t="s">
        <v>7</v>
      </c>
      <c r="H252" s="2" t="s">
        <v>8</v>
      </c>
      <c r="I252" s="2" t="s">
        <v>9</v>
      </c>
      <c r="J252" s="2" t="s">
        <v>15</v>
      </c>
      <c r="K252" s="2" t="s">
        <v>16</v>
      </c>
      <c r="L252" s="2" t="s">
        <v>17</v>
      </c>
      <c r="M252" s="2" t="s">
        <v>18</v>
      </c>
      <c r="N252" s="2" t="s">
        <v>19</v>
      </c>
    </row>
    <row r="253" spans="1:14" hidden="1">
      <c r="A253" s="3" t="s">
        <v>10</v>
      </c>
      <c r="B253" s="3">
        <f>C245</f>
        <v>1488139</v>
      </c>
      <c r="C253" s="3">
        <v>1507905</v>
      </c>
      <c r="D253" s="3">
        <f>C253-B253</f>
        <v>19766</v>
      </c>
      <c r="E253" s="3">
        <f>3987.94*1.15</f>
        <v>4586.1309999999994</v>
      </c>
      <c r="F253" s="4">
        <f>24770.01*1.15</f>
        <v>28485.511499999997</v>
      </c>
      <c r="G253" s="4"/>
      <c r="H253" s="4"/>
      <c r="I253" s="4"/>
      <c r="J253" s="3" t="s">
        <v>20</v>
      </c>
      <c r="K253" s="3" t="s">
        <v>60</v>
      </c>
      <c r="L253" s="3">
        <v>28</v>
      </c>
      <c r="M253" s="3">
        <f>D253/L253</f>
        <v>705.92857142857144</v>
      </c>
      <c r="N253" s="7">
        <f>F256/D253</f>
        <v>1.9188401042193661</v>
      </c>
    </row>
    <row r="254" spans="1:14" hidden="1">
      <c r="A254" s="3" t="s">
        <v>11</v>
      </c>
      <c r="B254" s="3">
        <f>C246</f>
        <v>1480853</v>
      </c>
      <c r="C254" s="3">
        <v>1503488</v>
      </c>
      <c r="D254" s="3">
        <f>C254-B254</f>
        <v>22635</v>
      </c>
      <c r="E254" s="3"/>
      <c r="F254" s="4">
        <f>32236.77*1.15</f>
        <v>37072.285499999998</v>
      </c>
      <c r="G254" s="4"/>
      <c r="H254" s="4">
        <f>147.74*1.15</f>
        <v>169.90100000000001</v>
      </c>
      <c r="I254" s="4">
        <f>596.18*1.15</f>
        <v>685.60699999999986</v>
      </c>
      <c r="J254" s="3" t="s">
        <v>20</v>
      </c>
      <c r="K254" s="3" t="s">
        <v>61</v>
      </c>
      <c r="L254" s="3">
        <v>31</v>
      </c>
      <c r="M254" s="3">
        <f>D254/L254</f>
        <v>730.16129032258061</v>
      </c>
      <c r="N254" s="7">
        <f>F254/D254</f>
        <v>1.6378301524188204</v>
      </c>
    </row>
    <row r="255" spans="1:14" hidden="1">
      <c r="A255" s="3" t="s">
        <v>12</v>
      </c>
      <c r="B255" s="3"/>
      <c r="C255" s="3"/>
      <c r="D255" s="3"/>
      <c r="E255" s="3"/>
      <c r="F255" s="4">
        <f>F253+E253</f>
        <v>33071.642499999994</v>
      </c>
      <c r="G255" s="4"/>
      <c r="H255" s="4"/>
      <c r="I255" s="4"/>
      <c r="J255" s="3"/>
      <c r="K255" s="3"/>
      <c r="L255" s="3"/>
      <c r="M255" s="3"/>
      <c r="N255" s="3"/>
    </row>
    <row r="256" spans="1:14" hidden="1">
      <c r="A256" s="3" t="s">
        <v>13</v>
      </c>
      <c r="B256" s="3"/>
      <c r="C256" s="3"/>
      <c r="D256" s="3"/>
      <c r="E256" s="3"/>
      <c r="F256" s="4">
        <f>F254+H254+I254</f>
        <v>37927.793499999992</v>
      </c>
      <c r="G256" s="4"/>
      <c r="H256" s="4"/>
      <c r="I256" s="4"/>
      <c r="J256" s="3"/>
      <c r="K256" s="3"/>
      <c r="L256" s="3"/>
      <c r="M256" s="3"/>
      <c r="N256" s="3"/>
    </row>
    <row r="257" spans="1:14" hidden="1">
      <c r="A257" s="3" t="s">
        <v>14</v>
      </c>
      <c r="B257" s="3"/>
      <c r="C257" s="3"/>
      <c r="D257" s="3"/>
      <c r="E257" s="3"/>
      <c r="F257" s="4">
        <f>F255-F256</f>
        <v>-4856.150999999998</v>
      </c>
      <c r="G257" s="4"/>
      <c r="H257" s="4"/>
      <c r="I257" s="4"/>
      <c r="J257" s="3"/>
      <c r="K257" s="3"/>
      <c r="L257" s="3"/>
      <c r="M257" s="3"/>
      <c r="N257" s="3"/>
    </row>
    <row r="258" spans="1:14" hidden="1"/>
    <row r="259" spans="1:14" hidden="1">
      <c r="A259" s="15">
        <v>44075</v>
      </c>
    </row>
    <row r="260" spans="1:14" hidden="1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5</v>
      </c>
      <c r="F260" s="2" t="s">
        <v>6</v>
      </c>
      <c r="G260" s="2" t="s">
        <v>7</v>
      </c>
      <c r="H260" s="2" t="s">
        <v>8</v>
      </c>
      <c r="I260" s="2" t="s">
        <v>9</v>
      </c>
      <c r="J260" s="2" t="s">
        <v>15</v>
      </c>
      <c r="K260" s="2" t="s">
        <v>16</v>
      </c>
      <c r="L260" s="2" t="s">
        <v>17</v>
      </c>
      <c r="M260" s="2" t="s">
        <v>18</v>
      </c>
      <c r="N260" s="2" t="s">
        <v>19</v>
      </c>
    </row>
    <row r="261" spans="1:14" hidden="1">
      <c r="A261" s="3" t="s">
        <v>10</v>
      </c>
      <c r="B261" s="3">
        <f>C253</f>
        <v>1507905</v>
      </c>
      <c r="C261" s="3">
        <v>1524973</v>
      </c>
      <c r="D261" s="3">
        <f>C261-B261</f>
        <v>17068</v>
      </c>
      <c r="E261" s="3">
        <f>3621.3*0.15</f>
        <v>543.19500000000005</v>
      </c>
      <c r="F261" s="4">
        <f>21211.28*1.15</f>
        <v>24392.971999999998</v>
      </c>
      <c r="G261" s="4"/>
      <c r="H261" s="4"/>
      <c r="I261" s="4"/>
      <c r="J261" s="3" t="s">
        <v>20</v>
      </c>
      <c r="K261" s="3" t="s">
        <v>62</v>
      </c>
      <c r="L261" s="3">
        <v>30</v>
      </c>
      <c r="M261" s="3">
        <f>D261/L261</f>
        <v>568.93333333333328</v>
      </c>
      <c r="N261" s="7">
        <f>F264/D261</f>
        <v>1.8386093273962973</v>
      </c>
    </row>
    <row r="262" spans="1:14" hidden="1">
      <c r="A262" s="3" t="s">
        <v>11</v>
      </c>
      <c r="B262" s="3">
        <f>C254</f>
        <v>1503488</v>
      </c>
      <c r="C262" s="3">
        <v>1522126</v>
      </c>
      <c r="D262" s="3">
        <f>C262-B262</f>
        <v>18638</v>
      </c>
      <c r="E262" s="3"/>
      <c r="F262" s="4">
        <f>26544.24*1.15</f>
        <v>30525.876</v>
      </c>
      <c r="G262" s="4"/>
      <c r="H262" s="4">
        <f>147.74*1.15</f>
        <v>169.90100000000001</v>
      </c>
      <c r="I262" s="4">
        <f>596.18*1.15</f>
        <v>685.60699999999986</v>
      </c>
      <c r="J262" s="3" t="s">
        <v>20</v>
      </c>
      <c r="K262" s="3" t="s">
        <v>63</v>
      </c>
      <c r="L262" s="3">
        <v>30</v>
      </c>
      <c r="M262" s="3">
        <f>D262/L262</f>
        <v>621.26666666666665</v>
      </c>
      <c r="N262" s="7">
        <f>F262/D262</f>
        <v>1.6378300246807598</v>
      </c>
    </row>
    <row r="263" spans="1:14" hidden="1">
      <c r="A263" s="3" t="s">
        <v>12</v>
      </c>
      <c r="B263" s="3"/>
      <c r="C263" s="3"/>
      <c r="D263" s="3"/>
      <c r="E263" s="3"/>
      <c r="F263" s="4">
        <f>F261+E261</f>
        <v>24936.166999999998</v>
      </c>
      <c r="G263" s="4"/>
      <c r="H263" s="4"/>
      <c r="I263" s="4"/>
      <c r="J263" s="3"/>
      <c r="K263" s="3"/>
      <c r="L263" s="3"/>
      <c r="M263" s="3"/>
      <c r="N263" s="3"/>
    </row>
    <row r="264" spans="1:14" hidden="1">
      <c r="A264" s="3" t="s">
        <v>13</v>
      </c>
      <c r="B264" s="3"/>
      <c r="C264" s="3"/>
      <c r="D264" s="3"/>
      <c r="E264" s="3"/>
      <c r="F264" s="4">
        <f>F262+H262+I262</f>
        <v>31381.384000000002</v>
      </c>
      <c r="G264" s="4"/>
      <c r="H264" s="4"/>
      <c r="I264" s="4"/>
      <c r="J264" s="3"/>
      <c r="K264" s="3"/>
      <c r="L264" s="3"/>
      <c r="M264" s="3"/>
      <c r="N264" s="3"/>
    </row>
    <row r="265" spans="1:14" hidden="1">
      <c r="A265" s="3" t="s">
        <v>14</v>
      </c>
      <c r="B265" s="3"/>
      <c r="C265" s="3"/>
      <c r="D265" s="3"/>
      <c r="E265" s="3"/>
      <c r="F265" s="4">
        <f>F263-F264</f>
        <v>-6445.2170000000042</v>
      </c>
      <c r="G265" s="4"/>
      <c r="H265" s="4"/>
      <c r="I265" s="4"/>
      <c r="J265" s="3"/>
      <c r="K265" s="3"/>
      <c r="L265" s="3"/>
      <c r="M265" s="3"/>
      <c r="N265" s="3"/>
    </row>
    <row r="266" spans="1:14" hidden="1"/>
    <row r="267" spans="1:14" hidden="1">
      <c r="A267" s="15">
        <v>44105</v>
      </c>
    </row>
    <row r="268" spans="1:14" hidden="1">
      <c r="A268" s="2" t="s">
        <v>1</v>
      </c>
      <c r="B268" s="2" t="s">
        <v>2</v>
      </c>
      <c r="C268" s="2" t="s">
        <v>3</v>
      </c>
      <c r="D268" s="2" t="s">
        <v>4</v>
      </c>
      <c r="E268" s="2" t="s">
        <v>5</v>
      </c>
      <c r="F268" s="2" t="s">
        <v>6</v>
      </c>
      <c r="G268" s="2" t="s">
        <v>7</v>
      </c>
      <c r="H268" s="2" t="s">
        <v>8</v>
      </c>
      <c r="I268" s="2" t="s">
        <v>9</v>
      </c>
      <c r="J268" s="2" t="s">
        <v>15</v>
      </c>
      <c r="K268" s="2" t="s">
        <v>16</v>
      </c>
      <c r="L268" s="2" t="s">
        <v>17</v>
      </c>
      <c r="M268" s="2" t="s">
        <v>18</v>
      </c>
      <c r="N268" s="2" t="s">
        <v>19</v>
      </c>
    </row>
    <row r="269" spans="1:14" hidden="1">
      <c r="A269" s="3" t="s">
        <v>10</v>
      </c>
      <c r="B269" s="3">
        <f>C261</f>
        <v>1524973</v>
      </c>
      <c r="C269" s="3">
        <v>1540473</v>
      </c>
      <c r="D269" s="3">
        <f>C269-B269</f>
        <v>15500</v>
      </c>
      <c r="E269" s="3">
        <f>3238.65*1.15</f>
        <v>3724.4474999999998</v>
      </c>
      <c r="F269" s="4">
        <f>19312.61*1.15</f>
        <v>22209.501499999998</v>
      </c>
      <c r="G269" s="4"/>
      <c r="H269" s="4"/>
      <c r="I269" s="4"/>
      <c r="J269" s="3" t="s">
        <v>20</v>
      </c>
      <c r="K269" s="3" t="s">
        <v>64</v>
      </c>
      <c r="L269" s="3">
        <v>30</v>
      </c>
      <c r="M269" s="3">
        <f>D269/L269</f>
        <v>516.66666666666663</v>
      </c>
      <c r="N269" s="7">
        <f>F272/D269</f>
        <v>1.7260973225806451</v>
      </c>
    </row>
    <row r="270" spans="1:14" hidden="1">
      <c r="A270" s="3" t="s">
        <v>11</v>
      </c>
      <c r="B270" s="3">
        <f>C262</f>
        <v>1522126</v>
      </c>
      <c r="C270" s="3">
        <v>1537939</v>
      </c>
      <c r="D270" s="3">
        <f>C270-B270</f>
        <v>15813</v>
      </c>
      <c r="E270" s="3"/>
      <c r="F270" s="4">
        <f>22520.87*1.15</f>
        <v>25899.000499999998</v>
      </c>
      <c r="G270" s="4"/>
      <c r="H270" s="4">
        <f>147.74*1.15</f>
        <v>169.90100000000001</v>
      </c>
      <c r="I270" s="4">
        <f>596.18*1.15</f>
        <v>685.60699999999986</v>
      </c>
      <c r="J270" s="3" t="s">
        <v>20</v>
      </c>
      <c r="K270" s="3" t="s">
        <v>65</v>
      </c>
      <c r="L270" s="3">
        <v>31</v>
      </c>
      <c r="M270" s="3">
        <f>D270/L270</f>
        <v>510.09677419354841</v>
      </c>
      <c r="N270" s="7">
        <f>F270/D270</f>
        <v>1.6378296654651234</v>
      </c>
    </row>
    <row r="271" spans="1:14" hidden="1">
      <c r="A271" s="3" t="s">
        <v>12</v>
      </c>
      <c r="B271" s="3"/>
      <c r="C271" s="3"/>
      <c r="D271" s="3"/>
      <c r="E271" s="3"/>
      <c r="F271" s="4">
        <f>F269+E269</f>
        <v>25933.948999999997</v>
      </c>
      <c r="G271" s="4"/>
      <c r="H271" s="4"/>
      <c r="I271" s="4"/>
      <c r="J271" s="3"/>
      <c r="K271" s="3"/>
      <c r="L271" s="3"/>
      <c r="M271" s="3"/>
      <c r="N271" s="3"/>
    </row>
    <row r="272" spans="1:14" hidden="1">
      <c r="A272" s="3" t="s">
        <v>13</v>
      </c>
      <c r="B272" s="3"/>
      <c r="C272" s="3"/>
      <c r="D272" s="3"/>
      <c r="E272" s="3"/>
      <c r="F272" s="4">
        <f>F270+H270+I270</f>
        <v>26754.5085</v>
      </c>
      <c r="G272" s="4"/>
      <c r="H272" s="4"/>
      <c r="I272" s="4"/>
      <c r="J272" s="3"/>
      <c r="K272" s="3"/>
      <c r="L272" s="3"/>
      <c r="M272" s="3"/>
      <c r="N272" s="3"/>
    </row>
    <row r="273" spans="1:14" hidden="1">
      <c r="A273" s="3" t="s">
        <v>14</v>
      </c>
      <c r="B273" s="3"/>
      <c r="C273" s="3"/>
      <c r="D273" s="3"/>
      <c r="E273" s="3"/>
      <c r="F273" s="4">
        <f>F271-F272</f>
        <v>-820.55950000000303</v>
      </c>
      <c r="G273" s="4"/>
      <c r="H273" s="4"/>
      <c r="I273" s="4"/>
      <c r="J273" s="3"/>
      <c r="K273" s="3"/>
      <c r="L273" s="3"/>
      <c r="M273" s="3"/>
      <c r="N273" s="3"/>
    </row>
    <row r="274" spans="1:14" hidden="1"/>
    <row r="275" spans="1:14" hidden="1">
      <c r="A275" s="15">
        <v>44136</v>
      </c>
    </row>
    <row r="276" spans="1:14" hidden="1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5</v>
      </c>
      <c r="F276" s="2" t="s">
        <v>6</v>
      </c>
      <c r="G276" s="2" t="s">
        <v>7</v>
      </c>
      <c r="H276" s="2" t="s">
        <v>8</v>
      </c>
      <c r="I276" s="2" t="s">
        <v>9</v>
      </c>
      <c r="J276" s="2" t="s">
        <v>15</v>
      </c>
      <c r="K276" s="2" t="s">
        <v>16</v>
      </c>
      <c r="L276" s="2" t="s">
        <v>17</v>
      </c>
      <c r="M276" s="2" t="s">
        <v>18</v>
      </c>
      <c r="N276" s="2" t="s">
        <v>19</v>
      </c>
    </row>
    <row r="277" spans="1:14" hidden="1">
      <c r="A277" s="3" t="s">
        <v>10</v>
      </c>
      <c r="B277" s="3">
        <f>C269</f>
        <v>1540473</v>
      </c>
      <c r="C277" s="3">
        <v>1557126</v>
      </c>
      <c r="D277" s="3">
        <f>C277-B277</f>
        <v>16653</v>
      </c>
      <c r="E277" s="3">
        <v>2370.8629999999998</v>
      </c>
      <c r="F277" s="4">
        <f>22167.16112*1.15</f>
        <v>25492.235288</v>
      </c>
      <c r="G277" s="4"/>
      <c r="H277" s="4"/>
      <c r="I277" s="4"/>
      <c r="J277" s="3" t="s">
        <v>20</v>
      </c>
      <c r="K277" s="3" t="s">
        <v>66</v>
      </c>
      <c r="L277" s="3">
        <v>33</v>
      </c>
      <c r="M277" s="3">
        <f>D277/L277</f>
        <v>504.63636363636363</v>
      </c>
      <c r="N277" s="7">
        <f>F280/D277</f>
        <v>1.5639040112892573</v>
      </c>
    </row>
    <row r="278" spans="1:14" hidden="1">
      <c r="A278" s="3" t="s">
        <v>11</v>
      </c>
      <c r="B278" s="3">
        <f>C270</f>
        <v>1537939</v>
      </c>
      <c r="C278" s="3">
        <v>1553318</v>
      </c>
      <c r="D278" s="3">
        <f>C278-B278</f>
        <v>15379</v>
      </c>
      <c r="E278" s="3"/>
      <c r="F278" s="4">
        <f>21902.77*1.15</f>
        <v>25188.1855</v>
      </c>
      <c r="G278" s="4"/>
      <c r="H278" s="4">
        <f>147.74*1.15</f>
        <v>169.90100000000001</v>
      </c>
      <c r="I278" s="4">
        <f>596.18*1.15</f>
        <v>685.60699999999986</v>
      </c>
      <c r="J278" s="3" t="s">
        <v>20</v>
      </c>
      <c r="K278" s="3" t="s">
        <v>67</v>
      </c>
      <c r="L278" s="3">
        <v>30</v>
      </c>
      <c r="M278" s="3">
        <f>D278/L278</f>
        <v>512.63333333333333</v>
      </c>
      <c r="N278" s="7">
        <f>F278/D278</f>
        <v>1.6378298654008714</v>
      </c>
    </row>
    <row r="279" spans="1:14" hidden="1">
      <c r="A279" s="3" t="s">
        <v>12</v>
      </c>
      <c r="B279" s="3"/>
      <c r="C279" s="3"/>
      <c r="D279" s="3"/>
      <c r="E279" s="3"/>
      <c r="F279" s="4">
        <f>F277+E277</f>
        <v>27863.098288000001</v>
      </c>
      <c r="G279" s="4"/>
      <c r="H279" s="4"/>
      <c r="I279" s="4"/>
      <c r="J279" s="3"/>
      <c r="K279" s="3"/>
      <c r="L279" s="3"/>
      <c r="M279" s="3"/>
      <c r="N279" s="3"/>
    </row>
    <row r="280" spans="1:14" hidden="1">
      <c r="A280" s="3" t="s">
        <v>13</v>
      </c>
      <c r="B280" s="3"/>
      <c r="C280" s="3"/>
      <c r="D280" s="3"/>
      <c r="E280" s="3"/>
      <c r="F280" s="4">
        <f>F278+H278+I278</f>
        <v>26043.693500000001</v>
      </c>
      <c r="G280" s="4"/>
      <c r="H280" s="4"/>
      <c r="I280" s="4"/>
      <c r="J280" s="3"/>
      <c r="K280" s="3"/>
      <c r="L280" s="3"/>
      <c r="M280" s="3"/>
      <c r="N280" s="3"/>
    </row>
    <row r="281" spans="1:14" hidden="1">
      <c r="A281" s="3" t="s">
        <v>14</v>
      </c>
      <c r="B281" s="3"/>
      <c r="C281" s="3"/>
      <c r="D281" s="3"/>
      <c r="E281" s="3"/>
      <c r="F281" s="4">
        <f>F279-F280</f>
        <v>1819.4047879999998</v>
      </c>
      <c r="G281" s="4"/>
      <c r="H281" s="4"/>
      <c r="I281" s="4"/>
      <c r="J281" s="3"/>
      <c r="K281" s="3"/>
      <c r="L281" s="3"/>
      <c r="M281" s="3"/>
      <c r="N281" s="3"/>
    </row>
    <row r="282" spans="1:14" hidden="1"/>
    <row r="283" spans="1:14" hidden="1">
      <c r="A283" s="15">
        <v>44166</v>
      </c>
    </row>
    <row r="284" spans="1:14" hidden="1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5</v>
      </c>
      <c r="F284" s="2" t="s">
        <v>6</v>
      </c>
      <c r="G284" s="2" t="s">
        <v>7</v>
      </c>
      <c r="H284" s="2" t="s">
        <v>8</v>
      </c>
      <c r="I284" s="2" t="s">
        <v>9</v>
      </c>
      <c r="J284" s="2" t="s">
        <v>15</v>
      </c>
      <c r="K284" s="2" t="s">
        <v>16</v>
      </c>
      <c r="L284" s="2" t="s">
        <v>17</v>
      </c>
      <c r="M284" s="2" t="s">
        <v>18</v>
      </c>
      <c r="N284" s="2" t="s">
        <v>19</v>
      </c>
    </row>
    <row r="285" spans="1:14" hidden="1">
      <c r="A285" s="3" t="s">
        <v>10</v>
      </c>
      <c r="B285" s="3">
        <f>C277</f>
        <v>1557126</v>
      </c>
      <c r="C285" s="3">
        <v>1572959</v>
      </c>
      <c r="D285" s="3">
        <f>C285-B285</f>
        <v>15833</v>
      </c>
      <c r="E285" s="3">
        <f>3352.13568*1.15</f>
        <v>3854.9560319999996</v>
      </c>
      <c r="F285" s="4">
        <v>25492.233999999997</v>
      </c>
      <c r="G285" s="4"/>
      <c r="H285" s="4"/>
      <c r="I285" s="4"/>
      <c r="J285" s="3" t="s">
        <v>20</v>
      </c>
      <c r="K285" s="3" t="s">
        <v>68</v>
      </c>
      <c r="L285" s="3">
        <v>32</v>
      </c>
      <c r="M285" s="3">
        <f>D285/L285</f>
        <v>494.78125</v>
      </c>
      <c r="N285" s="7">
        <f>F288/D285</f>
        <v>1.5833501863197119</v>
      </c>
    </row>
    <row r="286" spans="1:14" hidden="1">
      <c r="A286" s="3" t="s">
        <v>11</v>
      </c>
      <c r="B286" s="3">
        <f>C278</f>
        <v>1553318</v>
      </c>
      <c r="C286" s="3">
        <v>1568102</v>
      </c>
      <c r="D286" s="3">
        <f>C286-B286</f>
        <v>14784</v>
      </c>
      <c r="E286" s="3"/>
      <c r="F286" s="4">
        <f>21055.37*1.15</f>
        <v>24213.675499999998</v>
      </c>
      <c r="G286" s="4"/>
      <c r="H286" s="4">
        <f>147.74*1.15</f>
        <v>169.90100000000001</v>
      </c>
      <c r="I286" s="4">
        <f>596.18*1.15</f>
        <v>685.60699999999986</v>
      </c>
      <c r="J286" s="3" t="s">
        <v>20</v>
      </c>
      <c r="K286" s="3" t="s">
        <v>69</v>
      </c>
      <c r="L286" s="3">
        <v>31</v>
      </c>
      <c r="M286" s="3">
        <f>D286/L286</f>
        <v>476.90322580645159</v>
      </c>
      <c r="N286" s="7">
        <f>F286/D286</f>
        <v>1.6378297821969696</v>
      </c>
    </row>
    <row r="287" spans="1:14" hidden="1">
      <c r="A287" s="3" t="s">
        <v>12</v>
      </c>
      <c r="B287" s="3"/>
      <c r="C287" s="3"/>
      <c r="D287" s="3"/>
      <c r="E287" s="3"/>
      <c r="F287" s="4">
        <f>F285+E285</f>
        <v>29347.190031999995</v>
      </c>
      <c r="G287" s="4"/>
      <c r="H287" s="4"/>
      <c r="I287" s="4"/>
      <c r="J287" s="3"/>
      <c r="K287" s="3"/>
      <c r="L287" s="3"/>
      <c r="M287" s="3"/>
      <c r="N287" s="3"/>
    </row>
    <row r="288" spans="1:14" hidden="1">
      <c r="A288" s="3" t="s">
        <v>13</v>
      </c>
      <c r="B288" s="3"/>
      <c r="C288" s="3"/>
      <c r="D288" s="3"/>
      <c r="E288" s="3"/>
      <c r="F288" s="4">
        <f>F286+H286+I286</f>
        <v>25069.183499999999</v>
      </c>
      <c r="G288" s="4"/>
      <c r="H288" s="4"/>
      <c r="I288" s="4"/>
      <c r="J288" s="3"/>
      <c r="K288" s="3"/>
      <c r="L288" s="3"/>
      <c r="M288" s="3"/>
      <c r="N288" s="3"/>
    </row>
    <row r="289" spans="1:14" hidden="1">
      <c r="A289" s="3" t="s">
        <v>14</v>
      </c>
      <c r="B289" s="3"/>
      <c r="C289" s="3"/>
      <c r="D289" s="3"/>
      <c r="E289" s="3"/>
      <c r="F289" s="4">
        <f>F287-F288</f>
        <v>4278.0065319999958</v>
      </c>
      <c r="G289" s="4"/>
      <c r="H289" s="4"/>
      <c r="I289" s="4"/>
      <c r="J289" s="3"/>
      <c r="K289" s="3"/>
      <c r="L289" s="3"/>
      <c r="M289" s="3"/>
      <c r="N289" s="3"/>
    </row>
    <row r="291" spans="1:14">
      <c r="A291" s="15">
        <v>44197</v>
      </c>
    </row>
    <row r="292" spans="1:14" hidden="1">
      <c r="A292" s="2" t="s">
        <v>1</v>
      </c>
      <c r="B292" s="2" t="s">
        <v>2</v>
      </c>
      <c r="C292" s="2" t="s">
        <v>3</v>
      </c>
      <c r="D292" s="2" t="s">
        <v>4</v>
      </c>
      <c r="E292" s="2" t="s">
        <v>5</v>
      </c>
      <c r="F292" s="2" t="s">
        <v>6</v>
      </c>
      <c r="G292" s="2" t="s">
        <v>7</v>
      </c>
      <c r="H292" s="2" t="s">
        <v>8</v>
      </c>
      <c r="I292" s="2" t="s">
        <v>9</v>
      </c>
      <c r="J292" s="2" t="s">
        <v>15</v>
      </c>
      <c r="K292" s="2" t="s">
        <v>16</v>
      </c>
      <c r="L292" s="2" t="s">
        <v>17</v>
      </c>
      <c r="M292" s="2" t="s">
        <v>18</v>
      </c>
      <c r="N292" s="2" t="s">
        <v>19</v>
      </c>
    </row>
    <row r="293" spans="1:14" hidden="1">
      <c r="A293" s="3" t="s">
        <v>10</v>
      </c>
      <c r="B293" s="3">
        <f>C285</f>
        <v>1572959</v>
      </c>
      <c r="C293" s="3">
        <v>1587576</v>
      </c>
      <c r="D293" s="3">
        <f>C293-B293</f>
        <v>14617</v>
      </c>
      <c r="E293" s="3">
        <f>3500.54*1.15</f>
        <v>4025.6209999999996</v>
      </c>
      <c r="F293" s="4">
        <f>17766.03*1.15</f>
        <v>20430.934499999996</v>
      </c>
      <c r="G293" s="4"/>
      <c r="H293" s="4"/>
      <c r="I293" s="4"/>
      <c r="J293" s="3" t="s">
        <v>20</v>
      </c>
      <c r="K293" s="3" t="s">
        <v>70</v>
      </c>
      <c r="L293" s="3">
        <v>28</v>
      </c>
      <c r="M293" s="3">
        <f>D293/L293</f>
        <v>522.03571428571433</v>
      </c>
      <c r="N293" s="7">
        <f>F296/D293</f>
        <v>1.7774820756653211</v>
      </c>
    </row>
    <row r="294" spans="1:14" hidden="1">
      <c r="A294" s="3" t="s">
        <v>11</v>
      </c>
      <c r="B294" s="3">
        <f>C286</f>
        <v>1568102</v>
      </c>
      <c r="C294" s="3">
        <v>1583443</v>
      </c>
      <c r="D294" s="3">
        <f>C294-B294</f>
        <v>15341</v>
      </c>
      <c r="E294" s="3"/>
      <c r="F294" s="4">
        <f>21848.65*1.15</f>
        <v>25125.947499999998</v>
      </c>
      <c r="G294" s="4"/>
      <c r="H294" s="4">
        <f>147.74*1.15</f>
        <v>169.90100000000001</v>
      </c>
      <c r="I294" s="4">
        <f>596.18*1.15</f>
        <v>685.60699999999986</v>
      </c>
      <c r="J294" s="3" t="s">
        <v>20</v>
      </c>
      <c r="K294" s="3" t="s">
        <v>71</v>
      </c>
      <c r="L294" s="3">
        <v>31</v>
      </c>
      <c r="M294" s="3">
        <f>D294/L294</f>
        <v>494.87096774193549</v>
      </c>
      <c r="N294" s="7">
        <f>F294/D294</f>
        <v>1.6378298350824587</v>
      </c>
    </row>
    <row r="295" spans="1:14" hidden="1">
      <c r="A295" s="3" t="s">
        <v>12</v>
      </c>
      <c r="B295" s="3"/>
      <c r="C295" s="3"/>
      <c r="D295" s="3"/>
      <c r="E295" s="3"/>
      <c r="F295" s="4">
        <f>F293+E293</f>
        <v>24456.555499999995</v>
      </c>
      <c r="G295" s="4"/>
      <c r="H295" s="4"/>
      <c r="I295" s="4"/>
      <c r="J295" s="3"/>
      <c r="K295" s="3"/>
      <c r="L295" s="3"/>
      <c r="M295" s="3"/>
      <c r="N295" s="3"/>
    </row>
    <row r="296" spans="1:14" hidden="1">
      <c r="A296" s="3" t="s">
        <v>13</v>
      </c>
      <c r="B296" s="3"/>
      <c r="C296" s="3"/>
      <c r="D296" s="3"/>
      <c r="E296" s="3"/>
      <c r="F296" s="4">
        <f>F294+H294+I294</f>
        <v>25981.4555</v>
      </c>
      <c r="G296" s="4"/>
      <c r="H296" s="4"/>
      <c r="I296" s="4"/>
      <c r="J296" s="3"/>
      <c r="K296" s="3"/>
      <c r="L296" s="3"/>
      <c r="M296" s="3"/>
      <c r="N296" s="3"/>
    </row>
    <row r="297" spans="1:14" hidden="1">
      <c r="A297" s="3" t="s">
        <v>14</v>
      </c>
      <c r="B297" s="3"/>
      <c r="C297" s="3"/>
      <c r="D297" s="3"/>
      <c r="E297" s="3"/>
      <c r="F297" s="4">
        <f>F295-F296</f>
        <v>-1524.9000000000051</v>
      </c>
      <c r="G297" s="4"/>
      <c r="H297" s="4"/>
      <c r="I297" s="4"/>
      <c r="J297" s="3"/>
      <c r="K297" s="3"/>
      <c r="L297" s="3"/>
      <c r="M297" s="3"/>
      <c r="N297" s="3"/>
    </row>
    <row r="298" spans="1:14" hidden="1"/>
    <row r="299" spans="1:14" hidden="1">
      <c r="A299" s="15">
        <v>44228</v>
      </c>
    </row>
    <row r="300" spans="1:14" hidden="1">
      <c r="A300" s="2" t="s">
        <v>1</v>
      </c>
      <c r="B300" s="2" t="s">
        <v>2</v>
      </c>
      <c r="C300" s="2" t="s">
        <v>3</v>
      </c>
      <c r="D300" s="2" t="s">
        <v>4</v>
      </c>
      <c r="E300" s="2" t="s">
        <v>5</v>
      </c>
      <c r="F300" s="2" t="s">
        <v>6</v>
      </c>
      <c r="G300" s="2" t="s">
        <v>7</v>
      </c>
      <c r="H300" s="2" t="s">
        <v>8</v>
      </c>
      <c r="I300" s="2" t="s">
        <v>9</v>
      </c>
      <c r="J300" s="2" t="s">
        <v>15</v>
      </c>
      <c r="K300" s="2" t="s">
        <v>16</v>
      </c>
      <c r="L300" s="2" t="s">
        <v>17</v>
      </c>
      <c r="M300" s="2" t="s">
        <v>18</v>
      </c>
      <c r="N300" s="2" t="s">
        <v>19</v>
      </c>
    </row>
    <row r="301" spans="1:14" hidden="1">
      <c r="A301" s="3" t="s">
        <v>10</v>
      </c>
      <c r="B301" s="3">
        <f>C293</f>
        <v>1587576</v>
      </c>
      <c r="C301" s="3">
        <v>1599946</v>
      </c>
      <c r="D301" s="3">
        <f>C301-B301</f>
        <v>12370</v>
      </c>
      <c r="E301" s="3">
        <f>2837.09*1.15</f>
        <v>3262.6534999999999</v>
      </c>
      <c r="F301" s="4">
        <f>15160.27*1.15</f>
        <v>17434.3105</v>
      </c>
      <c r="G301" s="4"/>
      <c r="H301" s="4"/>
      <c r="I301" s="4"/>
      <c r="J301" s="3" t="s">
        <v>20</v>
      </c>
      <c r="K301" s="3" t="s">
        <v>72</v>
      </c>
      <c r="L301" s="3">
        <v>25</v>
      </c>
      <c r="M301" s="3">
        <f>D301/L301</f>
        <v>494.8</v>
      </c>
      <c r="N301" s="7">
        <f>F304/D301</f>
        <v>2.2099904203718674</v>
      </c>
    </row>
    <row r="302" spans="1:14" hidden="1">
      <c r="A302" s="3" t="s">
        <v>11</v>
      </c>
      <c r="B302" s="3">
        <f>C294</f>
        <v>1583443</v>
      </c>
      <c r="C302" s="3">
        <v>1599612</v>
      </c>
      <c r="D302" s="3">
        <f>C302-B302</f>
        <v>16169</v>
      </c>
      <c r="E302" s="3"/>
      <c r="F302" s="4">
        <f>23027.89*1.15</f>
        <v>26482.073499999999</v>
      </c>
      <c r="G302" s="4"/>
      <c r="H302" s="4">
        <f>147.74*1.15</f>
        <v>169.90100000000001</v>
      </c>
      <c r="I302" s="4">
        <f>596.18*1.15</f>
        <v>685.60699999999986</v>
      </c>
      <c r="J302" s="3" t="s">
        <v>20</v>
      </c>
      <c r="K302" s="3" t="s">
        <v>73</v>
      </c>
      <c r="L302" s="3">
        <v>28</v>
      </c>
      <c r="M302" s="3">
        <f>D302/L302</f>
        <v>577.46428571428567</v>
      </c>
      <c r="N302" s="7">
        <f>F302/D302</f>
        <v>1.6378300142247511</v>
      </c>
    </row>
    <row r="303" spans="1:14" hidden="1">
      <c r="A303" s="3" t="s">
        <v>12</v>
      </c>
      <c r="B303" s="3"/>
      <c r="C303" s="3"/>
      <c r="D303" s="3"/>
      <c r="E303" s="3"/>
      <c r="F303" s="4">
        <f>F301+E301</f>
        <v>20696.964</v>
      </c>
      <c r="G303" s="4"/>
      <c r="H303" s="4"/>
      <c r="I303" s="4"/>
      <c r="J303" s="3"/>
      <c r="K303" s="3"/>
      <c r="L303" s="3"/>
      <c r="M303" s="3"/>
      <c r="N303" s="3"/>
    </row>
    <row r="304" spans="1:14" hidden="1">
      <c r="A304" s="3" t="s">
        <v>13</v>
      </c>
      <c r="B304" s="3"/>
      <c r="C304" s="3"/>
      <c r="D304" s="3"/>
      <c r="E304" s="3"/>
      <c r="F304" s="4">
        <f>F302+H302+I302</f>
        <v>27337.5815</v>
      </c>
      <c r="G304" s="4"/>
      <c r="H304" s="4"/>
      <c r="I304" s="4"/>
      <c r="J304" s="3"/>
      <c r="K304" s="3"/>
      <c r="L304" s="3"/>
      <c r="M304" s="3"/>
      <c r="N304" s="3"/>
    </row>
    <row r="305" spans="1:14" hidden="1">
      <c r="A305" s="3" t="s">
        <v>14</v>
      </c>
      <c r="B305" s="3"/>
      <c r="C305" s="3"/>
      <c r="D305" s="3"/>
      <c r="E305" s="3"/>
      <c r="F305" s="4">
        <f>F303-F304</f>
        <v>-6640.6175000000003</v>
      </c>
      <c r="G305" s="4"/>
      <c r="H305" s="4"/>
      <c r="I305" s="4"/>
      <c r="J305" s="3"/>
      <c r="K305" s="3"/>
      <c r="L305" s="3"/>
      <c r="M305" s="3"/>
      <c r="N305" s="3"/>
    </row>
    <row r="306" spans="1:14" hidden="1"/>
    <row r="307" spans="1:14" hidden="1">
      <c r="A307" s="15">
        <v>44256</v>
      </c>
    </row>
    <row r="308" spans="1:14" hidden="1">
      <c r="A308" s="2" t="s">
        <v>1</v>
      </c>
      <c r="B308" s="2" t="s">
        <v>2</v>
      </c>
      <c r="C308" s="2" t="s">
        <v>3</v>
      </c>
      <c r="D308" s="2" t="s">
        <v>4</v>
      </c>
      <c r="E308" s="2" t="s">
        <v>5</v>
      </c>
      <c r="F308" s="2" t="s">
        <v>6</v>
      </c>
      <c r="G308" s="2" t="s">
        <v>7</v>
      </c>
      <c r="H308" s="2" t="s">
        <v>8</v>
      </c>
      <c r="I308" s="2" t="s">
        <v>9</v>
      </c>
      <c r="J308" s="2" t="s">
        <v>15</v>
      </c>
      <c r="K308" s="2" t="s">
        <v>16</v>
      </c>
      <c r="L308" s="2" t="s">
        <v>17</v>
      </c>
      <c r="M308" s="2" t="s">
        <v>18</v>
      </c>
      <c r="N308" s="2" t="s">
        <v>19</v>
      </c>
    </row>
    <row r="309" spans="1:14" hidden="1">
      <c r="A309" s="3" t="s">
        <v>10</v>
      </c>
      <c r="B309" s="3">
        <f>C301</f>
        <v>1599946</v>
      </c>
      <c r="C309" s="3">
        <v>1617675</v>
      </c>
      <c r="D309" s="3">
        <f>C309-B309</f>
        <v>17729</v>
      </c>
      <c r="E309" s="3">
        <f>4386.58*1.15</f>
        <v>5044.5669999999991</v>
      </c>
      <c r="F309" s="4">
        <f>21407.69*1.15</f>
        <v>24618.843499999995</v>
      </c>
      <c r="G309" s="4"/>
      <c r="H309" s="4"/>
      <c r="I309" s="4"/>
      <c r="J309" s="3" t="s">
        <v>20</v>
      </c>
      <c r="K309" s="3" t="s">
        <v>74</v>
      </c>
      <c r="L309" s="3">
        <v>33</v>
      </c>
      <c r="M309" s="3">
        <f>D309/L309</f>
        <v>537.24242424242425</v>
      </c>
      <c r="N309" s="7">
        <f>F312/D309</f>
        <v>1.2806228495685037</v>
      </c>
    </row>
    <row r="310" spans="1:14" hidden="1">
      <c r="A310" s="3" t="s">
        <v>11</v>
      </c>
      <c r="B310" s="3">
        <f>C302</f>
        <v>1599612</v>
      </c>
      <c r="C310" s="3">
        <v>1612952</v>
      </c>
      <c r="D310" s="3">
        <f>C310-B310</f>
        <v>13340</v>
      </c>
      <c r="E310" s="3"/>
      <c r="F310" s="4">
        <f>18998.83*1.15</f>
        <v>21848.654500000001</v>
      </c>
      <c r="G310" s="4"/>
      <c r="H310" s="4">
        <f>147.74*1.15</f>
        <v>169.90100000000001</v>
      </c>
      <c r="I310" s="4">
        <f>596.18*1.15</f>
        <v>685.60699999999986</v>
      </c>
      <c r="J310" s="3" t="s">
        <v>20</v>
      </c>
      <c r="K310" s="3" t="s">
        <v>75</v>
      </c>
      <c r="L310" s="3">
        <v>31</v>
      </c>
      <c r="M310" s="3">
        <f>D310/L310</f>
        <v>430.32258064516128</v>
      </c>
      <c r="N310" s="7">
        <f>F310/D310</f>
        <v>1.6378301724137931</v>
      </c>
    </row>
    <row r="311" spans="1:14" hidden="1">
      <c r="A311" s="3" t="s">
        <v>12</v>
      </c>
      <c r="B311" s="3"/>
      <c r="C311" s="3"/>
      <c r="D311" s="3"/>
      <c r="E311" s="3"/>
      <c r="F311" s="4">
        <f>F309+E309</f>
        <v>29663.410499999994</v>
      </c>
      <c r="G311" s="4"/>
      <c r="H311" s="4"/>
      <c r="I311" s="4"/>
      <c r="J311" s="3"/>
      <c r="K311" s="3"/>
      <c r="L311" s="3"/>
      <c r="M311" s="3"/>
      <c r="N311" s="3"/>
    </row>
    <row r="312" spans="1:14" hidden="1">
      <c r="A312" s="3" t="s">
        <v>13</v>
      </c>
      <c r="B312" s="3"/>
      <c r="C312" s="3"/>
      <c r="D312" s="3"/>
      <c r="E312" s="3"/>
      <c r="F312" s="4">
        <f>F310+H310+I310</f>
        <v>22704.162500000002</v>
      </c>
      <c r="G312" s="4"/>
      <c r="H312" s="4"/>
      <c r="I312" s="4"/>
      <c r="J312" s="3"/>
      <c r="K312" s="3"/>
      <c r="L312" s="3"/>
      <c r="M312" s="3"/>
      <c r="N312" s="3"/>
    </row>
    <row r="313" spans="1:14" hidden="1">
      <c r="A313" s="3" t="s">
        <v>14</v>
      </c>
      <c r="B313" s="3"/>
      <c r="C313" s="3"/>
      <c r="D313" s="3"/>
      <c r="E313" s="3"/>
      <c r="F313" s="4">
        <f>F311-F312</f>
        <v>6959.2479999999923</v>
      </c>
      <c r="G313" s="4"/>
      <c r="H313" s="4"/>
      <c r="I313" s="4"/>
      <c r="J313" s="3"/>
      <c r="K313" s="3"/>
      <c r="L313" s="3"/>
      <c r="M313" s="3"/>
      <c r="N313" s="3"/>
    </row>
    <row r="314" spans="1:14" hidden="1"/>
    <row r="315" spans="1:14" hidden="1">
      <c r="A315" s="15">
        <v>44287</v>
      </c>
    </row>
    <row r="316" spans="1:14" hidden="1">
      <c r="A316" s="2" t="s">
        <v>1</v>
      </c>
      <c r="B316" s="2" t="s">
        <v>2</v>
      </c>
      <c r="C316" s="2" t="s">
        <v>3</v>
      </c>
      <c r="D316" s="2" t="s">
        <v>4</v>
      </c>
      <c r="E316" s="2" t="s">
        <v>5</v>
      </c>
      <c r="F316" s="2" t="s">
        <v>6</v>
      </c>
      <c r="G316" s="2" t="s">
        <v>7</v>
      </c>
      <c r="H316" s="2" t="s">
        <v>8</v>
      </c>
      <c r="I316" s="2" t="s">
        <v>9</v>
      </c>
      <c r="J316" s="2" t="s">
        <v>15</v>
      </c>
      <c r="K316" s="2" t="s">
        <v>16</v>
      </c>
      <c r="L316" s="2" t="s">
        <v>17</v>
      </c>
      <c r="M316" s="2" t="s">
        <v>18</v>
      </c>
      <c r="N316" s="2" t="s">
        <v>19</v>
      </c>
    </row>
    <row r="317" spans="1:14" hidden="1">
      <c r="A317" s="3" t="s">
        <v>10</v>
      </c>
      <c r="B317" s="3">
        <f>C309</f>
        <v>1617675</v>
      </c>
      <c r="C317" s="3">
        <v>1632035</v>
      </c>
      <c r="D317" s="3">
        <f>C317-B317</f>
        <v>14360</v>
      </c>
      <c r="E317" s="3">
        <f>4386.58*1.15</f>
        <v>5044.5669999999991</v>
      </c>
      <c r="F317" s="4">
        <f>21407.69*1.15</f>
        <v>24618.843499999995</v>
      </c>
      <c r="G317" s="4"/>
      <c r="H317" s="4"/>
      <c r="I317" s="4"/>
      <c r="J317" s="3" t="s">
        <v>20</v>
      </c>
      <c r="K317" s="3" t="s">
        <v>76</v>
      </c>
      <c r="L317" s="3">
        <v>33</v>
      </c>
      <c r="M317" s="3">
        <f>D317/L317</f>
        <v>435.15151515151513</v>
      </c>
      <c r="N317" s="7">
        <f>F320/D317</f>
        <v>1.7989147284122562</v>
      </c>
    </row>
    <row r="318" spans="1:14" hidden="1">
      <c r="A318" s="3" t="s">
        <v>11</v>
      </c>
      <c r="B318" s="3">
        <f>C310</f>
        <v>1612952</v>
      </c>
      <c r="C318" s="3">
        <v>1628202</v>
      </c>
      <c r="D318" s="3">
        <f>C318-B318</f>
        <v>15250</v>
      </c>
      <c r="E318" s="3"/>
      <c r="F318" s="4">
        <f>21719.05*1.15</f>
        <v>24976.907499999998</v>
      </c>
      <c r="G318" s="4"/>
      <c r="H318" s="4">
        <f>147.74*1.15</f>
        <v>169.90100000000001</v>
      </c>
      <c r="I318" s="4">
        <f>596.18*1.15</f>
        <v>685.60699999999986</v>
      </c>
      <c r="J318" s="3" t="s">
        <v>20</v>
      </c>
      <c r="K318" s="3" t="s">
        <v>77</v>
      </c>
      <c r="L318" s="3">
        <v>30</v>
      </c>
      <c r="M318" s="3">
        <f>D318/L318</f>
        <v>508.33333333333331</v>
      </c>
      <c r="N318" s="7">
        <f>F318/D318</f>
        <v>1.6378299999999999</v>
      </c>
    </row>
    <row r="319" spans="1:14" hidden="1">
      <c r="A319" s="3" t="s">
        <v>12</v>
      </c>
      <c r="B319" s="3"/>
      <c r="C319" s="3"/>
      <c r="D319" s="3"/>
      <c r="E319" s="3"/>
      <c r="F319" s="4">
        <f>F317+E317</f>
        <v>29663.410499999994</v>
      </c>
      <c r="G319" s="4"/>
      <c r="H319" s="4"/>
      <c r="I319" s="4"/>
      <c r="J319" s="3"/>
      <c r="K319" s="3"/>
      <c r="L319" s="3"/>
      <c r="M319" s="3"/>
      <c r="N319" s="3"/>
    </row>
    <row r="320" spans="1:14" hidden="1">
      <c r="A320" s="3" t="s">
        <v>13</v>
      </c>
      <c r="B320" s="3"/>
      <c r="C320" s="3"/>
      <c r="D320" s="3"/>
      <c r="E320" s="3"/>
      <c r="F320" s="4">
        <f>F318+H318+I318</f>
        <v>25832.415499999999</v>
      </c>
      <c r="G320" s="4"/>
      <c r="H320" s="4"/>
      <c r="I320" s="4"/>
      <c r="J320" s="3"/>
      <c r="K320" s="3"/>
      <c r="L320" s="3"/>
      <c r="M320" s="3"/>
      <c r="N320" s="3"/>
    </row>
    <row r="321" spans="1:14" hidden="1">
      <c r="A321" s="3" t="s">
        <v>14</v>
      </c>
      <c r="B321" s="3"/>
      <c r="C321" s="3"/>
      <c r="D321" s="3"/>
      <c r="E321" s="3"/>
      <c r="F321" s="4">
        <f>F319-F320</f>
        <v>3830.9949999999953</v>
      </c>
      <c r="G321" s="4"/>
      <c r="H321" s="4"/>
      <c r="I321" s="4"/>
      <c r="J321" s="3"/>
      <c r="K321" s="3"/>
      <c r="L321" s="3"/>
      <c r="M321" s="3"/>
      <c r="N321" s="3"/>
    </row>
    <row r="322" spans="1:14" hidden="1"/>
    <row r="323" spans="1:14" hidden="1">
      <c r="A323" s="15">
        <v>44317</v>
      </c>
    </row>
    <row r="324" spans="1:14" hidden="1">
      <c r="A324" s="2" t="s">
        <v>1</v>
      </c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  <c r="G324" s="2" t="s">
        <v>7</v>
      </c>
      <c r="H324" s="2" t="s">
        <v>8</v>
      </c>
      <c r="I324" s="2" t="s">
        <v>9</v>
      </c>
      <c r="J324" s="2" t="s">
        <v>15</v>
      </c>
      <c r="K324" s="2" t="s">
        <v>16</v>
      </c>
      <c r="L324" s="2" t="s">
        <v>17</v>
      </c>
      <c r="M324" s="2" t="s">
        <v>18</v>
      </c>
      <c r="N324" s="2" t="s">
        <v>19</v>
      </c>
    </row>
    <row r="325" spans="1:14" hidden="1">
      <c r="A325" s="3" t="s">
        <v>10</v>
      </c>
      <c r="B325" s="3">
        <f>C317</f>
        <v>1632035</v>
      </c>
      <c r="C325" s="3">
        <v>1647438</v>
      </c>
      <c r="D325" s="3">
        <f>C325-B325</f>
        <v>15403</v>
      </c>
      <c r="E325" s="3">
        <v>4422.1499999999996</v>
      </c>
      <c r="F325" s="4">
        <v>21349.5</v>
      </c>
      <c r="G325" s="4"/>
      <c r="H325" s="4"/>
      <c r="I325" s="4"/>
      <c r="J325" s="3" t="s">
        <v>20</v>
      </c>
      <c r="K325" s="3" t="s">
        <v>78</v>
      </c>
      <c r="L325" s="3">
        <v>29</v>
      </c>
      <c r="M325" s="3">
        <f>D325/L325</f>
        <v>531.13793103448279</v>
      </c>
      <c r="N325" s="7">
        <f>F328/D325</f>
        <v>1.7027286892163862</v>
      </c>
    </row>
    <row r="326" spans="1:14" hidden="1">
      <c r="A326" s="3" t="s">
        <v>11</v>
      </c>
      <c r="B326" s="3">
        <f>C318</f>
        <v>1628202</v>
      </c>
      <c r="C326" s="3">
        <v>1643693</v>
      </c>
      <c r="D326" s="3">
        <f>C326-B326</f>
        <v>15491</v>
      </c>
      <c r="E326" s="3"/>
      <c r="F326" s="4">
        <f>22062.28*1.15</f>
        <v>25371.621999999996</v>
      </c>
      <c r="G326" s="4"/>
      <c r="H326" s="4">
        <f>147.74*1.15</f>
        <v>169.90100000000001</v>
      </c>
      <c r="I326" s="4">
        <f>596.18*1.15</f>
        <v>685.60699999999986</v>
      </c>
      <c r="J326" s="3" t="s">
        <v>20</v>
      </c>
      <c r="K326" s="3" t="s">
        <v>79</v>
      </c>
      <c r="L326" s="3">
        <v>31</v>
      </c>
      <c r="M326" s="3">
        <f>D326/L326</f>
        <v>499.70967741935482</v>
      </c>
      <c r="N326" s="7">
        <f>F326/D326</f>
        <v>1.637829836679362</v>
      </c>
    </row>
    <row r="327" spans="1:14" hidden="1">
      <c r="A327" s="3" t="s">
        <v>12</v>
      </c>
      <c r="B327" s="3"/>
      <c r="C327" s="3"/>
      <c r="D327" s="3"/>
      <c r="E327" s="3"/>
      <c r="F327" s="4">
        <f>F325+E325</f>
        <v>25771.65</v>
      </c>
      <c r="G327" s="4"/>
      <c r="H327" s="4"/>
      <c r="I327" s="4"/>
      <c r="J327" s="3"/>
      <c r="K327" s="3"/>
      <c r="L327" s="3"/>
      <c r="M327" s="3"/>
      <c r="N327" s="3"/>
    </row>
    <row r="328" spans="1:14" hidden="1">
      <c r="A328" s="3" t="s">
        <v>13</v>
      </c>
      <c r="B328" s="3"/>
      <c r="C328" s="3"/>
      <c r="D328" s="3"/>
      <c r="E328" s="3"/>
      <c r="F328" s="4">
        <f>F326+H326+I326</f>
        <v>26227.129999999997</v>
      </c>
      <c r="G328" s="4"/>
      <c r="H328" s="4"/>
      <c r="I328" s="4"/>
      <c r="J328" s="3"/>
      <c r="K328" s="3"/>
      <c r="L328" s="3"/>
      <c r="M328" s="3"/>
      <c r="N328" s="3"/>
    </row>
    <row r="329" spans="1:14" hidden="1">
      <c r="A329" s="3" t="s">
        <v>14</v>
      </c>
      <c r="B329" s="3"/>
      <c r="C329" s="3"/>
      <c r="D329" s="3"/>
      <c r="E329" s="3"/>
      <c r="F329" s="4">
        <f>F327-F328</f>
        <v>-455.47999999999593</v>
      </c>
      <c r="G329" s="4"/>
      <c r="H329" s="4"/>
      <c r="I329" s="4"/>
      <c r="J329" s="3"/>
      <c r="K329" s="3"/>
      <c r="L329" s="3"/>
      <c r="M329" s="3"/>
      <c r="N329" s="3"/>
    </row>
    <row r="330" spans="1:14" hidden="1"/>
    <row r="331" spans="1:14" hidden="1">
      <c r="A331" s="15">
        <v>44348</v>
      </c>
    </row>
    <row r="332" spans="1:14" hidden="1">
      <c r="A332" s="2" t="s">
        <v>1</v>
      </c>
      <c r="B332" s="2" t="s">
        <v>2</v>
      </c>
      <c r="C332" s="2" t="s">
        <v>3</v>
      </c>
      <c r="D332" s="2" t="s">
        <v>4</v>
      </c>
      <c r="E332" s="2" t="s">
        <v>5</v>
      </c>
      <c r="F332" s="2" t="s">
        <v>6</v>
      </c>
      <c r="G332" s="2" t="s">
        <v>7</v>
      </c>
      <c r="H332" s="2" t="s">
        <v>8</v>
      </c>
      <c r="I332" s="2" t="s">
        <v>9</v>
      </c>
      <c r="J332" s="2" t="s">
        <v>15</v>
      </c>
      <c r="K332" s="2" t="s">
        <v>16</v>
      </c>
      <c r="L332" s="2" t="s">
        <v>17</v>
      </c>
      <c r="M332" s="2" t="s">
        <v>18</v>
      </c>
      <c r="N332" s="2" t="s">
        <v>19</v>
      </c>
    </row>
    <row r="333" spans="1:14" hidden="1">
      <c r="A333" s="3" t="s">
        <v>10</v>
      </c>
      <c r="B333" s="3">
        <f>C325</f>
        <v>1647438</v>
      </c>
      <c r="C333" s="3">
        <v>1666915</v>
      </c>
      <c r="D333" s="3">
        <f>C333-B333</f>
        <v>19477</v>
      </c>
      <c r="E333" s="3">
        <f>4486.97*1.15</f>
        <v>5160.0154999999995</v>
      </c>
      <c r="F333" s="4">
        <f>23850.5*1.15</f>
        <v>27428.074999999997</v>
      </c>
      <c r="G333" s="4"/>
      <c r="H333" s="4"/>
      <c r="I333" s="4"/>
      <c r="J333" s="3" t="s">
        <v>20</v>
      </c>
      <c r="K333" s="3" t="s">
        <v>80</v>
      </c>
      <c r="L333" s="3">
        <v>29</v>
      </c>
      <c r="M333" s="3">
        <f>D333/L333</f>
        <v>671.62068965517244</v>
      </c>
      <c r="N333" s="7">
        <f>F336/D333</f>
        <v>1.781669250911331</v>
      </c>
    </row>
    <row r="334" spans="1:14" hidden="1">
      <c r="A334" s="3" t="s">
        <v>11</v>
      </c>
      <c r="B334" s="3">
        <f>C326</f>
        <v>1643693</v>
      </c>
      <c r="C334" s="3">
        <v>1664282</v>
      </c>
      <c r="D334" s="3">
        <f>C334-B334</f>
        <v>20589</v>
      </c>
      <c r="E334" s="3"/>
      <c r="F334" s="4">
        <f>29322.85*1.15</f>
        <v>33721.277499999997</v>
      </c>
      <c r="G334" s="4"/>
      <c r="H334" s="4">
        <f>169.29*1.15</f>
        <v>194.68349999999998</v>
      </c>
      <c r="I334" s="4">
        <f>683.14*1.15</f>
        <v>785.61099999999988</v>
      </c>
      <c r="J334" s="3" t="s">
        <v>20</v>
      </c>
      <c r="K334" s="3" t="s">
        <v>81</v>
      </c>
      <c r="L334" s="3">
        <v>30</v>
      </c>
      <c r="M334" s="3">
        <f>D334/L334</f>
        <v>686.3</v>
      </c>
      <c r="N334" s="7">
        <f>F334/D334</f>
        <v>1.6378297877507406</v>
      </c>
    </row>
    <row r="335" spans="1:14" hidden="1">
      <c r="A335" s="3" t="s">
        <v>12</v>
      </c>
      <c r="B335" s="3"/>
      <c r="C335" s="3"/>
      <c r="D335" s="3"/>
      <c r="E335" s="3"/>
      <c r="F335" s="4">
        <f>F333+E333</f>
        <v>32588.090499999998</v>
      </c>
      <c r="G335" s="4"/>
      <c r="H335" s="4"/>
      <c r="I335" s="4"/>
      <c r="J335" s="3"/>
      <c r="K335" s="3"/>
      <c r="L335" s="3"/>
      <c r="M335" s="3"/>
      <c r="N335" s="3"/>
    </row>
    <row r="336" spans="1:14" hidden="1">
      <c r="A336" s="3" t="s">
        <v>13</v>
      </c>
      <c r="B336" s="3"/>
      <c r="C336" s="3"/>
      <c r="D336" s="3"/>
      <c r="E336" s="3"/>
      <c r="F336" s="4">
        <f>F334+H334+I334</f>
        <v>34701.571999999993</v>
      </c>
      <c r="G336" s="4"/>
      <c r="H336" s="4"/>
      <c r="I336" s="4"/>
      <c r="J336" s="3"/>
      <c r="K336" s="3"/>
      <c r="L336" s="3"/>
      <c r="M336" s="3"/>
      <c r="N336" s="3"/>
    </row>
    <row r="337" spans="1:14" hidden="1">
      <c r="A337" s="3" t="s">
        <v>14</v>
      </c>
      <c r="B337" s="3"/>
      <c r="C337" s="3"/>
      <c r="D337" s="3"/>
      <c r="E337" s="3"/>
      <c r="F337" s="4">
        <f>F335-F336</f>
        <v>-2113.4814999999944</v>
      </c>
      <c r="G337" s="4"/>
      <c r="H337" s="4"/>
      <c r="I337" s="4"/>
      <c r="J337" s="3"/>
      <c r="K337" s="3"/>
      <c r="L337" s="3"/>
      <c r="M337" s="3"/>
      <c r="N337" s="3"/>
    </row>
    <row r="338" spans="1:14" hidden="1"/>
    <row r="339" spans="1:14" hidden="1">
      <c r="A339" s="15">
        <v>44378</v>
      </c>
    </row>
    <row r="340" spans="1:14" hidden="1">
      <c r="A340" s="2" t="s">
        <v>1</v>
      </c>
      <c r="B340" s="2" t="s">
        <v>2</v>
      </c>
      <c r="C340" s="2" t="s">
        <v>3</v>
      </c>
      <c r="D340" s="2" t="s">
        <v>4</v>
      </c>
      <c r="E340" s="2" t="s">
        <v>5</v>
      </c>
      <c r="F340" s="2" t="s">
        <v>6</v>
      </c>
      <c r="G340" s="2" t="s">
        <v>7</v>
      </c>
      <c r="H340" s="2" t="s">
        <v>8</v>
      </c>
      <c r="I340" s="2" t="s">
        <v>9</v>
      </c>
      <c r="J340" s="2" t="s">
        <v>15</v>
      </c>
      <c r="K340" s="2" t="s">
        <v>16</v>
      </c>
      <c r="L340" s="2" t="s">
        <v>17</v>
      </c>
      <c r="M340" s="2" t="s">
        <v>18</v>
      </c>
      <c r="N340" s="2" t="s">
        <v>19</v>
      </c>
    </row>
    <row r="341" spans="1:14" hidden="1">
      <c r="A341" s="3" t="s">
        <v>10</v>
      </c>
      <c r="B341" s="3">
        <f>C333</f>
        <v>1666915</v>
      </c>
      <c r="C341" s="3">
        <v>1692095</v>
      </c>
      <c r="D341" s="3">
        <f>C341-B341</f>
        <v>25180</v>
      </c>
      <c r="E341" s="3">
        <v>7736.76</v>
      </c>
      <c r="F341" s="4">
        <v>40932.839999999997</v>
      </c>
      <c r="G341" s="4"/>
      <c r="H341" s="4">
        <f>169.29*1.15</f>
        <v>194.68349999999998</v>
      </c>
      <c r="I341" s="4">
        <f>683.14*1.15</f>
        <v>785.61099999999988</v>
      </c>
      <c r="J341" s="3" t="s">
        <v>20</v>
      </c>
      <c r="K341" s="3" t="s">
        <v>82</v>
      </c>
      <c r="L341" s="3">
        <v>34</v>
      </c>
      <c r="M341" s="3">
        <f>D341/L341</f>
        <v>740.58823529411768</v>
      </c>
      <c r="N341" s="7">
        <f>(F341+E341)/D341</f>
        <v>1.9328673550436855</v>
      </c>
    </row>
    <row r="342" spans="1:14" hidden="1">
      <c r="A342" s="3" t="s">
        <v>11</v>
      </c>
      <c r="B342" s="3">
        <f>C334</f>
        <v>1664282</v>
      </c>
      <c r="C342" s="3">
        <v>1688188</v>
      </c>
      <c r="D342" s="3">
        <f>C342-B342</f>
        <v>23906</v>
      </c>
      <c r="E342" s="3"/>
      <c r="F342" s="4">
        <v>44864.71</v>
      </c>
      <c r="G342" s="4"/>
      <c r="H342" s="4">
        <f>169.29*1.15</f>
        <v>194.68349999999998</v>
      </c>
      <c r="I342" s="4">
        <f>683.14*1.15</f>
        <v>785.61099999999988</v>
      </c>
      <c r="J342" s="3" t="s">
        <v>20</v>
      </c>
      <c r="K342" s="3" t="s">
        <v>81</v>
      </c>
      <c r="L342" s="3">
        <v>34</v>
      </c>
      <c r="M342" s="3">
        <f>D342/L342</f>
        <v>703.11764705882354</v>
      </c>
      <c r="N342" s="7">
        <f>F342/D342</f>
        <v>1.8767133773947962</v>
      </c>
    </row>
    <row r="343" spans="1:14" hidden="1">
      <c r="A343" s="3" t="s">
        <v>12</v>
      </c>
      <c r="B343" s="3"/>
      <c r="C343" s="3"/>
      <c r="D343" s="3"/>
      <c r="E343" s="3"/>
      <c r="F343" s="4">
        <f>F341+E341+H341+I341</f>
        <v>49649.894499999995</v>
      </c>
      <c r="G343" s="4"/>
      <c r="H343" s="4"/>
      <c r="I343" s="4"/>
      <c r="J343" s="3"/>
      <c r="K343" s="3"/>
      <c r="L343" s="3"/>
      <c r="M343" s="3"/>
      <c r="N343" s="3"/>
    </row>
    <row r="344" spans="1:14" hidden="1">
      <c r="A344" s="3" t="s">
        <v>13</v>
      </c>
      <c r="B344" s="3"/>
      <c r="C344" s="3"/>
      <c r="D344" s="3"/>
      <c r="E344" s="3"/>
      <c r="F344" s="4">
        <f>F342+H342+I342</f>
        <v>45845.004499999995</v>
      </c>
      <c r="G344" s="4"/>
      <c r="H344" s="4"/>
      <c r="I344" s="4"/>
      <c r="J344" s="3"/>
      <c r="K344" s="3"/>
      <c r="L344" s="3"/>
      <c r="M344" s="3"/>
      <c r="N344" s="3"/>
    </row>
    <row r="345" spans="1:14" hidden="1">
      <c r="A345" s="3" t="s">
        <v>14</v>
      </c>
      <c r="B345" s="3"/>
      <c r="C345" s="3"/>
      <c r="D345" s="3"/>
      <c r="E345" s="3"/>
      <c r="F345" s="4">
        <f>F343-F344</f>
        <v>3804.8899999999994</v>
      </c>
      <c r="G345" s="4"/>
      <c r="H345" s="4"/>
      <c r="I345" s="4"/>
      <c r="J345" s="3"/>
      <c r="K345" s="3"/>
      <c r="L345" s="3"/>
      <c r="M345" s="3"/>
      <c r="N345" s="3"/>
    </row>
    <row r="346" spans="1:14" hidden="1"/>
    <row r="347" spans="1:14" hidden="1">
      <c r="A347" s="15">
        <v>44409</v>
      </c>
    </row>
    <row r="348" spans="1:14" hidden="1">
      <c r="A348" s="2" t="s">
        <v>1</v>
      </c>
      <c r="B348" s="2" t="s">
        <v>2</v>
      </c>
      <c r="C348" s="2" t="s">
        <v>3</v>
      </c>
      <c r="D348" s="2" t="s">
        <v>4</v>
      </c>
      <c r="E348" s="2" t="s">
        <v>5</v>
      </c>
      <c r="F348" s="2" t="s">
        <v>6</v>
      </c>
      <c r="G348" s="2" t="s">
        <v>7</v>
      </c>
      <c r="H348" s="2" t="s">
        <v>8</v>
      </c>
      <c r="I348" s="2" t="s">
        <v>9</v>
      </c>
      <c r="J348" s="2" t="s">
        <v>15</v>
      </c>
      <c r="K348" s="2" t="s">
        <v>16</v>
      </c>
      <c r="L348" s="2" t="s">
        <v>17</v>
      </c>
      <c r="M348" s="2" t="s">
        <v>18</v>
      </c>
      <c r="N348" s="2" t="s">
        <v>19</v>
      </c>
    </row>
    <row r="349" spans="1:14" hidden="1">
      <c r="A349" s="3" t="s">
        <v>10</v>
      </c>
      <c r="B349" s="3">
        <f>C341</f>
        <v>1692095</v>
      </c>
      <c r="C349" s="3">
        <v>1709707</v>
      </c>
      <c r="D349" s="3">
        <f>C349-B349</f>
        <v>17612</v>
      </c>
      <c r="E349" s="3">
        <f>4518.73*1.15</f>
        <v>5196.539499999999</v>
      </c>
      <c r="F349" s="4">
        <f>24603.4*1.15</f>
        <v>28293.91</v>
      </c>
      <c r="G349" s="4"/>
      <c r="H349" s="4">
        <f>169.29*1.15</f>
        <v>194.68349999999998</v>
      </c>
      <c r="I349" s="4">
        <f>683.14*1.15</f>
        <v>785.61099999999988</v>
      </c>
      <c r="J349" s="3" t="s">
        <v>20</v>
      </c>
      <c r="K349" s="3" t="s">
        <v>83</v>
      </c>
      <c r="L349" s="3">
        <v>29</v>
      </c>
      <c r="M349" s="3">
        <f>D349/L349</f>
        <v>607.31034482758616</v>
      </c>
      <c r="N349" s="7">
        <f>(F349+E349)/D349</f>
        <v>1.9015699239155124</v>
      </c>
    </row>
    <row r="350" spans="1:14" hidden="1">
      <c r="A350" s="3" t="s">
        <v>11</v>
      </c>
      <c r="B350" s="3">
        <f>C342</f>
        <v>1688188</v>
      </c>
      <c r="C350" s="3">
        <v>1705807</v>
      </c>
      <c r="D350" s="3">
        <f>C350-B350</f>
        <v>17619</v>
      </c>
      <c r="E350" s="3"/>
      <c r="F350" s="4">
        <f>32264.29*1.15</f>
        <v>37103.933499999999</v>
      </c>
      <c r="G350" s="4"/>
      <c r="H350" s="4">
        <f>169.29*1.15</f>
        <v>194.68349999999998</v>
      </c>
      <c r="I350" s="4">
        <f>683.14*1.15</f>
        <v>785.61099999999988</v>
      </c>
      <c r="J350" s="3" t="s">
        <v>20</v>
      </c>
      <c r="K350" s="3" t="s">
        <v>84</v>
      </c>
      <c r="L350" s="3">
        <v>28</v>
      </c>
      <c r="M350" s="3">
        <f>D350/L350</f>
        <v>629.25</v>
      </c>
      <c r="N350" s="7">
        <f>F350/D350</f>
        <v>2.1059046200124865</v>
      </c>
    </row>
    <row r="351" spans="1:14" hidden="1">
      <c r="A351" s="3" t="s">
        <v>12</v>
      </c>
      <c r="B351" s="3"/>
      <c r="C351" s="3"/>
      <c r="D351" s="3"/>
      <c r="E351" s="3"/>
      <c r="F351" s="4">
        <f>F349+E349+H349+I349</f>
        <v>34470.743999999999</v>
      </c>
      <c r="G351" s="4"/>
      <c r="H351" s="4"/>
      <c r="I351" s="4"/>
      <c r="J351" s="3"/>
      <c r="K351" s="3"/>
      <c r="L351" s="3"/>
      <c r="M351" s="3"/>
      <c r="N351" s="3"/>
    </row>
    <row r="352" spans="1:14" hidden="1">
      <c r="A352" s="3" t="s">
        <v>13</v>
      </c>
      <c r="B352" s="3"/>
      <c r="C352" s="3"/>
      <c r="D352" s="3"/>
      <c r="E352" s="3"/>
      <c r="F352" s="4">
        <f>F350+H350+I350</f>
        <v>38084.227999999996</v>
      </c>
      <c r="G352" s="4"/>
      <c r="H352" s="4"/>
      <c r="I352" s="4"/>
      <c r="J352" s="3"/>
      <c r="K352" s="3"/>
      <c r="L352" s="3"/>
      <c r="M352" s="3"/>
      <c r="N352" s="3"/>
    </row>
    <row r="353" spans="1:14" hidden="1">
      <c r="A353" s="3" t="s">
        <v>14</v>
      </c>
      <c r="B353" s="3"/>
      <c r="C353" s="3"/>
      <c r="D353" s="3"/>
      <c r="E353" s="3"/>
      <c r="F353" s="4">
        <f>F351-F352</f>
        <v>-3613.4839999999967</v>
      </c>
      <c r="G353" s="4"/>
      <c r="H353" s="4"/>
      <c r="I353" s="4"/>
      <c r="J353" s="3"/>
      <c r="K353" s="3"/>
      <c r="L353" s="3"/>
      <c r="M353" s="3"/>
      <c r="N353" s="3"/>
    </row>
    <row r="354" spans="1:14" hidden="1"/>
    <row r="355" spans="1:14" hidden="1">
      <c r="A355" s="15">
        <v>44440</v>
      </c>
    </row>
    <row r="356" spans="1:14" hidden="1">
      <c r="A356" s="2" t="s">
        <v>1</v>
      </c>
      <c r="B356" s="2" t="s">
        <v>2</v>
      </c>
      <c r="C356" s="2" t="s">
        <v>3</v>
      </c>
      <c r="D356" s="2" t="s">
        <v>4</v>
      </c>
      <c r="E356" s="2" t="s">
        <v>5</v>
      </c>
      <c r="F356" s="2" t="s">
        <v>6</v>
      </c>
      <c r="G356" s="2" t="s">
        <v>7</v>
      </c>
      <c r="H356" s="2" t="s">
        <v>8</v>
      </c>
      <c r="I356" s="2" t="s">
        <v>9</v>
      </c>
      <c r="J356" s="2" t="s">
        <v>15</v>
      </c>
      <c r="K356" s="2" t="s">
        <v>16</v>
      </c>
      <c r="L356" s="2" t="s">
        <v>17</v>
      </c>
      <c r="M356" s="2" t="s">
        <v>18</v>
      </c>
      <c r="N356" s="2" t="s">
        <v>19</v>
      </c>
    </row>
    <row r="357" spans="1:14" hidden="1">
      <c r="A357" s="3" t="s">
        <v>10</v>
      </c>
      <c r="B357" s="3">
        <f>C349</f>
        <v>1709707</v>
      </c>
      <c r="C357" s="3">
        <v>1728212</v>
      </c>
      <c r="D357" s="3">
        <f>C357-B357</f>
        <v>18505</v>
      </c>
      <c r="E357" s="3">
        <f>3877.34*1.15</f>
        <v>4458.9409999999998</v>
      </c>
      <c r="F357" s="4">
        <f>26320.97*1.15</f>
        <v>30269.1155</v>
      </c>
      <c r="G357" s="4"/>
      <c r="H357" s="4">
        <f>169.29*1.15</f>
        <v>194.68349999999998</v>
      </c>
      <c r="I357" s="4">
        <f>683.14*1.15</f>
        <v>785.61099999999988</v>
      </c>
      <c r="J357" s="3" t="s">
        <v>20</v>
      </c>
      <c r="K357" s="3" t="s">
        <v>85</v>
      </c>
      <c r="L357" s="3">
        <v>36</v>
      </c>
      <c r="M357" s="3">
        <f>D357/L357</f>
        <v>514.02777777777783</v>
      </c>
      <c r="N357" s="7">
        <f>(F357+E357)/D357</f>
        <v>1.876685031072683</v>
      </c>
    </row>
    <row r="358" spans="1:14" hidden="1">
      <c r="A358" s="3" t="s">
        <v>11</v>
      </c>
      <c r="B358" s="3">
        <f>C350</f>
        <v>1705807</v>
      </c>
      <c r="C358" s="3">
        <v>1722312</v>
      </c>
      <c r="D358" s="3">
        <f>C358-B358</f>
        <v>16505</v>
      </c>
      <c r="E358" s="3"/>
      <c r="F358" s="4">
        <f>26934.51*1.15</f>
        <v>30974.686499999996</v>
      </c>
      <c r="G358" s="4"/>
      <c r="H358" s="4">
        <f>169.29*1.15</f>
        <v>194.68349999999998</v>
      </c>
      <c r="I358" s="4">
        <f>683.14*1.15</f>
        <v>785.61099999999988</v>
      </c>
      <c r="J358" s="3" t="s">
        <v>20</v>
      </c>
      <c r="K358" s="3" t="s">
        <v>86</v>
      </c>
      <c r="L358" s="3">
        <v>30</v>
      </c>
      <c r="M358" s="3">
        <f>D358/L358</f>
        <v>550.16666666666663</v>
      </c>
      <c r="N358" s="7">
        <f>F358/D358</f>
        <v>1.8766850348379276</v>
      </c>
    </row>
    <row r="359" spans="1:14" hidden="1">
      <c r="A359" s="3" t="s">
        <v>12</v>
      </c>
      <c r="B359" s="3"/>
      <c r="C359" s="3"/>
      <c r="D359" s="3"/>
      <c r="E359" s="3"/>
      <c r="F359" s="4">
        <f>F357+E357+H357+I357</f>
        <v>35708.350999999995</v>
      </c>
      <c r="G359" s="4"/>
      <c r="H359" s="4"/>
      <c r="I359" s="4"/>
      <c r="J359" s="3"/>
      <c r="K359" s="3"/>
      <c r="L359" s="3"/>
      <c r="M359" s="3"/>
      <c r="N359" s="3"/>
    </row>
    <row r="360" spans="1:14" hidden="1">
      <c r="A360" s="3" t="s">
        <v>13</v>
      </c>
      <c r="B360" s="3"/>
      <c r="C360" s="3"/>
      <c r="D360" s="3"/>
      <c r="E360" s="3"/>
      <c r="F360" s="4">
        <f>F358+H358+I358</f>
        <v>31954.980999999996</v>
      </c>
      <c r="G360" s="4"/>
      <c r="H360" s="4"/>
      <c r="I360" s="4"/>
      <c r="J360" s="3"/>
      <c r="K360" s="3"/>
      <c r="L360" s="3"/>
      <c r="M360" s="3"/>
      <c r="N360" s="3"/>
    </row>
    <row r="361" spans="1:14" hidden="1">
      <c r="A361" s="3" t="s">
        <v>14</v>
      </c>
      <c r="B361" s="3"/>
      <c r="C361" s="3"/>
      <c r="D361" s="3"/>
      <c r="E361" s="3"/>
      <c r="F361" s="4">
        <f>F359-F360</f>
        <v>3753.369999999999</v>
      </c>
      <c r="G361" s="4"/>
      <c r="H361" s="4"/>
      <c r="I361" s="4"/>
      <c r="J361" s="3"/>
      <c r="K361" s="3"/>
      <c r="L361" s="3"/>
      <c r="M361" s="3"/>
      <c r="N361" s="3"/>
    </row>
    <row r="362" spans="1:14" hidden="1"/>
    <row r="363" spans="1:14" hidden="1">
      <c r="A363" s="15">
        <v>44470</v>
      </c>
    </row>
    <row r="364" spans="1:14" hidden="1">
      <c r="A364" s="2" t="s">
        <v>1</v>
      </c>
      <c r="B364" s="2" t="s">
        <v>2</v>
      </c>
      <c r="C364" s="2" t="s">
        <v>3</v>
      </c>
      <c r="D364" s="2" t="s">
        <v>4</v>
      </c>
      <c r="E364" s="2" t="s">
        <v>5</v>
      </c>
      <c r="F364" s="2" t="s">
        <v>6</v>
      </c>
      <c r="G364" s="2" t="s">
        <v>7</v>
      </c>
      <c r="H364" s="2" t="s">
        <v>8</v>
      </c>
      <c r="I364" s="2" t="s">
        <v>9</v>
      </c>
      <c r="J364" s="2" t="s">
        <v>15</v>
      </c>
      <c r="K364" s="2" t="s">
        <v>16</v>
      </c>
      <c r="L364" s="2" t="s">
        <v>17</v>
      </c>
      <c r="M364" s="2" t="s">
        <v>18</v>
      </c>
      <c r="N364" s="2" t="s">
        <v>19</v>
      </c>
    </row>
    <row r="365" spans="1:14" hidden="1">
      <c r="A365" s="3" t="s">
        <v>10</v>
      </c>
      <c r="B365" s="3">
        <f>C357</f>
        <v>1728212</v>
      </c>
      <c r="C365" s="3">
        <v>1740965</v>
      </c>
      <c r="D365" s="3">
        <f>C365-B365</f>
        <v>12753</v>
      </c>
      <c r="E365" s="3">
        <f>2861.11*1.15</f>
        <v>3290.2764999999999</v>
      </c>
      <c r="F365" s="4">
        <f>17950.51*1.15</f>
        <v>20643.086499999998</v>
      </c>
      <c r="G365" s="4"/>
      <c r="H365" s="4">
        <f>169.29*1.15</f>
        <v>194.68349999999998</v>
      </c>
      <c r="I365" s="4">
        <f>683.14*1.15</f>
        <v>785.61099999999988</v>
      </c>
      <c r="J365" s="3" t="s">
        <v>20</v>
      </c>
      <c r="K365" s="3" t="s">
        <v>87</v>
      </c>
      <c r="L365" s="3">
        <v>26</v>
      </c>
      <c r="M365" s="3">
        <f>D365/L365</f>
        <v>490.5</v>
      </c>
      <c r="N365" s="7">
        <f>(F365+E365)/D365</f>
        <v>1.8766849368775973</v>
      </c>
    </row>
    <row r="366" spans="1:14" hidden="1">
      <c r="A366" s="3" t="s">
        <v>11</v>
      </c>
      <c r="B366" s="3">
        <f>C358</f>
        <v>1722312</v>
      </c>
      <c r="C366" s="3">
        <v>1737228</v>
      </c>
      <c r="D366" s="3">
        <f>C366-B366</f>
        <v>14916</v>
      </c>
      <c r="E366" s="3"/>
      <c r="F366" s="4">
        <f>24341.42*1.15</f>
        <v>27992.632999999994</v>
      </c>
      <c r="G366" s="4"/>
      <c r="H366" s="4">
        <f>169.29*1.15</f>
        <v>194.68349999999998</v>
      </c>
      <c r="I366" s="4">
        <f>683.14*1.15</f>
        <v>785.61099999999988</v>
      </c>
      <c r="J366" s="3" t="s">
        <v>20</v>
      </c>
      <c r="K366" s="3" t="s">
        <v>88</v>
      </c>
      <c r="L366" s="3">
        <v>30</v>
      </c>
      <c r="M366" s="3">
        <f>D366/L366</f>
        <v>497.2</v>
      </c>
      <c r="N366" s="7">
        <f>F366/D366</f>
        <v>1.8766849691606324</v>
      </c>
    </row>
    <row r="367" spans="1:14" hidden="1">
      <c r="A367" s="3" t="s">
        <v>12</v>
      </c>
      <c r="B367" s="3"/>
      <c r="C367" s="3"/>
      <c r="D367" s="3"/>
      <c r="E367" s="3"/>
      <c r="F367" s="4">
        <f>F365+E365+H365+I365</f>
        <v>24913.657499999998</v>
      </c>
      <c r="G367" s="4"/>
      <c r="H367" s="4"/>
      <c r="I367" s="4"/>
      <c r="J367" s="3"/>
      <c r="K367" s="3"/>
      <c r="L367" s="3"/>
      <c r="M367" s="3"/>
      <c r="N367" s="3"/>
    </row>
    <row r="368" spans="1:14" hidden="1">
      <c r="A368" s="3" t="s">
        <v>13</v>
      </c>
      <c r="B368" s="3"/>
      <c r="C368" s="3"/>
      <c r="D368" s="3"/>
      <c r="E368" s="3"/>
      <c r="F368" s="4">
        <f>F366+H366+I366</f>
        <v>28972.927499999994</v>
      </c>
      <c r="G368" s="4"/>
      <c r="H368" s="4"/>
      <c r="I368" s="4"/>
      <c r="J368" s="3"/>
      <c r="K368" s="3"/>
      <c r="L368" s="3"/>
      <c r="M368" s="3"/>
      <c r="N368" s="3"/>
    </row>
    <row r="369" spans="1:14" hidden="1">
      <c r="A369" s="3" t="s">
        <v>14</v>
      </c>
      <c r="B369" s="3"/>
      <c r="C369" s="3"/>
      <c r="D369" s="3"/>
      <c r="E369" s="3"/>
      <c r="F369" s="4">
        <f>F367-F368</f>
        <v>-4059.2699999999968</v>
      </c>
      <c r="G369" s="4"/>
      <c r="H369" s="4"/>
      <c r="I369" s="4"/>
      <c r="J369" s="3"/>
      <c r="K369" s="3"/>
      <c r="L369" s="3"/>
      <c r="M369" s="3"/>
      <c r="N369" s="3"/>
    </row>
    <row r="370" spans="1:14" hidden="1"/>
    <row r="371" spans="1:14" hidden="1">
      <c r="A371" s="15">
        <v>44501</v>
      </c>
    </row>
    <row r="372" spans="1:14" hidden="1">
      <c r="A372" s="2" t="s">
        <v>1</v>
      </c>
      <c r="B372" s="2" t="s">
        <v>2</v>
      </c>
      <c r="C372" s="2" t="s">
        <v>3</v>
      </c>
      <c r="D372" s="2" t="s">
        <v>4</v>
      </c>
      <c r="E372" s="2" t="s">
        <v>5</v>
      </c>
      <c r="F372" s="2" t="s">
        <v>6</v>
      </c>
      <c r="G372" s="2" t="s">
        <v>7</v>
      </c>
      <c r="H372" s="2" t="s">
        <v>8</v>
      </c>
      <c r="I372" s="2" t="s">
        <v>9</v>
      </c>
      <c r="J372" s="2" t="s">
        <v>15</v>
      </c>
      <c r="K372" s="2" t="s">
        <v>16</v>
      </c>
      <c r="L372" s="2" t="s">
        <v>17</v>
      </c>
      <c r="M372" s="2" t="s">
        <v>18</v>
      </c>
      <c r="N372" s="2" t="s">
        <v>19</v>
      </c>
    </row>
    <row r="373" spans="1:14" hidden="1">
      <c r="A373" s="3" t="s">
        <v>10</v>
      </c>
      <c r="B373" s="3">
        <f>C365</f>
        <v>1740965</v>
      </c>
      <c r="C373" s="3">
        <v>1755992</v>
      </c>
      <c r="D373" s="3">
        <f>C373-B373</f>
        <v>15027</v>
      </c>
      <c r="E373" s="3">
        <f>3411.42*1.15</f>
        <v>3923.1329999999998</v>
      </c>
      <c r="F373" s="4">
        <f>21111.14*1.15</f>
        <v>24277.810999999998</v>
      </c>
      <c r="G373" s="4"/>
      <c r="H373" s="4">
        <f>169.29*1.15</f>
        <v>194.68349999999998</v>
      </c>
      <c r="I373" s="4">
        <f>683.14*1.15</f>
        <v>785.61099999999988</v>
      </c>
      <c r="J373" s="3" t="s">
        <v>20</v>
      </c>
      <c r="K373" s="3" t="s">
        <v>89</v>
      </c>
      <c r="L373" s="3">
        <v>33</v>
      </c>
      <c r="M373" s="3">
        <f>D373/L373</f>
        <v>455.36363636363637</v>
      </c>
      <c r="N373" s="7">
        <f>(F373+E373)/D373</f>
        <v>1.8766849005124107</v>
      </c>
    </row>
    <row r="374" spans="1:14" hidden="1">
      <c r="A374" s="3" t="s">
        <v>11</v>
      </c>
      <c r="B374" s="3">
        <f>C366</f>
        <v>1737228</v>
      </c>
      <c r="C374" s="3">
        <v>1751717</v>
      </c>
      <c r="D374" s="3">
        <f>C374-B374</f>
        <v>14489</v>
      </c>
      <c r="E374" s="3"/>
      <c r="F374" s="4">
        <f>23644.6*1.15</f>
        <v>27191.289999999997</v>
      </c>
      <c r="G374" s="4"/>
      <c r="H374" s="4">
        <f>169.29*1.15</f>
        <v>194.68349999999998</v>
      </c>
      <c r="I374" s="4">
        <f>683.14*1.15</f>
        <v>785.61099999999988</v>
      </c>
      <c r="J374" s="3" t="s">
        <v>20</v>
      </c>
      <c r="K374" s="3" t="s">
        <v>90</v>
      </c>
      <c r="L374" s="3">
        <v>30</v>
      </c>
      <c r="M374" s="3">
        <f>D374/L374</f>
        <v>482.96666666666664</v>
      </c>
      <c r="N374" s="7">
        <f>F374/D374</f>
        <v>1.8766850714335011</v>
      </c>
    </row>
    <row r="375" spans="1:14" hidden="1">
      <c r="A375" s="3" t="s">
        <v>12</v>
      </c>
      <c r="B375" s="3"/>
      <c r="C375" s="3"/>
      <c r="D375" s="3"/>
      <c r="E375" s="3"/>
      <c r="F375" s="4">
        <f>F373+E373+H373+I373</f>
        <v>29181.238499999996</v>
      </c>
      <c r="G375" s="4"/>
      <c r="H375" s="4"/>
      <c r="I375" s="4"/>
      <c r="J375" s="3"/>
      <c r="K375" s="3"/>
      <c r="L375" s="3"/>
      <c r="M375" s="3"/>
      <c r="N375" s="3"/>
    </row>
    <row r="376" spans="1:14" hidden="1">
      <c r="A376" s="3" t="s">
        <v>13</v>
      </c>
      <c r="B376" s="3"/>
      <c r="C376" s="3"/>
      <c r="D376" s="3"/>
      <c r="E376" s="3"/>
      <c r="F376" s="4">
        <f>F374+H374+I374</f>
        <v>28171.584499999997</v>
      </c>
      <c r="G376" s="4"/>
      <c r="H376" s="4"/>
      <c r="I376" s="4"/>
      <c r="J376" s="3"/>
      <c r="K376" s="3"/>
      <c r="L376" s="3"/>
      <c r="M376" s="3"/>
      <c r="N376" s="3"/>
    </row>
    <row r="377" spans="1:14" hidden="1">
      <c r="A377" s="3" t="s">
        <v>14</v>
      </c>
      <c r="B377" s="3"/>
      <c r="C377" s="3"/>
      <c r="D377" s="3"/>
      <c r="E377" s="3"/>
      <c r="F377" s="4">
        <f>F375-F376</f>
        <v>1009.6539999999986</v>
      </c>
      <c r="G377" s="4"/>
      <c r="H377" s="4"/>
      <c r="I377" s="4"/>
      <c r="J377" s="3"/>
      <c r="K377" s="3"/>
      <c r="L377" s="3"/>
      <c r="M377" s="3"/>
      <c r="N377" s="3"/>
    </row>
    <row r="378" spans="1:14" hidden="1"/>
    <row r="379" spans="1:14" hidden="1">
      <c r="A379" s="15">
        <v>44531</v>
      </c>
    </row>
    <row r="380" spans="1:14" hidden="1">
      <c r="A380" s="2" t="s">
        <v>1</v>
      </c>
      <c r="B380" s="2" t="s">
        <v>2</v>
      </c>
      <c r="C380" s="2" t="s">
        <v>3</v>
      </c>
      <c r="D380" s="2" t="s">
        <v>4</v>
      </c>
      <c r="E380" s="2" t="s">
        <v>5</v>
      </c>
      <c r="F380" s="2" t="s">
        <v>6</v>
      </c>
      <c r="G380" s="2" t="s">
        <v>7</v>
      </c>
      <c r="H380" s="2" t="s">
        <v>8</v>
      </c>
      <c r="I380" s="2" t="s">
        <v>9</v>
      </c>
      <c r="J380" s="2" t="s">
        <v>15</v>
      </c>
      <c r="K380" s="2" t="s">
        <v>16</v>
      </c>
      <c r="L380" s="2" t="s">
        <v>17</v>
      </c>
      <c r="M380" s="2" t="s">
        <v>18</v>
      </c>
      <c r="N380" s="2" t="s">
        <v>19</v>
      </c>
    </row>
    <row r="381" spans="1:14" hidden="1">
      <c r="A381" s="3" t="s">
        <v>10</v>
      </c>
      <c r="B381" s="3">
        <f>C373</f>
        <v>1755992</v>
      </c>
      <c r="C381" s="3">
        <v>1770051</v>
      </c>
      <c r="D381" s="3">
        <f>C381-B381</f>
        <v>14059</v>
      </c>
      <c r="E381" s="3">
        <f>3234.38*1.15</f>
        <v>3719.5369999999998</v>
      </c>
      <c r="F381" s="4">
        <f>19708.5*1.15</f>
        <v>22664.774999999998</v>
      </c>
      <c r="G381" s="4"/>
      <c r="H381" s="4">
        <f>169.29*1.15</f>
        <v>194.68349999999998</v>
      </c>
      <c r="I381" s="4">
        <f>683.14*1.15</f>
        <v>785.61099999999988</v>
      </c>
      <c r="J381" s="3" t="s">
        <v>20</v>
      </c>
      <c r="K381" s="3" t="s">
        <v>91</v>
      </c>
      <c r="L381" s="3">
        <v>31</v>
      </c>
      <c r="M381" s="3">
        <f>D381/L381</f>
        <v>453.51612903225805</v>
      </c>
      <c r="N381" s="7">
        <f>(F381+E381)/D381</f>
        <v>1.8766848282239135</v>
      </c>
    </row>
    <row r="382" spans="1:14" hidden="1">
      <c r="A382" s="3" t="s">
        <v>11</v>
      </c>
      <c r="B382" s="3">
        <f>C374</f>
        <v>1751717</v>
      </c>
      <c r="C382" s="3">
        <v>1766454</v>
      </c>
      <c r="D382" s="3">
        <f>C382-B382</f>
        <v>14737</v>
      </c>
      <c r="E382" s="3"/>
      <c r="F382" s="4">
        <f>24049.31*1.15</f>
        <v>27656.7065</v>
      </c>
      <c r="G382" s="4"/>
      <c r="H382" s="4">
        <f>169.29*1.15</f>
        <v>194.68349999999998</v>
      </c>
      <c r="I382" s="4">
        <f>683.14*1.15</f>
        <v>785.61099999999988</v>
      </c>
      <c r="J382" s="3" t="s">
        <v>20</v>
      </c>
      <c r="K382" s="3" t="s">
        <v>92</v>
      </c>
      <c r="L382" s="3">
        <v>31</v>
      </c>
      <c r="M382" s="3">
        <f>D382/L382</f>
        <v>475.38709677419354</v>
      </c>
      <c r="N382" s="7">
        <f>F382/D382</f>
        <v>1.8766849765895366</v>
      </c>
    </row>
    <row r="383" spans="1:14" hidden="1">
      <c r="A383" s="3" t="s">
        <v>12</v>
      </c>
      <c r="B383" s="3"/>
      <c r="C383" s="3"/>
      <c r="D383" s="3"/>
      <c r="E383" s="3"/>
      <c r="F383" s="4">
        <f>F381+E381+H381+I381</f>
        <v>27364.606499999998</v>
      </c>
      <c r="G383" s="4"/>
      <c r="H383" s="4"/>
      <c r="I383" s="4"/>
      <c r="J383" s="3"/>
      <c r="K383" s="3"/>
      <c r="L383" s="3"/>
      <c r="M383" s="3"/>
      <c r="N383" s="3"/>
    </row>
    <row r="384" spans="1:14" hidden="1">
      <c r="A384" s="3" t="s">
        <v>13</v>
      </c>
      <c r="B384" s="3"/>
      <c r="C384" s="3"/>
      <c r="D384" s="3"/>
      <c r="E384" s="3"/>
      <c r="F384" s="4">
        <f>F382+H382+I382</f>
        <v>28637.001</v>
      </c>
      <c r="G384" s="4"/>
      <c r="H384" s="4"/>
      <c r="I384" s="4"/>
      <c r="J384" s="3"/>
      <c r="K384" s="3"/>
      <c r="L384" s="3"/>
      <c r="M384" s="3"/>
      <c r="N384" s="3"/>
    </row>
    <row r="385" spans="1:14" hidden="1">
      <c r="A385" s="3" t="s">
        <v>14</v>
      </c>
      <c r="B385" s="3"/>
      <c r="C385" s="3"/>
      <c r="D385" s="3"/>
      <c r="E385" s="3"/>
      <c r="F385" s="4">
        <f>F383-F384</f>
        <v>-1272.3945000000022</v>
      </c>
      <c r="G385" s="4"/>
      <c r="H385" s="4"/>
      <c r="I385" s="4"/>
      <c r="J385" s="3"/>
      <c r="K385" s="3"/>
      <c r="L385" s="3"/>
      <c r="M385" s="3"/>
      <c r="N385" s="3"/>
    </row>
    <row r="387" spans="1:14">
      <c r="A387" s="15">
        <v>44562</v>
      </c>
    </row>
    <row r="388" spans="1:14">
      <c r="A388" s="2" t="s">
        <v>1</v>
      </c>
      <c r="B388" s="2" t="s">
        <v>2</v>
      </c>
      <c r="C388" s="2" t="s">
        <v>3</v>
      </c>
      <c r="D388" s="2" t="s">
        <v>4</v>
      </c>
      <c r="E388" s="2" t="s">
        <v>5</v>
      </c>
      <c r="F388" s="2" t="s">
        <v>6</v>
      </c>
      <c r="G388" s="2" t="s">
        <v>7</v>
      </c>
      <c r="H388" s="2" t="s">
        <v>8</v>
      </c>
      <c r="I388" s="2" t="s">
        <v>9</v>
      </c>
      <c r="J388" s="2" t="s">
        <v>15</v>
      </c>
      <c r="K388" s="2" t="s">
        <v>16</v>
      </c>
      <c r="L388" s="2" t="s">
        <v>17</v>
      </c>
      <c r="M388" s="2" t="s">
        <v>18</v>
      </c>
      <c r="N388" s="2" t="s">
        <v>19</v>
      </c>
    </row>
    <row r="389" spans="1:14">
      <c r="A389" s="3" t="s">
        <v>10</v>
      </c>
      <c r="B389" s="3">
        <f>C381</f>
        <v>1770051</v>
      </c>
      <c r="C389" s="3">
        <v>1783274</v>
      </c>
      <c r="D389" s="3">
        <f>C389-B389</f>
        <v>13223</v>
      </c>
      <c r="E389" s="3">
        <f>2819.12*1.15</f>
        <v>3241.9879999999998</v>
      </c>
      <c r="F389" s="4">
        <f>18759.49*1.15</f>
        <v>21573.413499999999</v>
      </c>
      <c r="G389" s="4"/>
      <c r="H389" s="4">
        <f>169.29*1.15</f>
        <v>194.68349999999998</v>
      </c>
      <c r="I389" s="4">
        <f>683.14*1.15</f>
        <v>785.61099999999988</v>
      </c>
      <c r="J389" s="3" t="s">
        <v>20</v>
      </c>
      <c r="K389" s="3" t="s">
        <v>93</v>
      </c>
      <c r="L389" s="3">
        <v>28</v>
      </c>
      <c r="M389" s="3">
        <f>D389/L389</f>
        <v>472.25</v>
      </c>
      <c r="N389" s="7">
        <f>(F389+E389)/D389</f>
        <v>1.876684678212206</v>
      </c>
    </row>
    <row r="390" spans="1:14">
      <c r="A390" s="3" t="s">
        <v>11</v>
      </c>
      <c r="B390" s="3">
        <f>C382</f>
        <v>1766454</v>
      </c>
      <c r="C390" s="3">
        <v>1780129</v>
      </c>
      <c r="D390" s="3">
        <f>C390-B390</f>
        <v>13675</v>
      </c>
      <c r="E390" s="3"/>
      <c r="F390" s="4">
        <f>22316.23*1.15</f>
        <v>25663.664499999999</v>
      </c>
      <c r="G390" s="4"/>
      <c r="H390" s="4">
        <f>169.29*1.15</f>
        <v>194.68349999999998</v>
      </c>
      <c r="I390" s="4">
        <f>683.14*1.15</f>
        <v>785.61099999999988</v>
      </c>
      <c r="J390" s="3" t="s">
        <v>20</v>
      </c>
      <c r="K390" s="3" t="s">
        <v>94</v>
      </c>
      <c r="L390" s="3">
        <v>31</v>
      </c>
      <c r="M390" s="3">
        <f>D390/L390</f>
        <v>441.12903225806451</v>
      </c>
      <c r="N390" s="7">
        <f>F390/D390</f>
        <v>1.87668478976234</v>
      </c>
    </row>
    <row r="391" spans="1:14">
      <c r="A391" s="3" t="s">
        <v>12</v>
      </c>
      <c r="B391" s="3"/>
      <c r="C391" s="3"/>
      <c r="D391" s="3"/>
      <c r="E391" s="3"/>
      <c r="F391" s="4">
        <f>F389+E389+H389+I389</f>
        <v>25795.696</v>
      </c>
      <c r="G391" s="4"/>
      <c r="H391" s="4"/>
      <c r="I391" s="4"/>
      <c r="J391" s="3"/>
      <c r="K391" s="3"/>
      <c r="L391" s="3"/>
      <c r="M391" s="3"/>
      <c r="N391" s="3"/>
    </row>
    <row r="392" spans="1:14">
      <c r="A392" s="3" t="s">
        <v>13</v>
      </c>
      <c r="B392" s="3"/>
      <c r="C392" s="3"/>
      <c r="D392" s="3"/>
      <c r="E392" s="3"/>
      <c r="F392" s="4">
        <f>F390+H390+I390</f>
        <v>26643.958999999999</v>
      </c>
      <c r="G392" s="4"/>
      <c r="H392" s="4"/>
      <c r="I392" s="4"/>
      <c r="J392" s="3"/>
      <c r="K392" s="3"/>
      <c r="L392" s="3"/>
      <c r="M392" s="3"/>
      <c r="N392" s="3"/>
    </row>
    <row r="393" spans="1:14">
      <c r="A393" s="3" t="s">
        <v>14</v>
      </c>
      <c r="B393" s="3"/>
      <c r="C393" s="3"/>
      <c r="D393" s="3"/>
      <c r="E393" s="3"/>
      <c r="F393" s="4">
        <f>F391-F392</f>
        <v>-848.26299999999901</v>
      </c>
      <c r="G393" s="4"/>
      <c r="H393" s="4"/>
      <c r="I393" s="4"/>
      <c r="J393" s="3"/>
      <c r="K393" s="3"/>
      <c r="L393" s="3"/>
      <c r="M393" s="3"/>
      <c r="N393" s="3"/>
    </row>
    <row r="395" spans="1:14">
      <c r="A395" s="15">
        <v>44593</v>
      </c>
    </row>
    <row r="396" spans="1:14">
      <c r="A396" s="2" t="s">
        <v>1</v>
      </c>
      <c r="B396" s="2" t="s">
        <v>2</v>
      </c>
      <c r="C396" s="2" t="s">
        <v>3</v>
      </c>
      <c r="D396" s="2" t="s">
        <v>4</v>
      </c>
      <c r="E396" s="2" t="s">
        <v>5</v>
      </c>
      <c r="F396" s="2" t="s">
        <v>6</v>
      </c>
      <c r="G396" s="2" t="s">
        <v>7</v>
      </c>
      <c r="H396" s="2" t="s">
        <v>8</v>
      </c>
      <c r="I396" s="2" t="s">
        <v>9</v>
      </c>
      <c r="J396" s="2" t="s">
        <v>15</v>
      </c>
      <c r="K396" s="2" t="s">
        <v>16</v>
      </c>
      <c r="L396" s="2" t="s">
        <v>17</v>
      </c>
      <c r="M396" s="2" t="s">
        <v>18</v>
      </c>
      <c r="N396" s="2" t="s">
        <v>19</v>
      </c>
    </row>
    <row r="397" spans="1:14">
      <c r="A397" s="3" t="s">
        <v>10</v>
      </c>
      <c r="B397" s="3">
        <f>C389</f>
        <v>1783274</v>
      </c>
      <c r="C397" s="3">
        <v>1796664</v>
      </c>
      <c r="D397" s="3">
        <f>C397-B397</f>
        <v>13390</v>
      </c>
      <c r="E397" s="3">
        <f>2604.76*1.15</f>
        <v>2995.4740000000002</v>
      </c>
      <c r="F397" s="4">
        <f>19246.38*1.15</f>
        <v>22133.337</v>
      </c>
      <c r="G397" s="4"/>
      <c r="H397" s="4">
        <f>169.29*1.15</f>
        <v>194.68349999999998</v>
      </c>
      <c r="I397" s="4">
        <f>683.14*1.15</f>
        <v>785.61099999999988</v>
      </c>
      <c r="J397" s="3" t="s">
        <v>20</v>
      </c>
      <c r="K397" s="3" t="s">
        <v>95</v>
      </c>
      <c r="L397" s="3">
        <v>28</v>
      </c>
      <c r="M397" s="3">
        <f>D397/L397</f>
        <v>478.21428571428572</v>
      </c>
      <c r="N397" s="7">
        <f>(F397+E397)/D397</f>
        <v>1.8766849141150113</v>
      </c>
    </row>
    <row r="398" spans="1:14">
      <c r="A398" s="3" t="s">
        <v>11</v>
      </c>
      <c r="B398" s="3">
        <f>C390</f>
        <v>1780129</v>
      </c>
      <c r="C398" s="3">
        <v>1794947</v>
      </c>
      <c r="D398" s="3">
        <f>C398-B398</f>
        <v>14818</v>
      </c>
      <c r="E398" s="3"/>
      <c r="F398" s="4">
        <f>24181.49*1.15</f>
        <v>27808.713499999998</v>
      </c>
      <c r="G398" s="4"/>
      <c r="H398" s="4">
        <f>169.29*1.15</f>
        <v>194.68349999999998</v>
      </c>
      <c r="I398" s="4">
        <f>683.14*1.15</f>
        <v>785.61099999999988</v>
      </c>
      <c r="J398" s="3" t="s">
        <v>20</v>
      </c>
      <c r="K398" s="3" t="s">
        <v>96</v>
      </c>
      <c r="L398" s="3">
        <v>28</v>
      </c>
      <c r="M398" s="3">
        <f>D398/L398</f>
        <v>529.21428571428567</v>
      </c>
      <c r="N398" s="7">
        <f>F398/D398</f>
        <v>1.8766846740450802</v>
      </c>
    </row>
    <row r="399" spans="1:14">
      <c r="A399" s="3" t="s">
        <v>12</v>
      </c>
      <c r="B399" s="3"/>
      <c r="C399" s="3"/>
      <c r="D399" s="3"/>
      <c r="E399" s="3"/>
      <c r="F399" s="4">
        <f>F397+E397+H397+I397</f>
        <v>26109.105500000001</v>
      </c>
      <c r="G399" s="4"/>
      <c r="H399" s="4"/>
      <c r="I399" s="4"/>
      <c r="J399" s="3"/>
      <c r="K399" s="3"/>
      <c r="L399" s="3"/>
      <c r="M399" s="3"/>
      <c r="N399" s="3"/>
    </row>
    <row r="400" spans="1:14">
      <c r="A400" s="3" t="s">
        <v>13</v>
      </c>
      <c r="B400" s="3"/>
      <c r="C400" s="3"/>
      <c r="D400" s="3"/>
      <c r="E400" s="3"/>
      <c r="F400" s="4">
        <f>F398+H398+I398</f>
        <v>28789.007999999998</v>
      </c>
      <c r="G400" s="4"/>
      <c r="H400" s="4"/>
      <c r="I400" s="4"/>
      <c r="J400" s="3"/>
      <c r="K400" s="3"/>
      <c r="L400" s="3"/>
      <c r="M400" s="3"/>
      <c r="N400" s="3"/>
    </row>
    <row r="401" spans="1:14">
      <c r="A401" s="3" t="s">
        <v>14</v>
      </c>
      <c r="B401" s="3"/>
      <c r="C401" s="3"/>
      <c r="D401" s="3"/>
      <c r="E401" s="3"/>
      <c r="F401" s="4">
        <f>F399-F400</f>
        <v>-2679.9024999999965</v>
      </c>
      <c r="G401" s="4"/>
      <c r="H401" s="4"/>
      <c r="I401" s="4"/>
      <c r="J401" s="3"/>
      <c r="K401" s="3"/>
      <c r="L401" s="3"/>
      <c r="M401" s="3"/>
      <c r="N401" s="3"/>
    </row>
    <row r="403" spans="1:14">
      <c r="A403" s="15">
        <v>44621</v>
      </c>
    </row>
    <row r="404" spans="1:14">
      <c r="A404" s="2" t="s">
        <v>1</v>
      </c>
      <c r="B404" s="2" t="s">
        <v>2</v>
      </c>
      <c r="C404" s="2" t="s">
        <v>3</v>
      </c>
      <c r="D404" s="2" t="s">
        <v>4</v>
      </c>
      <c r="E404" s="2" t="s">
        <v>5</v>
      </c>
      <c r="F404" s="2" t="s">
        <v>6</v>
      </c>
      <c r="G404" s="2" t="s">
        <v>7</v>
      </c>
      <c r="H404" s="2" t="s">
        <v>8</v>
      </c>
      <c r="I404" s="2" t="s">
        <v>9</v>
      </c>
      <c r="J404" s="2" t="s">
        <v>15</v>
      </c>
      <c r="K404" s="2" t="s">
        <v>16</v>
      </c>
      <c r="L404" s="2" t="s">
        <v>17</v>
      </c>
      <c r="M404" s="2" t="s">
        <v>18</v>
      </c>
      <c r="N404" s="2" t="s">
        <v>19</v>
      </c>
    </row>
    <row r="405" spans="1:14">
      <c r="A405" s="3" t="s">
        <v>10</v>
      </c>
      <c r="B405" s="3">
        <f>C397</f>
        <v>1796664</v>
      </c>
      <c r="C405" s="3">
        <v>1811944</v>
      </c>
      <c r="D405" s="3">
        <f>C405-B405</f>
        <v>15280</v>
      </c>
      <c r="E405" s="3">
        <f>2971.64*1.15</f>
        <v>3417.3859999999995</v>
      </c>
      <c r="F405" s="4">
        <f>21963.8*1.15</f>
        <v>25258.37</v>
      </c>
      <c r="G405" s="4"/>
      <c r="H405" s="4">
        <f>169.29*1.15</f>
        <v>194.68349999999998</v>
      </c>
      <c r="I405" s="4">
        <f>683.14*1.15</f>
        <v>785.61099999999988</v>
      </c>
      <c r="J405" s="3" t="s">
        <v>20</v>
      </c>
      <c r="K405" s="3" t="s">
        <v>97</v>
      </c>
      <c r="L405" s="3">
        <v>31</v>
      </c>
      <c r="M405" s="3">
        <f>D405/L405</f>
        <v>492.90322580645159</v>
      </c>
      <c r="N405" s="7">
        <f>(F405+E405)/D405</f>
        <v>1.8766856020942406</v>
      </c>
    </row>
    <row r="406" spans="1:14">
      <c r="A406" s="3" t="s">
        <v>11</v>
      </c>
      <c r="B406" s="3">
        <f>C398</f>
        <v>1794947</v>
      </c>
      <c r="C406" s="3">
        <v>1808568</v>
      </c>
      <c r="D406" s="3">
        <f>C406-B406</f>
        <v>13621</v>
      </c>
      <c r="E406" s="3"/>
      <c r="F406" s="4">
        <f>22228.11*1.15</f>
        <v>25562.326499999999</v>
      </c>
      <c r="G406" s="4"/>
      <c r="H406" s="4">
        <f>169.29*1.15</f>
        <v>194.68349999999998</v>
      </c>
      <c r="I406" s="4">
        <f>683.14*1.15</f>
        <v>785.61099999999988</v>
      </c>
      <c r="J406" s="3" t="s">
        <v>20</v>
      </c>
      <c r="K406" s="3" t="s">
        <v>98</v>
      </c>
      <c r="L406" s="3">
        <v>31</v>
      </c>
      <c r="M406" s="3">
        <f>D406/L406</f>
        <v>439.38709677419354</v>
      </c>
      <c r="N406" s="7">
        <f>F406/D406</f>
        <v>1.8766850084428455</v>
      </c>
    </row>
    <row r="407" spans="1:14">
      <c r="A407" s="3" t="s">
        <v>12</v>
      </c>
      <c r="B407" s="3"/>
      <c r="C407" s="3"/>
      <c r="D407" s="3"/>
      <c r="E407" s="3"/>
      <c r="F407" s="4">
        <f>F405+E405+H405+I405</f>
        <v>29656.050499999998</v>
      </c>
      <c r="G407" s="4"/>
      <c r="H407" s="4"/>
      <c r="I407" s="4"/>
      <c r="J407" s="3"/>
      <c r="K407" s="3"/>
      <c r="L407" s="3"/>
      <c r="M407" s="3"/>
      <c r="N407" s="3"/>
    </row>
    <row r="408" spans="1:14">
      <c r="A408" s="3" t="s">
        <v>13</v>
      </c>
      <c r="B408" s="3"/>
      <c r="C408" s="3"/>
      <c r="D408" s="3"/>
      <c r="E408" s="3"/>
      <c r="F408" s="4">
        <f>F406+H406+I406</f>
        <v>26542.620999999999</v>
      </c>
      <c r="G408" s="4"/>
      <c r="H408" s="4"/>
      <c r="I408" s="4"/>
      <c r="J408" s="3"/>
      <c r="K408" s="3"/>
      <c r="L408" s="3"/>
      <c r="M408" s="3"/>
      <c r="N408" s="3"/>
    </row>
    <row r="409" spans="1:14">
      <c r="A409" s="3" t="s">
        <v>14</v>
      </c>
      <c r="B409" s="3"/>
      <c r="C409" s="3"/>
      <c r="D409" s="3"/>
      <c r="E409" s="3"/>
      <c r="F409" s="4">
        <f>F407-F408</f>
        <v>3113.4294999999984</v>
      </c>
      <c r="G409" s="4"/>
      <c r="H409" s="4"/>
      <c r="I409" s="4"/>
      <c r="J409" s="3"/>
      <c r="K409" s="3"/>
      <c r="L409" s="3"/>
      <c r="M409" s="3"/>
      <c r="N409" s="3"/>
    </row>
    <row r="411" spans="1:14">
      <c r="A411" s="15">
        <v>44652</v>
      </c>
    </row>
    <row r="412" spans="1:14">
      <c r="A412" s="2" t="s">
        <v>1</v>
      </c>
      <c r="B412" s="2" t="s">
        <v>2</v>
      </c>
      <c r="C412" s="2" t="s">
        <v>3</v>
      </c>
      <c r="D412" s="2" t="s">
        <v>4</v>
      </c>
      <c r="E412" s="2" t="s">
        <v>5</v>
      </c>
      <c r="F412" s="2" t="s">
        <v>6</v>
      </c>
      <c r="G412" s="2" t="s">
        <v>7</v>
      </c>
      <c r="H412" s="2" t="s">
        <v>8</v>
      </c>
      <c r="I412" s="2" t="s">
        <v>9</v>
      </c>
      <c r="J412" s="2" t="s">
        <v>15</v>
      </c>
      <c r="K412" s="2" t="s">
        <v>16</v>
      </c>
      <c r="L412" s="2" t="s">
        <v>17</v>
      </c>
      <c r="M412" s="2" t="s">
        <v>18</v>
      </c>
      <c r="N412" s="2" t="s">
        <v>19</v>
      </c>
    </row>
    <row r="413" spans="1:14">
      <c r="A413" s="3" t="s">
        <v>10</v>
      </c>
      <c r="B413" s="3">
        <f>C405</f>
        <v>1811944</v>
      </c>
      <c r="C413" s="3">
        <v>1829129</v>
      </c>
      <c r="D413" s="3">
        <f>C413-B413</f>
        <v>17185</v>
      </c>
      <c r="E413" s="3">
        <f>3478.16*1.15</f>
        <v>3999.8839999999996</v>
      </c>
      <c r="F413" s="4">
        <f>24566.04*1.15</f>
        <v>28250.946</v>
      </c>
      <c r="G413" s="4"/>
      <c r="H413" s="4">
        <f>169.29*1.15</f>
        <v>194.68349999999998</v>
      </c>
      <c r="I413" s="4">
        <f>683.14*1.15</f>
        <v>785.61099999999988</v>
      </c>
      <c r="J413" s="3" t="s">
        <v>20</v>
      </c>
      <c r="K413" s="3" t="s">
        <v>99</v>
      </c>
      <c r="L413" s="3">
        <v>29</v>
      </c>
      <c r="M413" s="3">
        <f>D413/L413</f>
        <v>592.58620689655174</v>
      </c>
      <c r="N413" s="7">
        <f>(F413+E413)/D413</f>
        <v>1.8766848996217631</v>
      </c>
    </row>
    <row r="414" spans="1:14">
      <c r="A414" s="3" t="s">
        <v>11</v>
      </c>
      <c r="B414" s="3">
        <f>C406</f>
        <v>1808568</v>
      </c>
      <c r="C414" s="3">
        <v>1826370</v>
      </c>
      <c r="D414" s="3">
        <f>C414-B414</f>
        <v>17802</v>
      </c>
      <c r="E414" s="3"/>
      <c r="F414" s="4">
        <f>29051.08*1.15</f>
        <v>33408.741999999998</v>
      </c>
      <c r="G414" s="4"/>
      <c r="H414" s="4">
        <f>169.29*1.15</f>
        <v>194.68349999999998</v>
      </c>
      <c r="I414" s="4">
        <f>683.14*1.15</f>
        <v>785.61099999999988</v>
      </c>
      <c r="J414" s="3" t="s">
        <v>20</v>
      </c>
      <c r="K414" s="3" t="s">
        <v>100</v>
      </c>
      <c r="L414" s="3">
        <v>30</v>
      </c>
      <c r="M414" s="3">
        <f>D414/L414</f>
        <v>593.4</v>
      </c>
      <c r="N414" s="7">
        <f>F414/D414</f>
        <v>1.8766847545219638</v>
      </c>
    </row>
    <row r="415" spans="1:14">
      <c r="A415" s="3" t="s">
        <v>12</v>
      </c>
      <c r="B415" s="3"/>
      <c r="C415" s="3"/>
      <c r="D415" s="3"/>
      <c r="E415" s="3"/>
      <c r="F415" s="4">
        <f>F413+E413+H413+I413</f>
        <v>33231.124499999998</v>
      </c>
      <c r="G415" s="4"/>
      <c r="H415" s="4"/>
      <c r="I415" s="4"/>
      <c r="J415" s="3"/>
      <c r="K415" s="3"/>
      <c r="L415" s="3"/>
      <c r="M415" s="3"/>
      <c r="N415" s="3"/>
    </row>
    <row r="416" spans="1:14">
      <c r="A416" s="3" t="s">
        <v>13</v>
      </c>
      <c r="B416" s="3"/>
      <c r="C416" s="3"/>
      <c r="D416" s="3"/>
      <c r="E416" s="3"/>
      <c r="F416" s="4">
        <f>F414+H414+I414</f>
        <v>34389.036499999995</v>
      </c>
      <c r="G416" s="4"/>
      <c r="H416" s="4"/>
      <c r="I416" s="4"/>
      <c r="J416" s="3"/>
      <c r="K416" s="3"/>
      <c r="L416" s="3"/>
      <c r="M416" s="3"/>
      <c r="N416" s="3"/>
    </row>
    <row r="417" spans="1:14">
      <c r="A417" s="3" t="s">
        <v>14</v>
      </c>
      <c r="B417" s="3"/>
      <c r="C417" s="3"/>
      <c r="D417" s="3"/>
      <c r="E417" s="3"/>
      <c r="F417" s="4">
        <f>F415-F416</f>
        <v>-1157.9119999999966</v>
      </c>
      <c r="G417" s="4"/>
      <c r="H417" s="4"/>
      <c r="I417" s="4"/>
      <c r="J417" s="3"/>
      <c r="K417" s="3"/>
      <c r="L417" s="3"/>
      <c r="M417" s="3"/>
      <c r="N417" s="3"/>
    </row>
    <row r="419" spans="1:14">
      <c r="A419" s="15">
        <v>44682</v>
      </c>
    </row>
    <row r="420" spans="1:14">
      <c r="A420" s="2" t="s">
        <v>1</v>
      </c>
      <c r="B420" s="2" t="s">
        <v>2</v>
      </c>
      <c r="C420" s="2" t="s">
        <v>3</v>
      </c>
      <c r="D420" s="2" t="s">
        <v>4</v>
      </c>
      <c r="E420" s="2" t="s">
        <v>5</v>
      </c>
      <c r="F420" s="2" t="s">
        <v>6</v>
      </c>
      <c r="G420" s="2" t="s">
        <v>7</v>
      </c>
      <c r="H420" s="2" t="s">
        <v>8</v>
      </c>
      <c r="I420" s="2" t="s">
        <v>9</v>
      </c>
      <c r="J420" s="2" t="s">
        <v>15</v>
      </c>
      <c r="K420" s="2" t="s">
        <v>16</v>
      </c>
      <c r="L420" s="2" t="s">
        <v>17</v>
      </c>
      <c r="M420" s="2" t="s">
        <v>18</v>
      </c>
      <c r="N420" s="2" t="s">
        <v>19</v>
      </c>
    </row>
    <row r="421" spans="1:14">
      <c r="A421" s="3" t="s">
        <v>10</v>
      </c>
      <c r="B421" s="3">
        <f>C413</f>
        <v>1829129</v>
      </c>
      <c r="C421" s="3">
        <v>1848160</v>
      </c>
      <c r="D421" s="3">
        <f>C421-B421</f>
        <v>19031</v>
      </c>
      <c r="E421" s="3">
        <f>3620.04*1.15</f>
        <v>4163.0459999999994</v>
      </c>
      <c r="F421" s="4">
        <f>27436.65*1.15</f>
        <v>31552.147499999999</v>
      </c>
      <c r="G421" s="4"/>
      <c r="H421" s="4">
        <f>169.29*1.15</f>
        <v>194.68349999999998</v>
      </c>
      <c r="I421" s="4">
        <f>683.14*1.15</f>
        <v>785.61099999999988</v>
      </c>
      <c r="J421" s="3" t="s">
        <v>20</v>
      </c>
      <c r="K421" s="3" t="s">
        <v>101</v>
      </c>
      <c r="L421" s="3">
        <v>32</v>
      </c>
      <c r="M421" s="3">
        <f>D421/L421</f>
        <v>594.71875</v>
      </c>
      <c r="N421" s="7">
        <f>(F421+E421)/D421</f>
        <v>1.8766850664704955</v>
      </c>
    </row>
    <row r="422" spans="1:14">
      <c r="A422" s="3" t="s">
        <v>11</v>
      </c>
      <c r="B422" s="3">
        <f>C414</f>
        <v>1826370</v>
      </c>
      <c r="C422" s="3">
        <v>1844100</v>
      </c>
      <c r="D422" s="3">
        <f>C422-B422</f>
        <v>17730</v>
      </c>
      <c r="E422" s="3"/>
      <c r="F422" s="4">
        <f>28933.59*1.15</f>
        <v>33273.628499999999</v>
      </c>
      <c r="G422" s="4"/>
      <c r="H422" s="4">
        <f>169.29*1.15</f>
        <v>194.68349999999998</v>
      </c>
      <c r="I422" s="4">
        <f>683.14*1.15</f>
        <v>785.61099999999988</v>
      </c>
      <c r="J422" s="3" t="s">
        <v>20</v>
      </c>
      <c r="K422" s="3" t="s">
        <v>102</v>
      </c>
      <c r="L422" s="3">
        <v>30</v>
      </c>
      <c r="M422" s="3">
        <f>D422/L422</f>
        <v>591</v>
      </c>
      <c r="N422" s="7">
        <f>F422/D422</f>
        <v>1.8766851945854484</v>
      </c>
    </row>
    <row r="423" spans="1:14">
      <c r="A423" s="3" t="s">
        <v>12</v>
      </c>
      <c r="B423" s="3"/>
      <c r="C423" s="3"/>
      <c r="D423" s="3"/>
      <c r="E423" s="3"/>
      <c r="F423" s="4">
        <f>F421+E421+H421+I421</f>
        <v>36695.487999999998</v>
      </c>
      <c r="G423" s="4"/>
      <c r="H423" s="4"/>
      <c r="I423" s="4"/>
      <c r="J423" s="3"/>
      <c r="K423" s="3"/>
      <c r="L423" s="3"/>
      <c r="M423" s="3"/>
      <c r="N423" s="3"/>
    </row>
    <row r="424" spans="1:14">
      <c r="A424" s="3" t="s">
        <v>13</v>
      </c>
      <c r="B424" s="3"/>
      <c r="C424" s="3"/>
      <c r="D424" s="3"/>
      <c r="E424" s="3"/>
      <c r="F424" s="4">
        <f>F422+H422+I422</f>
        <v>34253.922999999995</v>
      </c>
      <c r="G424" s="4"/>
      <c r="H424" s="4"/>
      <c r="I424" s="4"/>
      <c r="J424" s="3"/>
      <c r="K424" s="3"/>
      <c r="L424" s="3"/>
      <c r="M424" s="3"/>
      <c r="N424" s="3"/>
    </row>
    <row r="425" spans="1:14">
      <c r="A425" s="3" t="s">
        <v>14</v>
      </c>
      <c r="B425" s="3"/>
      <c r="C425" s="3"/>
      <c r="D425" s="3"/>
      <c r="E425" s="3"/>
      <c r="F425" s="4">
        <f>F423-F424</f>
        <v>2441.5650000000023</v>
      </c>
      <c r="G425" s="4"/>
      <c r="H425" s="4"/>
      <c r="I425" s="4"/>
      <c r="J425" s="3"/>
      <c r="K425" s="3"/>
      <c r="L425" s="3"/>
      <c r="M425" s="3"/>
      <c r="N425" s="3"/>
    </row>
    <row r="427" spans="1:14">
      <c r="A427" s="15">
        <v>44713</v>
      </c>
    </row>
    <row r="428" spans="1:14">
      <c r="A428" s="2" t="s">
        <v>1</v>
      </c>
      <c r="B428" s="2" t="s">
        <v>2</v>
      </c>
      <c r="C428" s="2" t="s">
        <v>3</v>
      </c>
      <c r="D428" s="2" t="s">
        <v>4</v>
      </c>
      <c r="E428" s="2" t="s">
        <v>5</v>
      </c>
      <c r="F428" s="2" t="s">
        <v>6</v>
      </c>
      <c r="G428" s="2" t="s">
        <v>7</v>
      </c>
      <c r="H428" s="2" t="s">
        <v>8</v>
      </c>
      <c r="I428" s="2" t="s">
        <v>9</v>
      </c>
      <c r="J428" s="2" t="s">
        <v>15</v>
      </c>
      <c r="K428" s="2" t="s">
        <v>16</v>
      </c>
      <c r="L428" s="2" t="s">
        <v>17</v>
      </c>
      <c r="M428" s="2" t="s">
        <v>18</v>
      </c>
      <c r="N428" s="2" t="s">
        <v>19</v>
      </c>
    </row>
    <row r="429" spans="1:14">
      <c r="A429" s="3" t="s">
        <v>10</v>
      </c>
      <c r="B429" s="3">
        <f>C421</f>
        <v>1848160</v>
      </c>
      <c r="C429" s="3">
        <v>1868427</v>
      </c>
      <c r="D429" s="3">
        <f>C429-B429</f>
        <v>20267</v>
      </c>
      <c r="E429" s="3">
        <f>3861.36*1.15</f>
        <v>4440.5639999999994</v>
      </c>
      <c r="F429" s="4">
        <f>29212.36*1.15</f>
        <v>33594.214</v>
      </c>
      <c r="G429" s="4"/>
      <c r="H429" s="4">
        <f>181.94*1.15</f>
        <v>209.23099999999999</v>
      </c>
      <c r="I429" s="4">
        <f>734.17*1.15</f>
        <v>844.29549999999983</v>
      </c>
      <c r="J429" s="3" t="s">
        <v>20</v>
      </c>
      <c r="K429" s="3" t="s">
        <v>103</v>
      </c>
      <c r="L429" s="3">
        <v>30</v>
      </c>
      <c r="M429" s="3">
        <f>D429/L429</f>
        <v>675.56666666666672</v>
      </c>
      <c r="N429" s="7">
        <f>(F429+E429)/D429</f>
        <v>1.8766851532047168</v>
      </c>
    </row>
    <row r="430" spans="1:14">
      <c r="A430" s="3" t="s">
        <v>11</v>
      </c>
      <c r="B430" s="3">
        <f>C422</f>
        <v>1844100</v>
      </c>
      <c r="C430" s="3">
        <v>1867669</v>
      </c>
      <c r="D430" s="3">
        <f>C430-B430</f>
        <v>23569</v>
      </c>
      <c r="E430" s="3"/>
      <c r="F430" s="4">
        <f>38462.25*1.15</f>
        <v>44231.587499999994</v>
      </c>
      <c r="G430" s="4"/>
      <c r="H430" s="4">
        <f>181.94*1.15</f>
        <v>209.23099999999999</v>
      </c>
      <c r="I430" s="4">
        <f>734.17*1.15</f>
        <v>844.29549999999983</v>
      </c>
      <c r="J430" s="3" t="s">
        <v>20</v>
      </c>
      <c r="K430" s="3" t="s">
        <v>104</v>
      </c>
      <c r="L430" s="3">
        <v>30</v>
      </c>
      <c r="M430" s="3">
        <f>D430/L430</f>
        <v>785.63333333333333</v>
      </c>
      <c r="N430" s="7">
        <f>F430/D430</f>
        <v>1.8766849463278032</v>
      </c>
    </row>
    <row r="431" spans="1:14">
      <c r="A431" s="3" t="s">
        <v>12</v>
      </c>
      <c r="B431" s="3"/>
      <c r="C431" s="3"/>
      <c r="D431" s="3"/>
      <c r="E431" s="3"/>
      <c r="F431" s="4">
        <f>F429+E429+H429+I429</f>
        <v>39088.304499999998</v>
      </c>
      <c r="G431" s="4"/>
      <c r="H431" s="4"/>
      <c r="I431" s="4"/>
      <c r="J431" s="3"/>
      <c r="K431" s="3"/>
      <c r="L431" s="3"/>
      <c r="M431" s="3"/>
      <c r="N431" s="3"/>
    </row>
    <row r="432" spans="1:14">
      <c r="A432" s="3" t="s">
        <v>13</v>
      </c>
      <c r="B432" s="3"/>
      <c r="C432" s="3"/>
      <c r="D432" s="3"/>
      <c r="E432" s="3"/>
      <c r="F432" s="4">
        <f>F430+H430+I430</f>
        <v>45285.113999999994</v>
      </c>
      <c r="G432" s="4"/>
      <c r="H432" s="4"/>
      <c r="I432" s="4"/>
      <c r="J432" s="3"/>
      <c r="K432" s="3"/>
      <c r="L432" s="3"/>
      <c r="M432" s="3"/>
      <c r="N432" s="3"/>
    </row>
    <row r="433" spans="1:14">
      <c r="A433" s="3" t="s">
        <v>14</v>
      </c>
      <c r="B433" s="3"/>
      <c r="C433" s="3"/>
      <c r="D433" s="3"/>
      <c r="E433" s="3"/>
      <c r="F433" s="4">
        <f>F431-F432</f>
        <v>-6196.8094999999958</v>
      </c>
      <c r="G433" s="4"/>
      <c r="H433" s="4"/>
      <c r="I433" s="4"/>
      <c r="J433" s="3"/>
      <c r="K433" s="3"/>
      <c r="L433" s="3"/>
      <c r="M433" s="3"/>
      <c r="N433" s="3"/>
    </row>
    <row r="435" spans="1:14">
      <c r="A435" s="15">
        <v>44743</v>
      </c>
    </row>
    <row r="436" spans="1:14">
      <c r="A436" s="2" t="s">
        <v>1</v>
      </c>
      <c r="B436" s="2" t="s">
        <v>2</v>
      </c>
      <c r="C436" s="2" t="s">
        <v>3</v>
      </c>
      <c r="D436" s="2" t="s">
        <v>4</v>
      </c>
      <c r="E436" s="2" t="s">
        <v>5</v>
      </c>
      <c r="F436" s="2" t="s">
        <v>6</v>
      </c>
      <c r="G436" s="2" t="s">
        <v>7</v>
      </c>
      <c r="H436" s="2" t="s">
        <v>8</v>
      </c>
      <c r="I436" s="2" t="s">
        <v>9</v>
      </c>
      <c r="J436" s="2" t="s">
        <v>15</v>
      </c>
      <c r="K436" s="2" t="s">
        <v>16</v>
      </c>
      <c r="L436" s="2" t="s">
        <v>17</v>
      </c>
      <c r="M436" s="2" t="s">
        <v>18</v>
      </c>
      <c r="N436" s="2" t="s">
        <v>19</v>
      </c>
    </row>
    <row r="437" spans="1:14">
      <c r="A437" s="3" t="s">
        <v>10</v>
      </c>
      <c r="B437" s="3">
        <f>C429</f>
        <v>1868427</v>
      </c>
      <c r="C437" s="3">
        <v>1887058</v>
      </c>
      <c r="D437" s="3">
        <f>C437-B437</f>
        <v>18631</v>
      </c>
      <c r="E437" s="3">
        <f>4398.22*1.15</f>
        <v>5057.9529999999995</v>
      </c>
      <c r="F437" s="4">
        <f>28276.83*1.15</f>
        <v>32518.354500000001</v>
      </c>
      <c r="G437" s="4"/>
      <c r="H437" s="4">
        <f>181.94*1.15</f>
        <v>209.23099999999999</v>
      </c>
      <c r="I437" s="4">
        <f>734.17*1.15</f>
        <v>844.29549999999983</v>
      </c>
      <c r="J437" s="3" t="s">
        <v>20</v>
      </c>
      <c r="K437" s="3" t="s">
        <v>105</v>
      </c>
      <c r="L437" s="3">
        <v>29</v>
      </c>
      <c r="M437" s="3">
        <f>D437/L437</f>
        <v>642.44827586206895</v>
      </c>
      <c r="N437" s="7">
        <f>(F437+E437)/D437</f>
        <v>2.0168701357951804</v>
      </c>
    </row>
    <row r="438" spans="1:14">
      <c r="A438" s="3" t="s">
        <v>11</v>
      </c>
      <c r="B438" s="3">
        <f>C430</f>
        <v>1867669</v>
      </c>
      <c r="C438" s="3">
        <v>1891085</v>
      </c>
      <c r="D438" s="3">
        <f>C438-B438</f>
        <v>23416</v>
      </c>
      <c r="E438" s="3"/>
      <c r="F438" s="4">
        <f>41068.4*1.15</f>
        <v>47228.659999999996</v>
      </c>
      <c r="G438" s="4"/>
      <c r="H438" s="4">
        <f>181.94*1.15</f>
        <v>209.23099999999999</v>
      </c>
      <c r="I438" s="4">
        <f>734.17*1.15</f>
        <v>844.29549999999983</v>
      </c>
      <c r="J438" s="3" t="s">
        <v>51</v>
      </c>
      <c r="K438" s="3" t="s">
        <v>106</v>
      </c>
      <c r="L438" s="3">
        <v>34</v>
      </c>
      <c r="M438" s="3">
        <f>D438/L438</f>
        <v>688.70588235294122</v>
      </c>
      <c r="N438" s="7">
        <f>F438/D438</f>
        <v>2.0169396993508713</v>
      </c>
    </row>
    <row r="439" spans="1:14">
      <c r="A439" s="3" t="s">
        <v>12</v>
      </c>
      <c r="B439" s="3"/>
      <c r="C439" s="3"/>
      <c r="D439" s="3"/>
      <c r="E439" s="3"/>
      <c r="F439" s="4">
        <f>F437+E437+H437+I437</f>
        <v>38629.834000000003</v>
      </c>
      <c r="G439" s="4"/>
      <c r="H439" s="4"/>
      <c r="I439" s="4"/>
      <c r="J439" s="3"/>
      <c r="K439" s="3"/>
      <c r="L439" s="3"/>
      <c r="M439" s="3"/>
      <c r="N439" s="3"/>
    </row>
    <row r="440" spans="1:14">
      <c r="A440" s="3" t="s">
        <v>13</v>
      </c>
      <c r="B440" s="3"/>
      <c r="C440" s="3"/>
      <c r="D440" s="3"/>
      <c r="E440" s="3"/>
      <c r="F440" s="4">
        <f>F438+H438+I438</f>
        <v>48282.186499999996</v>
      </c>
      <c r="G440" s="4"/>
      <c r="H440" s="4"/>
      <c r="I440" s="4"/>
      <c r="J440" s="3"/>
      <c r="K440" s="3"/>
      <c r="L440" s="3"/>
      <c r="M440" s="3"/>
      <c r="N440" s="3"/>
    </row>
    <row r="441" spans="1:14">
      <c r="A441" s="3" t="s">
        <v>14</v>
      </c>
      <c r="B441" s="3"/>
      <c r="C441" s="3"/>
      <c r="D441" s="3"/>
      <c r="E441" s="3"/>
      <c r="F441" s="4">
        <f>F439-F440</f>
        <v>-9652.3524999999936</v>
      </c>
      <c r="G441" s="4"/>
      <c r="H441" s="4"/>
      <c r="I441" s="4"/>
      <c r="J441" s="3"/>
      <c r="K441" s="3"/>
      <c r="L441" s="3"/>
      <c r="M441" s="3"/>
      <c r="N441" s="3"/>
    </row>
    <row r="443" spans="1:14">
      <c r="A443" s="15">
        <v>44774</v>
      </c>
    </row>
    <row r="444" spans="1:14">
      <c r="A444" s="2" t="s">
        <v>1</v>
      </c>
      <c r="B444" s="2" t="s">
        <v>2</v>
      </c>
      <c r="C444" s="2" t="s">
        <v>3</v>
      </c>
      <c r="D444" s="2" t="s">
        <v>4</v>
      </c>
      <c r="E444" s="2" t="s">
        <v>5</v>
      </c>
      <c r="F444" s="2" t="s">
        <v>6</v>
      </c>
      <c r="G444" s="2" t="s">
        <v>7</v>
      </c>
      <c r="H444" s="2" t="s">
        <v>8</v>
      </c>
      <c r="I444" s="2" t="s">
        <v>9</v>
      </c>
      <c r="J444" s="2" t="s">
        <v>15</v>
      </c>
      <c r="K444" s="2" t="s">
        <v>16</v>
      </c>
      <c r="L444" s="2" t="s">
        <v>17</v>
      </c>
      <c r="M444" s="2" t="s">
        <v>18</v>
      </c>
      <c r="N444" s="2" t="s">
        <v>19</v>
      </c>
    </row>
    <row r="445" spans="1:14">
      <c r="A445" s="3" t="s">
        <v>10</v>
      </c>
      <c r="B445" s="3">
        <f>C437</f>
        <v>1887058</v>
      </c>
      <c r="C445" s="3">
        <v>1908085</v>
      </c>
      <c r="D445" s="3">
        <f>C445-B445</f>
        <v>21027</v>
      </c>
      <c r="E445" s="3">
        <f>2918.96*1.15</f>
        <v>3356.8039999999996</v>
      </c>
      <c r="F445" s="4">
        <f>33958.19*1.15</f>
        <v>39051.9185</v>
      </c>
      <c r="G445" s="4"/>
      <c r="H445" s="4">
        <f>181.94*1.15</f>
        <v>209.23099999999999</v>
      </c>
      <c r="I445" s="4">
        <f>734.17*1.15</f>
        <v>844.29549999999983</v>
      </c>
      <c r="J445" s="3" t="s">
        <v>20</v>
      </c>
      <c r="K445" s="3" t="s">
        <v>107</v>
      </c>
      <c r="L445" s="3">
        <v>33</v>
      </c>
      <c r="M445" s="3">
        <f>D445/L445</f>
        <v>637.18181818181813</v>
      </c>
      <c r="N445" s="7">
        <f>(F445+E445)/D445</f>
        <v>2.0168698578018738</v>
      </c>
    </row>
    <row r="446" spans="1:14">
      <c r="A446" s="3" t="s">
        <v>11</v>
      </c>
      <c r="B446" s="3">
        <f>C438</f>
        <v>1891085</v>
      </c>
      <c r="C446" s="3">
        <v>1909139</v>
      </c>
      <c r="D446" s="3">
        <f>C446-B446</f>
        <v>18054</v>
      </c>
      <c r="E446" s="3"/>
      <c r="F446" s="4">
        <f>31663.24*1.15</f>
        <v>36412.726000000002</v>
      </c>
      <c r="G446" s="4"/>
      <c r="H446" s="4">
        <f>181.94*1.15</f>
        <v>209.23099999999999</v>
      </c>
      <c r="I446" s="4">
        <f>734.17*1.15</f>
        <v>844.29549999999983</v>
      </c>
      <c r="J446" s="3" t="s">
        <v>51</v>
      </c>
      <c r="K446" s="3" t="s">
        <v>108</v>
      </c>
      <c r="L446" s="3">
        <v>30</v>
      </c>
      <c r="M446" s="3">
        <f>D446/L446</f>
        <v>601.79999999999995</v>
      </c>
      <c r="N446" s="7">
        <f>F446/D446</f>
        <v>2.016878586462834</v>
      </c>
    </row>
    <row r="447" spans="1:14">
      <c r="A447" s="3" t="s">
        <v>12</v>
      </c>
      <c r="B447" s="3"/>
      <c r="C447" s="3"/>
      <c r="D447" s="3"/>
      <c r="E447" s="3"/>
      <c r="F447" s="4">
        <f>F445+E445+H445+I445</f>
        <v>43462.248999999996</v>
      </c>
      <c r="G447" s="4"/>
      <c r="H447" s="4"/>
      <c r="I447" s="4"/>
      <c r="J447" s="3"/>
      <c r="K447" s="3"/>
      <c r="L447" s="3"/>
      <c r="M447" s="3"/>
      <c r="N447" s="3"/>
    </row>
    <row r="448" spans="1:14">
      <c r="A448" s="3" t="s">
        <v>13</v>
      </c>
      <c r="B448" s="3"/>
      <c r="C448" s="3"/>
      <c r="D448" s="3"/>
      <c r="E448" s="3"/>
      <c r="F448" s="4">
        <f>F446+H446+I446</f>
        <v>37466.252500000002</v>
      </c>
      <c r="G448" s="4"/>
      <c r="H448" s="4"/>
      <c r="I448" s="4"/>
      <c r="J448" s="3"/>
      <c r="K448" s="3"/>
      <c r="L448" s="3"/>
      <c r="M448" s="3"/>
      <c r="N448" s="3"/>
    </row>
    <row r="449" spans="1:14">
      <c r="A449" s="3" t="s">
        <v>14</v>
      </c>
      <c r="B449" s="3"/>
      <c r="C449" s="3"/>
      <c r="D449" s="3"/>
      <c r="E449" s="3"/>
      <c r="F449" s="4">
        <f>F447-F448</f>
        <v>5995.9964999999938</v>
      </c>
      <c r="G449" s="4"/>
      <c r="H449" s="4"/>
      <c r="I449" s="4"/>
      <c r="J449" s="3"/>
      <c r="K449" s="3"/>
      <c r="L449" s="3"/>
      <c r="M449" s="3"/>
      <c r="N449" s="3"/>
    </row>
    <row r="451" spans="1:14">
      <c r="A451" s="15">
        <v>44805</v>
      </c>
    </row>
    <row r="452" spans="1:14">
      <c r="A452" s="2" t="s">
        <v>1</v>
      </c>
      <c r="B452" s="2" t="s">
        <v>2</v>
      </c>
      <c r="C452" s="2" t="s">
        <v>3</v>
      </c>
      <c r="D452" s="2" t="s">
        <v>4</v>
      </c>
      <c r="E452" s="2" t="s">
        <v>5</v>
      </c>
      <c r="F452" s="2" t="s">
        <v>6</v>
      </c>
      <c r="G452" s="2" t="s">
        <v>7</v>
      </c>
      <c r="H452" s="2" t="s">
        <v>8</v>
      </c>
      <c r="I452" s="2" t="s">
        <v>9</v>
      </c>
      <c r="J452" s="2" t="s">
        <v>15</v>
      </c>
      <c r="K452" s="2" t="s">
        <v>16</v>
      </c>
      <c r="L452" s="2" t="s">
        <v>17</v>
      </c>
      <c r="M452" s="2" t="s">
        <v>18</v>
      </c>
      <c r="N452" s="2" t="s">
        <v>19</v>
      </c>
    </row>
    <row r="453" spans="1:14">
      <c r="A453" s="3" t="s">
        <v>10</v>
      </c>
      <c r="B453" s="3">
        <f>C445</f>
        <v>1908085</v>
      </c>
      <c r="C453" s="3">
        <v>1924186</v>
      </c>
      <c r="D453" s="3">
        <f>C453-B453</f>
        <v>16101</v>
      </c>
      <c r="E453" s="3">
        <f>4315.6*1.15</f>
        <v>4962.9399999999996</v>
      </c>
      <c r="F453" s="4">
        <f>23922.33*1.15</f>
        <v>27510.679499999998</v>
      </c>
      <c r="G453" s="4"/>
      <c r="H453" s="4">
        <f>181.94*1.15</f>
        <v>209.23099999999999</v>
      </c>
      <c r="I453" s="4">
        <f>734.17*1.15</f>
        <v>844.29549999999983</v>
      </c>
      <c r="J453" s="3" t="s">
        <v>20</v>
      </c>
      <c r="K453" s="3" t="s">
        <v>109</v>
      </c>
      <c r="L453" s="3">
        <v>30</v>
      </c>
      <c r="M453" s="3">
        <f>D453/L453</f>
        <v>536.70000000000005</v>
      </c>
      <c r="N453" s="7">
        <f>(F453+E453)/D453</f>
        <v>2.0168697285882864</v>
      </c>
    </row>
    <row r="454" spans="1:14">
      <c r="A454" s="3" t="s">
        <v>11</v>
      </c>
      <c r="B454" s="3">
        <f>C446</f>
        <v>1909139</v>
      </c>
      <c r="C454" s="3">
        <v>1924114</v>
      </c>
      <c r="D454" s="3">
        <f>C454-B454</f>
        <v>14975</v>
      </c>
      <c r="E454" s="3"/>
      <c r="F454" s="4">
        <f>26262.52*1.15</f>
        <v>30201.897999999997</v>
      </c>
      <c r="G454" s="4"/>
      <c r="H454" s="4">
        <f>181.94*1.15</f>
        <v>209.23099999999999</v>
      </c>
      <c r="I454" s="4">
        <f>734.17*1.15</f>
        <v>844.29549999999983</v>
      </c>
      <c r="J454" s="3" t="s">
        <v>51</v>
      </c>
      <c r="K454" s="3" t="s">
        <v>110</v>
      </c>
      <c r="L454" s="3">
        <v>32</v>
      </c>
      <c r="M454" s="3">
        <f>D454/L454</f>
        <v>467.96875</v>
      </c>
      <c r="N454" s="7">
        <f>F454/D454</f>
        <v>2.0168212353923205</v>
      </c>
    </row>
    <row r="455" spans="1:14">
      <c r="A455" s="3" t="s">
        <v>12</v>
      </c>
      <c r="B455" s="3"/>
      <c r="C455" s="3"/>
      <c r="D455" s="3"/>
      <c r="E455" s="3"/>
      <c r="F455" s="4">
        <f>F453+E453+H453+I453</f>
        <v>33527.145999999993</v>
      </c>
      <c r="G455" s="4"/>
      <c r="H455" s="4"/>
      <c r="I455" s="4"/>
      <c r="J455" s="3"/>
      <c r="K455" s="3"/>
      <c r="L455" s="3"/>
      <c r="M455" s="3"/>
      <c r="N455" s="3"/>
    </row>
    <row r="456" spans="1:14">
      <c r="A456" s="3" t="s">
        <v>13</v>
      </c>
      <c r="B456" s="3"/>
      <c r="C456" s="3"/>
      <c r="D456" s="3"/>
      <c r="E456" s="3"/>
      <c r="F456" s="4">
        <f>F454+H454+I454</f>
        <v>31255.424499999997</v>
      </c>
      <c r="G456" s="4"/>
      <c r="H456" s="4"/>
      <c r="I456" s="4"/>
      <c r="J456" s="3"/>
      <c r="K456" s="3"/>
      <c r="L456" s="3"/>
      <c r="M456" s="3"/>
      <c r="N456" s="3"/>
    </row>
    <row r="457" spans="1:14">
      <c r="A457" s="3" t="s">
        <v>14</v>
      </c>
      <c r="B457" s="3"/>
      <c r="C457" s="3"/>
      <c r="D457" s="3"/>
      <c r="E457" s="3"/>
      <c r="F457" s="4">
        <f>F455-F456</f>
        <v>2271.721499999996</v>
      </c>
      <c r="G457" s="4"/>
      <c r="H457" s="4"/>
      <c r="I457" s="4"/>
      <c r="J457" s="3"/>
      <c r="K457" s="3"/>
      <c r="L457" s="3"/>
      <c r="M457" s="3"/>
      <c r="N457" s="3"/>
    </row>
    <row r="459" spans="1:14">
      <c r="A459" s="15">
        <v>44835</v>
      </c>
    </row>
    <row r="460" spans="1:14">
      <c r="A460" s="2" t="s">
        <v>1</v>
      </c>
      <c r="B460" s="2" t="s">
        <v>2</v>
      </c>
      <c r="C460" s="2" t="s">
        <v>3</v>
      </c>
      <c r="D460" s="2" t="s">
        <v>4</v>
      </c>
      <c r="E460" s="2" t="s">
        <v>5</v>
      </c>
      <c r="F460" s="2" t="s">
        <v>6</v>
      </c>
      <c r="G460" s="2" t="s">
        <v>7</v>
      </c>
      <c r="H460" s="2" t="s">
        <v>8</v>
      </c>
      <c r="I460" s="2" t="s">
        <v>9</v>
      </c>
      <c r="J460" s="2" t="s">
        <v>15</v>
      </c>
      <c r="K460" s="2" t="s">
        <v>16</v>
      </c>
      <c r="L460" s="2" t="s">
        <v>17</v>
      </c>
      <c r="M460" s="2" t="s">
        <v>18</v>
      </c>
      <c r="N460" s="2" t="s">
        <v>19</v>
      </c>
    </row>
    <row r="461" spans="1:14">
      <c r="A461" s="3" t="s">
        <v>10</v>
      </c>
      <c r="B461" s="3">
        <f>C453</f>
        <v>1924186</v>
      </c>
      <c r="C461" s="3">
        <v>1938578</v>
      </c>
      <c r="D461" s="3">
        <f>C461-B461</f>
        <v>14392</v>
      </c>
      <c r="E461" s="3">
        <f>2943.38*1.15</f>
        <v>3384.8869999999997</v>
      </c>
      <c r="F461" s="4">
        <f>22297.31*1.15</f>
        <v>25641.906500000001</v>
      </c>
      <c r="G461" s="4"/>
      <c r="H461" s="4">
        <f>181.94*1.15</f>
        <v>209.23099999999999</v>
      </c>
      <c r="I461" s="4">
        <f>734.17*1.15</f>
        <v>844.29549999999983</v>
      </c>
      <c r="J461" s="3" t="s">
        <v>20</v>
      </c>
      <c r="K461" s="3" t="s">
        <v>111</v>
      </c>
      <c r="L461" s="3">
        <v>31</v>
      </c>
      <c r="M461" s="3">
        <f>D461/L461</f>
        <v>464.25806451612902</v>
      </c>
      <c r="N461" s="7">
        <f>(F461+E461)/D461</f>
        <v>2.0168700319622013</v>
      </c>
    </row>
    <row r="462" spans="1:14">
      <c r="A462" s="3" t="s">
        <v>11</v>
      </c>
      <c r="B462" s="3">
        <f>C454</f>
        <v>1924114</v>
      </c>
      <c r="C462" s="3">
        <v>1937084</v>
      </c>
      <c r="D462" s="3">
        <f>C462-B462</f>
        <v>12970</v>
      </c>
      <c r="E462" s="3"/>
      <c r="F462" s="4">
        <f>22747.34*1.15</f>
        <v>26159.440999999999</v>
      </c>
      <c r="G462" s="4"/>
      <c r="H462" s="4">
        <f>181.94*1.15</f>
        <v>209.23099999999999</v>
      </c>
      <c r="I462" s="4">
        <f>734.17*1.15</f>
        <v>844.29549999999983</v>
      </c>
      <c r="J462" s="3" t="s">
        <v>51</v>
      </c>
      <c r="K462" s="3" t="s">
        <v>112</v>
      </c>
      <c r="L462" s="3">
        <v>29</v>
      </c>
      <c r="M462" s="3">
        <f>D462/L462</f>
        <v>447.24137931034483</v>
      </c>
      <c r="N462" s="7">
        <f>F462/D462</f>
        <v>2.0169191210485735</v>
      </c>
    </row>
    <row r="463" spans="1:14">
      <c r="A463" s="3" t="s">
        <v>12</v>
      </c>
      <c r="B463" s="3"/>
      <c r="C463" s="3"/>
      <c r="D463" s="3"/>
      <c r="E463" s="3"/>
      <c r="F463" s="4">
        <f>F461+E461+H461+I461</f>
        <v>30080.32</v>
      </c>
      <c r="G463" s="4"/>
      <c r="H463" s="4"/>
      <c r="I463" s="4"/>
      <c r="J463" s="3"/>
      <c r="K463" s="3"/>
      <c r="L463" s="3"/>
      <c r="M463" s="3"/>
      <c r="N463" s="3"/>
    </row>
    <row r="464" spans="1:14">
      <c r="A464" s="3" t="s">
        <v>13</v>
      </c>
      <c r="B464" s="3"/>
      <c r="C464" s="3"/>
      <c r="D464" s="3"/>
      <c r="E464" s="3"/>
      <c r="F464" s="4">
        <f>F462+H462+I462</f>
        <v>27212.967499999999</v>
      </c>
      <c r="G464" s="4"/>
      <c r="H464" s="4"/>
      <c r="I464" s="4"/>
      <c r="J464" s="3"/>
      <c r="K464" s="3"/>
      <c r="L464" s="3"/>
      <c r="M464" s="3"/>
      <c r="N464" s="3"/>
    </row>
    <row r="465" spans="1:14">
      <c r="A465" s="3" t="s">
        <v>14</v>
      </c>
      <c r="B465" s="3"/>
      <c r="C465" s="3"/>
      <c r="D465" s="3"/>
      <c r="E465" s="3"/>
      <c r="F465" s="4">
        <f>F463-F464</f>
        <v>2867.3525000000009</v>
      </c>
      <c r="G465" s="4"/>
      <c r="H465" s="4"/>
      <c r="I465" s="4"/>
      <c r="J465" s="3"/>
      <c r="K465" s="3"/>
      <c r="L465" s="3"/>
      <c r="M465" s="3"/>
      <c r="N465" s="3"/>
    </row>
    <row r="467" spans="1:14">
      <c r="A467" s="15">
        <v>44866</v>
      </c>
    </row>
    <row r="468" spans="1:14">
      <c r="A468" s="2" t="s">
        <v>1</v>
      </c>
      <c r="B468" s="2" t="s">
        <v>2</v>
      </c>
      <c r="C468" s="2" t="s">
        <v>3</v>
      </c>
      <c r="D468" s="2" t="s">
        <v>4</v>
      </c>
      <c r="E468" s="2" t="s">
        <v>5</v>
      </c>
      <c r="F468" s="2" t="s">
        <v>6</v>
      </c>
      <c r="G468" s="2" t="s">
        <v>7</v>
      </c>
      <c r="H468" s="2" t="s">
        <v>8</v>
      </c>
      <c r="I468" s="2" t="s">
        <v>9</v>
      </c>
      <c r="J468" s="2" t="s">
        <v>15</v>
      </c>
      <c r="K468" s="2" t="s">
        <v>16</v>
      </c>
      <c r="L468" s="2" t="s">
        <v>17</v>
      </c>
      <c r="M468" s="2" t="s">
        <v>18</v>
      </c>
      <c r="N468" s="2" t="s">
        <v>19</v>
      </c>
    </row>
    <row r="469" spans="1:14">
      <c r="A469" s="3" t="s">
        <v>10</v>
      </c>
      <c r="B469" s="3">
        <f>C461</f>
        <v>1938578</v>
      </c>
      <c r="C469" s="3">
        <v>1954432</v>
      </c>
      <c r="D469" s="3">
        <f>C469-B469</f>
        <v>15854</v>
      </c>
      <c r="E469" s="3">
        <f>2603.55*1.15</f>
        <v>2994.0825</v>
      </c>
      <c r="F469" s="4">
        <f>25201.2*1.15</f>
        <v>28981.379999999997</v>
      </c>
      <c r="G469" s="4"/>
      <c r="H469" s="4">
        <f>181.94*1.15</f>
        <v>209.23099999999999</v>
      </c>
      <c r="I469" s="4">
        <f>734.17*1.15</f>
        <v>844.29549999999983</v>
      </c>
      <c r="J469" s="3" t="s">
        <v>20</v>
      </c>
      <c r="K469" s="3" t="s">
        <v>113</v>
      </c>
      <c r="L469" s="3">
        <v>30</v>
      </c>
      <c r="M469" s="3">
        <f>D469/L469</f>
        <v>528.4666666666667</v>
      </c>
      <c r="N469" s="7">
        <f>(F469+E469)/D469</f>
        <v>2.016870348177116</v>
      </c>
    </row>
    <row r="470" spans="1:14">
      <c r="A470" s="3" t="s">
        <v>11</v>
      </c>
      <c r="B470" s="3">
        <f>C462</f>
        <v>1937084</v>
      </c>
      <c r="C470" s="3">
        <v>1949503</v>
      </c>
      <c r="D470" s="3">
        <f>C470-B470</f>
        <v>12419</v>
      </c>
      <c r="E470" s="3"/>
      <c r="F470" s="4">
        <f>21780.17*1.15</f>
        <v>25047.195499999994</v>
      </c>
      <c r="G470" s="4"/>
      <c r="H470" s="4">
        <f>181.94*1.15</f>
        <v>209.23099999999999</v>
      </c>
      <c r="I470" s="4">
        <f>734.17*1.15</f>
        <v>844.29549999999983</v>
      </c>
      <c r="J470" s="3" t="s">
        <v>51</v>
      </c>
      <c r="K470" s="3" t="s">
        <v>114</v>
      </c>
      <c r="L470" s="3">
        <v>30</v>
      </c>
      <c r="M470" s="3">
        <f>D470/L470</f>
        <v>413.96666666666664</v>
      </c>
      <c r="N470" s="7">
        <f>F470/D470</f>
        <v>2.0168447942668486</v>
      </c>
    </row>
    <row r="471" spans="1:14">
      <c r="A471" s="3" t="s">
        <v>12</v>
      </c>
      <c r="B471" s="3"/>
      <c r="C471" s="3"/>
      <c r="D471" s="3"/>
      <c r="E471" s="3"/>
      <c r="F471" s="4">
        <f>F469+E469+H469+I469</f>
        <v>33028.988999999994</v>
      </c>
      <c r="G471" s="4"/>
      <c r="H471" s="4"/>
      <c r="I471" s="4"/>
      <c r="J471" s="3"/>
      <c r="K471" s="3"/>
      <c r="L471" s="3"/>
      <c r="M471" s="3"/>
      <c r="N471" s="3"/>
    </row>
    <row r="472" spans="1:14">
      <c r="A472" s="3" t="s">
        <v>13</v>
      </c>
      <c r="B472" s="3"/>
      <c r="C472" s="3"/>
      <c r="D472" s="3"/>
      <c r="E472" s="3"/>
      <c r="F472" s="4">
        <f>F470+H470+I470</f>
        <v>26100.721999999994</v>
      </c>
      <c r="G472" s="4"/>
      <c r="H472" s="4"/>
      <c r="I472" s="4"/>
      <c r="J472" s="3"/>
      <c r="K472" s="3"/>
      <c r="L472" s="3"/>
      <c r="M472" s="3"/>
      <c r="N472" s="3"/>
    </row>
    <row r="473" spans="1:14">
      <c r="A473" s="3" t="s">
        <v>14</v>
      </c>
      <c r="B473" s="3"/>
      <c r="C473" s="3"/>
      <c r="D473" s="3"/>
      <c r="E473" s="3"/>
      <c r="F473" s="4">
        <f>F471-F472</f>
        <v>6928.2669999999998</v>
      </c>
      <c r="G473" s="4"/>
      <c r="H473" s="4"/>
      <c r="I473" s="4"/>
      <c r="J473" s="3"/>
      <c r="K473" s="3"/>
      <c r="L473" s="3"/>
      <c r="M473" s="3"/>
      <c r="N473" s="3"/>
    </row>
    <row r="475" spans="1:14">
      <c r="A475" s="15">
        <v>44896</v>
      </c>
    </row>
    <row r="476" spans="1:14">
      <c r="A476" s="2" t="s">
        <v>1</v>
      </c>
      <c r="B476" s="2" t="s">
        <v>2</v>
      </c>
      <c r="C476" s="2" t="s">
        <v>3</v>
      </c>
      <c r="D476" s="2" t="s">
        <v>4</v>
      </c>
      <c r="E476" s="2" t="s">
        <v>5</v>
      </c>
      <c r="F476" s="2" t="s">
        <v>6</v>
      </c>
      <c r="G476" s="2" t="s">
        <v>7</v>
      </c>
      <c r="H476" s="2" t="s">
        <v>8</v>
      </c>
      <c r="I476" s="2" t="s">
        <v>9</v>
      </c>
      <c r="J476" s="2" t="s">
        <v>15</v>
      </c>
      <c r="K476" s="2" t="s">
        <v>16</v>
      </c>
      <c r="L476" s="2" t="s">
        <v>17</v>
      </c>
      <c r="M476" s="2" t="s">
        <v>18</v>
      </c>
      <c r="N476" s="2" t="s">
        <v>19</v>
      </c>
    </row>
    <row r="477" spans="1:14">
      <c r="A477" s="3" t="s">
        <v>10</v>
      </c>
      <c r="B477" s="3">
        <f>C469</f>
        <v>1954432</v>
      </c>
      <c r="C477" s="3">
        <v>1970325</v>
      </c>
      <c r="D477" s="3">
        <f>C477-B477</f>
        <v>15893</v>
      </c>
      <c r="E477" s="3">
        <f>2890.48*1.15</f>
        <v>3324.0519999999997</v>
      </c>
      <c r="F477" s="4">
        <f>24982.67*1.15</f>
        <v>28730.070499999994</v>
      </c>
      <c r="G477" s="4"/>
      <c r="H477" s="4">
        <f>181.94*1.15</f>
        <v>209.23099999999999</v>
      </c>
      <c r="I477" s="4">
        <f>734.17*1.15</f>
        <v>844.29549999999983</v>
      </c>
      <c r="J477" s="3" t="s">
        <v>20</v>
      </c>
      <c r="K477" s="3" t="s">
        <v>115</v>
      </c>
      <c r="L477" s="3">
        <v>35</v>
      </c>
      <c r="M477" s="3">
        <f>D477/L477</f>
        <v>454.08571428571429</v>
      </c>
      <c r="N477" s="7">
        <f>(F477+E477)/D477</f>
        <v>2.0168704775687405</v>
      </c>
    </row>
    <row r="478" spans="1:14">
      <c r="A478" s="3" t="s">
        <v>11</v>
      </c>
      <c r="B478" s="3">
        <f>C470</f>
        <v>1949503</v>
      </c>
      <c r="C478" s="3">
        <v>1965124</v>
      </c>
      <c r="D478" s="3">
        <f>C478-B478</f>
        <v>15621</v>
      </c>
      <c r="E478" s="3"/>
      <c r="F478" s="4">
        <f>27395.59*1.15</f>
        <v>31504.928499999998</v>
      </c>
      <c r="G478" s="4"/>
      <c r="H478" s="4">
        <f>181.94*1.15</f>
        <v>209.23099999999999</v>
      </c>
      <c r="I478" s="4">
        <f>734.17*1.15</f>
        <v>844.29549999999983</v>
      </c>
      <c r="J478" s="3" t="s">
        <v>51</v>
      </c>
      <c r="K478" s="3" t="s">
        <v>116</v>
      </c>
      <c r="L478" s="3">
        <v>34</v>
      </c>
      <c r="M478" s="3">
        <f>D478/L478</f>
        <v>459.44117647058823</v>
      </c>
      <c r="N478" s="7">
        <f>F478/D478</f>
        <v>2.0168317329236283</v>
      </c>
    </row>
    <row r="479" spans="1:14">
      <c r="A479" s="3" t="s">
        <v>12</v>
      </c>
      <c r="B479" s="3"/>
      <c r="C479" s="3"/>
      <c r="D479" s="3"/>
      <c r="E479" s="3"/>
      <c r="F479" s="4">
        <f>F477+E477+H477+I477</f>
        <v>33107.64899999999</v>
      </c>
      <c r="G479" s="4"/>
      <c r="H479" s="4"/>
      <c r="I479" s="4"/>
      <c r="J479" s="3"/>
      <c r="K479" s="3"/>
      <c r="L479" s="3"/>
      <c r="M479" s="3"/>
      <c r="N479" s="3"/>
    </row>
    <row r="480" spans="1:14">
      <c r="A480" s="3" t="s">
        <v>13</v>
      </c>
      <c r="B480" s="3"/>
      <c r="C480" s="3"/>
      <c r="D480" s="3"/>
      <c r="E480" s="3"/>
      <c r="F480" s="4">
        <f>F478+H478+I478</f>
        <v>32558.454999999998</v>
      </c>
      <c r="G480" s="4"/>
      <c r="H480" s="4"/>
      <c r="I480" s="4"/>
      <c r="J480" s="3"/>
      <c r="K480" s="3"/>
      <c r="L480" s="3"/>
      <c r="M480" s="3"/>
      <c r="N480" s="3"/>
    </row>
    <row r="481" spans="1:14">
      <c r="A481" s="3" t="s">
        <v>14</v>
      </c>
      <c r="B481" s="3"/>
      <c r="C481" s="3"/>
      <c r="D481" s="3"/>
      <c r="E481" s="3"/>
      <c r="F481" s="4">
        <f>F479-F480</f>
        <v>549.19399999999223</v>
      </c>
      <c r="G481" s="4"/>
      <c r="H481" s="4"/>
      <c r="I481" s="4"/>
      <c r="J481" s="3"/>
      <c r="K481" s="3"/>
      <c r="L481" s="3"/>
      <c r="M481" s="3"/>
      <c r="N481" s="3"/>
    </row>
  </sheetData>
  <pageMargins left="0.7" right="0.7" top="0.75" bottom="0.75" header="0.3" footer="0.3"/>
  <pageSetup paperSize="9" scale="7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8926-10CC-41A1-8ABE-4357CFCB0B00}">
  <dimension ref="A1:AF17"/>
  <sheetViews>
    <sheetView topLeftCell="A3" workbookViewId="0">
      <selection activeCell="AF25" sqref="AF25"/>
    </sheetView>
  </sheetViews>
  <sheetFormatPr defaultRowHeight="15"/>
  <cols>
    <col min="14" max="14" width="12" hidden="1" customWidth="1"/>
    <col min="15" max="15" width="11.5703125" hidden="1" customWidth="1"/>
    <col min="16" max="16" width="17.42578125" hidden="1" customWidth="1"/>
    <col min="17" max="17" width="7.42578125" bestFit="1" customWidth="1"/>
    <col min="18" max="18" width="12" hidden="1" customWidth="1"/>
    <col min="19" max="19" width="11.5703125" hidden="1" customWidth="1"/>
    <col min="20" max="20" width="17.42578125" hidden="1" customWidth="1"/>
    <col min="22" max="23" width="11.7109375" hidden="1" customWidth="1"/>
    <col min="24" max="24" width="17.42578125" hidden="1" customWidth="1"/>
    <col min="26" max="27" width="11.7109375" hidden="1" customWidth="1"/>
    <col min="28" max="28" width="17.42578125" hidden="1" customWidth="1"/>
    <col min="30" max="31" width="12" bestFit="1" customWidth="1"/>
    <col min="32" max="32" width="17.42578125" bestFit="1" customWidth="1"/>
  </cols>
  <sheetData>
    <row r="1" spans="1:32" ht="18.75">
      <c r="A1" s="5" t="s">
        <v>117</v>
      </c>
    </row>
    <row r="2" spans="1:32">
      <c r="N2" t="s">
        <v>118</v>
      </c>
      <c r="O2" t="s">
        <v>119</v>
      </c>
      <c r="P2" t="s">
        <v>120</v>
      </c>
      <c r="R2" t="s">
        <v>118</v>
      </c>
      <c r="S2" t="s">
        <v>119</v>
      </c>
      <c r="T2" t="s">
        <v>120</v>
      </c>
      <c r="V2" t="s">
        <v>118</v>
      </c>
      <c r="W2" t="s">
        <v>119</v>
      </c>
      <c r="X2" t="s">
        <v>120</v>
      </c>
      <c r="Z2" t="s">
        <v>118</v>
      </c>
      <c r="AA2" t="s">
        <v>119</v>
      </c>
      <c r="AB2" t="s">
        <v>120</v>
      </c>
      <c r="AD2" t="s">
        <v>118</v>
      </c>
      <c r="AE2" t="s">
        <v>119</v>
      </c>
      <c r="AF2" t="s">
        <v>120</v>
      </c>
    </row>
    <row r="3" spans="1:32">
      <c r="M3" s="6">
        <v>43466</v>
      </c>
      <c r="N3" s="13">
        <v>15208.18</v>
      </c>
      <c r="O3" s="13">
        <v>18539.563999999998</v>
      </c>
      <c r="P3" s="11" t="s">
        <v>121</v>
      </c>
      <c r="Q3" s="6">
        <v>43525</v>
      </c>
      <c r="R3" s="13">
        <v>18374.62</v>
      </c>
      <c r="S3" s="13">
        <v>17889.100999999999</v>
      </c>
      <c r="T3" s="11" t="s">
        <v>121</v>
      </c>
      <c r="U3" s="6">
        <v>43891</v>
      </c>
      <c r="V3" s="13">
        <v>21167.716499999995</v>
      </c>
      <c r="W3" s="13">
        <v>22589.656999999999</v>
      </c>
      <c r="X3" s="11" t="s">
        <v>121</v>
      </c>
      <c r="Y3" s="6">
        <v>44256</v>
      </c>
      <c r="Z3" s="17">
        <v>29663.410499999994</v>
      </c>
      <c r="AA3" s="17">
        <v>22704.162500000002</v>
      </c>
      <c r="AB3" s="11" t="s">
        <v>121</v>
      </c>
      <c r="AC3" s="6">
        <v>44621</v>
      </c>
      <c r="AD3" s="17">
        <v>29656.050499999998</v>
      </c>
      <c r="AE3" s="17">
        <v>26542.620999999999</v>
      </c>
      <c r="AF3" s="11" t="s">
        <v>121</v>
      </c>
    </row>
    <row r="4" spans="1:32">
      <c r="M4" s="6">
        <v>43497</v>
      </c>
      <c r="N4" s="13">
        <v>17946.05</v>
      </c>
      <c r="O4" s="13">
        <v>20906.896499999999</v>
      </c>
      <c r="P4" s="11" t="s">
        <v>121</v>
      </c>
      <c r="Q4" s="6">
        <v>43556</v>
      </c>
      <c r="R4" s="13">
        <v>27867.17</v>
      </c>
      <c r="S4" s="13">
        <v>22190.112499999999</v>
      </c>
      <c r="T4" s="11" t="s">
        <v>121</v>
      </c>
      <c r="U4" s="6">
        <v>43922</v>
      </c>
      <c r="V4" s="13">
        <v>21514.912999999997</v>
      </c>
      <c r="W4" s="13">
        <v>27924.702499999999</v>
      </c>
      <c r="X4" s="11" t="s">
        <v>121</v>
      </c>
      <c r="Y4" s="6">
        <v>44287</v>
      </c>
      <c r="Z4" s="17">
        <v>29663.410499999994</v>
      </c>
      <c r="AA4" s="17">
        <v>25832.415499999999</v>
      </c>
      <c r="AB4" s="11" t="s">
        <v>121</v>
      </c>
      <c r="AC4" s="6">
        <v>44652</v>
      </c>
      <c r="AD4" s="17">
        <v>33231.124499999998</v>
      </c>
      <c r="AE4" s="17">
        <v>34389.036499999995</v>
      </c>
      <c r="AF4" s="11" t="s">
        <v>121</v>
      </c>
    </row>
    <row r="5" spans="1:32">
      <c r="Q5" s="6">
        <v>43586</v>
      </c>
      <c r="R5" s="13">
        <v>20189.16</v>
      </c>
      <c r="S5" s="13">
        <v>22426.023500000003</v>
      </c>
      <c r="T5" s="11" t="s">
        <v>121</v>
      </c>
      <c r="U5" s="6">
        <v>43952</v>
      </c>
      <c r="V5" s="13">
        <v>21514.912999999997</v>
      </c>
      <c r="W5" s="13">
        <v>28277.798499999997</v>
      </c>
      <c r="X5" s="11" t="s">
        <v>121</v>
      </c>
      <c r="Y5" s="6">
        <v>44317</v>
      </c>
      <c r="Z5" s="17">
        <v>25771.65</v>
      </c>
      <c r="AA5" s="17">
        <v>26227.129999999997</v>
      </c>
      <c r="AB5" s="11" t="s">
        <v>121</v>
      </c>
      <c r="AC5" s="6">
        <v>44682</v>
      </c>
      <c r="AD5" s="17">
        <v>36695.487999999998</v>
      </c>
      <c r="AE5" s="17">
        <v>34253.922999999995</v>
      </c>
      <c r="AF5" s="11" t="s">
        <v>121</v>
      </c>
    </row>
    <row r="6" spans="1:32">
      <c r="Q6" s="6">
        <v>43617</v>
      </c>
      <c r="R6" s="13">
        <v>24579.119999999999</v>
      </c>
      <c r="S6" s="13">
        <v>24875.558000000001</v>
      </c>
      <c r="T6" s="11" t="s">
        <v>121</v>
      </c>
      <c r="U6" s="6">
        <v>43983</v>
      </c>
      <c r="V6" s="13">
        <v>57406.489999999983</v>
      </c>
      <c r="W6" s="13">
        <v>35645.848499999993</v>
      </c>
      <c r="X6" s="11" t="s">
        <v>121</v>
      </c>
      <c r="Y6" s="6">
        <v>44348</v>
      </c>
      <c r="Z6" s="17">
        <v>32588.090499999998</v>
      </c>
      <c r="AA6" s="17">
        <v>34701.571999999993</v>
      </c>
      <c r="AB6" s="11" t="s">
        <v>121</v>
      </c>
      <c r="AC6" s="6">
        <v>44713</v>
      </c>
      <c r="AD6" s="17">
        <v>39088.304499999998</v>
      </c>
      <c r="AE6" s="17">
        <v>45285.113999999994</v>
      </c>
      <c r="AF6" s="11" t="s">
        <v>121</v>
      </c>
    </row>
    <row r="7" spans="1:32">
      <c r="Q7" s="6">
        <v>43647</v>
      </c>
      <c r="R7" s="13">
        <v>31554.27</v>
      </c>
      <c r="S7" s="13">
        <v>30994.66</v>
      </c>
      <c r="T7" s="11" t="s">
        <v>121</v>
      </c>
      <c r="U7" s="6">
        <v>44013</v>
      </c>
      <c r="V7" s="13">
        <v>43717.945381999984</v>
      </c>
      <c r="W7" s="13">
        <v>40507.369999999988</v>
      </c>
      <c r="X7" s="11" t="s">
        <v>121</v>
      </c>
      <c r="Y7" s="6">
        <v>44378</v>
      </c>
      <c r="Z7" s="17">
        <v>49649.894499999995</v>
      </c>
      <c r="AA7" s="17">
        <v>45845.004499999995</v>
      </c>
      <c r="AB7" s="11" t="s">
        <v>121</v>
      </c>
      <c r="AC7" s="6">
        <v>44743</v>
      </c>
      <c r="AD7" s="17">
        <v>38629.834000000003</v>
      </c>
      <c r="AE7" s="17">
        <v>48282.186499999996</v>
      </c>
      <c r="AF7" s="11" t="s">
        <v>122</v>
      </c>
    </row>
    <row r="8" spans="1:32">
      <c r="Q8" s="6">
        <v>43678</v>
      </c>
      <c r="R8" s="13">
        <v>26942.48</v>
      </c>
      <c r="S8" s="13">
        <v>27570.07</v>
      </c>
      <c r="T8" s="11" t="s">
        <v>121</v>
      </c>
      <c r="U8" s="6">
        <v>44044</v>
      </c>
      <c r="V8" s="13">
        <v>33071.642499999994</v>
      </c>
      <c r="W8" s="13">
        <v>37927.793499999992</v>
      </c>
      <c r="X8" s="11" t="s">
        <v>121</v>
      </c>
      <c r="Y8" s="6">
        <v>44409</v>
      </c>
      <c r="Z8" s="17">
        <v>34470.743999999999</v>
      </c>
      <c r="AA8" s="17">
        <v>38084.227999999996</v>
      </c>
      <c r="AB8" s="11" t="s">
        <v>121</v>
      </c>
      <c r="AC8" s="6">
        <v>44774</v>
      </c>
      <c r="AD8" s="17">
        <v>43462.248999999996</v>
      </c>
      <c r="AE8" s="17">
        <v>37466.252500000002</v>
      </c>
      <c r="AF8" s="11" t="s">
        <v>122</v>
      </c>
    </row>
    <row r="9" spans="1:32">
      <c r="Q9" s="6">
        <v>43709</v>
      </c>
      <c r="R9" s="13">
        <v>26495.075860000004</v>
      </c>
      <c r="S9" s="13">
        <v>25280.31</v>
      </c>
      <c r="T9" s="11" t="s">
        <v>121</v>
      </c>
      <c r="U9" s="6">
        <v>44075</v>
      </c>
      <c r="V9" s="13">
        <v>24936.166999999998</v>
      </c>
      <c r="W9" s="13">
        <v>31381.384000000002</v>
      </c>
      <c r="X9" s="11" t="s">
        <v>121</v>
      </c>
      <c r="Y9" s="6">
        <v>44440</v>
      </c>
      <c r="Z9" s="17">
        <v>35708.350999999995</v>
      </c>
      <c r="AA9" s="17">
        <v>31954.980999999996</v>
      </c>
      <c r="AB9" s="11" t="s">
        <v>121</v>
      </c>
      <c r="AC9" s="6">
        <v>44805</v>
      </c>
      <c r="AD9" s="17">
        <v>33527.145999999993</v>
      </c>
      <c r="AE9" s="17">
        <v>31255.424499999997</v>
      </c>
      <c r="AF9" s="11" t="s">
        <v>122</v>
      </c>
    </row>
    <row r="10" spans="1:32">
      <c r="Q10" s="6">
        <v>43739</v>
      </c>
      <c r="R10" s="13">
        <v>26151.066699999999</v>
      </c>
      <c r="S10" s="13">
        <v>22944.305499999999</v>
      </c>
      <c r="T10" s="11" t="s">
        <v>121</v>
      </c>
      <c r="U10" s="6">
        <v>44105</v>
      </c>
      <c r="V10" s="13">
        <v>25933.948999999997</v>
      </c>
      <c r="W10" s="13">
        <v>26754.5085</v>
      </c>
      <c r="X10" s="11" t="s">
        <v>121</v>
      </c>
      <c r="Y10" s="6">
        <v>44470</v>
      </c>
      <c r="Z10" s="17">
        <v>24913.657499999998</v>
      </c>
      <c r="AA10" s="17">
        <v>28972.927499999994</v>
      </c>
      <c r="AB10" s="11" t="s">
        <v>121</v>
      </c>
      <c r="AC10" s="6">
        <v>44835</v>
      </c>
      <c r="AD10" s="17">
        <v>30080.32</v>
      </c>
      <c r="AE10" s="17">
        <v>27212.967499999999</v>
      </c>
      <c r="AF10" s="11" t="s">
        <v>122</v>
      </c>
    </row>
    <row r="11" spans="1:32">
      <c r="Q11" s="6">
        <v>43770</v>
      </c>
      <c r="R11" s="13">
        <v>20210.53815</v>
      </c>
      <c r="S11" s="13">
        <v>22221.139499999997</v>
      </c>
      <c r="T11" s="11" t="s">
        <v>121</v>
      </c>
      <c r="U11" s="6">
        <v>44136</v>
      </c>
      <c r="V11" s="13">
        <v>27863.098288000001</v>
      </c>
      <c r="W11" s="13">
        <v>26043.693500000001</v>
      </c>
      <c r="X11" s="11" t="s">
        <v>121</v>
      </c>
      <c r="Y11" s="6">
        <v>44501</v>
      </c>
      <c r="Z11" s="17">
        <v>29181.238499999996</v>
      </c>
      <c r="AA11" s="17">
        <v>28171.584499999997</v>
      </c>
      <c r="AB11" s="11" t="s">
        <v>121</v>
      </c>
      <c r="AC11" s="6">
        <v>44866</v>
      </c>
      <c r="AD11" s="17">
        <v>33028.988999999994</v>
      </c>
      <c r="AE11" s="17">
        <v>26100.721999999994</v>
      </c>
      <c r="AF11" s="11" t="s">
        <v>122</v>
      </c>
    </row>
    <row r="12" spans="1:32">
      <c r="Q12" s="6">
        <v>43800</v>
      </c>
      <c r="R12">
        <v>28103.635254999994</v>
      </c>
      <c r="S12" s="12">
        <v>22273.567999999999</v>
      </c>
      <c r="T12" s="11" t="s">
        <v>121</v>
      </c>
      <c r="U12" s="6">
        <v>44166</v>
      </c>
      <c r="V12" s="13">
        <v>29347.190031999995</v>
      </c>
      <c r="W12" s="12">
        <v>25069.183499999999</v>
      </c>
      <c r="X12" s="11" t="s">
        <v>121</v>
      </c>
      <c r="Y12" s="6">
        <v>44531</v>
      </c>
      <c r="Z12" s="17">
        <v>27364.606499999998</v>
      </c>
      <c r="AA12" s="17">
        <v>28637.001</v>
      </c>
      <c r="AB12" s="11" t="s">
        <v>121</v>
      </c>
      <c r="AC12" s="6">
        <v>44896</v>
      </c>
      <c r="AD12" s="17">
        <v>33107.64899999999</v>
      </c>
      <c r="AE12" s="17">
        <v>32558.454999999998</v>
      </c>
      <c r="AF12" s="11" t="s">
        <v>122</v>
      </c>
    </row>
    <row r="13" spans="1:32">
      <c r="Q13" s="6">
        <v>43831</v>
      </c>
      <c r="R13" s="13">
        <v>17934.663999999997</v>
      </c>
      <c r="S13" s="13">
        <v>22404.6335</v>
      </c>
      <c r="T13" s="11" t="s">
        <v>121</v>
      </c>
      <c r="U13" s="6">
        <v>44197</v>
      </c>
      <c r="V13" s="17">
        <v>24456.555499999995</v>
      </c>
      <c r="W13" s="17">
        <v>25981.4555</v>
      </c>
      <c r="X13" s="11" t="s">
        <v>121</v>
      </c>
      <c r="Y13" s="6">
        <v>44562</v>
      </c>
      <c r="Z13" s="17">
        <v>25795.696</v>
      </c>
      <c r="AA13" s="17">
        <v>26643.958999999999</v>
      </c>
      <c r="AB13" s="11" t="s">
        <v>121</v>
      </c>
      <c r="AC13" s="6">
        <v>44927</v>
      </c>
    </row>
    <row r="14" spans="1:32">
      <c r="Q14" s="6">
        <v>43862</v>
      </c>
      <c r="R14" s="13">
        <v>19813.970999999998</v>
      </c>
      <c r="S14" s="13">
        <v>22288.989499999996</v>
      </c>
      <c r="T14" s="11" t="s">
        <v>121</v>
      </c>
      <c r="U14" s="6">
        <v>44228</v>
      </c>
      <c r="V14" s="17">
        <v>20696.964</v>
      </c>
      <c r="W14" s="17">
        <v>27337.5815</v>
      </c>
      <c r="X14" s="11" t="s">
        <v>121</v>
      </c>
      <c r="Y14" s="6">
        <v>44593</v>
      </c>
      <c r="Z14" s="17">
        <v>26109.105500000001</v>
      </c>
      <c r="AA14" s="17">
        <v>28789.007999999998</v>
      </c>
      <c r="AB14" s="11" t="s">
        <v>121</v>
      </c>
      <c r="AC14" s="6">
        <v>44958</v>
      </c>
    </row>
    <row r="15" spans="1:32">
      <c r="N15" s="10">
        <f>SUM(N3:N14)</f>
        <v>33154.229999999996</v>
      </c>
      <c r="O15" s="10">
        <f t="shared" ref="O15" si="0">SUM(O3:O14)</f>
        <v>39446.460500000001</v>
      </c>
      <c r="P15" s="10">
        <f>N15-O15</f>
        <v>-6292.2305000000051</v>
      </c>
      <c r="R15" s="10">
        <f>SUM(R3:R14)</f>
        <v>288215.77096500003</v>
      </c>
      <c r="S15" s="10">
        <f t="shared" ref="S15" si="1">SUM(S3:S14)</f>
        <v>283358.47099999996</v>
      </c>
      <c r="T15" s="10">
        <f>R15-S15</f>
        <v>4857.2999650000711</v>
      </c>
      <c r="V15" s="10">
        <f>SUM(V3:V12)</f>
        <v>306474.02470199991</v>
      </c>
      <c r="W15" s="10">
        <f>SUM(W3:W12)</f>
        <v>302121.93949999998</v>
      </c>
      <c r="X15" s="10">
        <f>V15-W15</f>
        <v>4352.0852019999293</v>
      </c>
      <c r="Z15" s="10">
        <f>SUM(Z3:Z14)</f>
        <v>370879.85499999992</v>
      </c>
      <c r="AA15" s="10">
        <f>SUM(AA3:AA14)</f>
        <v>366563.97349999991</v>
      </c>
      <c r="AB15" s="10">
        <f>Z15-AA15</f>
        <v>4315.8815000000177</v>
      </c>
      <c r="AD15" s="10">
        <f>SUM(AD3:AD12)</f>
        <v>350507.1545</v>
      </c>
      <c r="AE15" s="10">
        <f>SUM(AE3:AE12)</f>
        <v>343346.70250000001</v>
      </c>
      <c r="AF15" s="10">
        <f>AD15-AE15</f>
        <v>7160.4519999999902</v>
      </c>
    </row>
    <row r="17" spans="12:12" ht="21">
      <c r="L17" s="9" t="s">
        <v>123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83F1-067C-41E3-AA31-1CAE072149AA}">
  <dimension ref="A1:AE37"/>
  <sheetViews>
    <sheetView topLeftCell="A10" workbookViewId="0">
      <selection activeCell="AD36" sqref="AD36"/>
    </sheetView>
  </sheetViews>
  <sheetFormatPr defaultRowHeight="15"/>
  <cols>
    <col min="12" max="13" width="9.140625" hidden="1" customWidth="1"/>
    <col min="15" max="16" width="9.140625" hidden="1" customWidth="1"/>
    <col min="18" max="19" width="9.140625" hidden="1" customWidth="1"/>
    <col min="20" max="20" width="19" hidden="1" customWidth="1"/>
    <col min="21" max="21" width="10.28515625" hidden="1" customWidth="1"/>
    <col min="22" max="22" width="17.42578125" hidden="1" customWidth="1"/>
    <col min="23" max="23" width="10.140625" customWidth="1"/>
    <col min="24" max="24" width="10.42578125" hidden="1" customWidth="1"/>
    <col min="25" max="25" width="17.42578125" hidden="1" customWidth="1"/>
    <col min="26" max="26" width="19" hidden="1" customWidth="1"/>
    <col min="27" max="27" width="10.28515625" hidden="1" customWidth="1"/>
    <col min="28" max="28" width="17.42578125" hidden="1" customWidth="1"/>
  </cols>
  <sheetData>
    <row r="1" spans="1:31" ht="18.75">
      <c r="A1" s="5" t="s">
        <v>124</v>
      </c>
    </row>
    <row r="2" spans="1:31">
      <c r="L2" t="s">
        <v>118</v>
      </c>
      <c r="M2" t="s">
        <v>119</v>
      </c>
      <c r="O2" t="s">
        <v>118</v>
      </c>
      <c r="P2" t="s">
        <v>119</v>
      </c>
      <c r="R2" t="s">
        <v>118</v>
      </c>
      <c r="S2" t="s">
        <v>119</v>
      </c>
      <c r="T2" t="s">
        <v>125</v>
      </c>
      <c r="U2" t="s">
        <v>14</v>
      </c>
      <c r="V2" t="s">
        <v>126</v>
      </c>
      <c r="X2" t="s">
        <v>118</v>
      </c>
      <c r="Y2" t="s">
        <v>119</v>
      </c>
      <c r="Z2" t="s">
        <v>125</v>
      </c>
      <c r="AA2" t="s">
        <v>14</v>
      </c>
      <c r="AB2" t="s">
        <v>126</v>
      </c>
      <c r="AD2" t="s">
        <v>118</v>
      </c>
      <c r="AE2" t="s">
        <v>119</v>
      </c>
    </row>
    <row r="3" spans="1:31">
      <c r="K3" s="6">
        <v>43466</v>
      </c>
      <c r="L3">
        <v>10710</v>
      </c>
      <c r="M3">
        <v>13073</v>
      </c>
      <c r="N3" s="6">
        <v>43525</v>
      </c>
      <c r="O3">
        <v>12999</v>
      </c>
      <c r="P3">
        <v>12596</v>
      </c>
      <c r="Q3" s="6">
        <v>43891</v>
      </c>
      <c r="R3">
        <v>13291</v>
      </c>
      <c r="S3">
        <v>14128</v>
      </c>
      <c r="W3" s="6">
        <v>44256</v>
      </c>
      <c r="X3">
        <v>17729</v>
      </c>
      <c r="Y3">
        <v>13340</v>
      </c>
      <c r="Z3">
        <v>14714</v>
      </c>
      <c r="AA3">
        <v>3015</v>
      </c>
      <c r="AB3" t="s">
        <v>127</v>
      </c>
      <c r="AC3" s="6">
        <v>44621</v>
      </c>
      <c r="AD3">
        <v>15280</v>
      </c>
      <c r="AE3">
        <v>13621</v>
      </c>
    </row>
    <row r="4" spans="1:31">
      <c r="K4" s="6">
        <v>43497</v>
      </c>
      <c r="L4">
        <v>12981</v>
      </c>
      <c r="M4">
        <v>14809</v>
      </c>
      <c r="N4" s="6">
        <v>43556</v>
      </c>
      <c r="O4">
        <v>17065</v>
      </c>
      <c r="P4">
        <v>15750</v>
      </c>
      <c r="Q4" s="6">
        <v>43922</v>
      </c>
      <c r="R4">
        <v>13509</v>
      </c>
      <c r="S4">
        <v>17588</v>
      </c>
      <c r="W4" s="6">
        <v>44287</v>
      </c>
      <c r="X4">
        <v>14360</v>
      </c>
      <c r="Y4">
        <v>15250</v>
      </c>
      <c r="Z4">
        <v>12160</v>
      </c>
      <c r="AA4">
        <v>2200</v>
      </c>
      <c r="AB4" t="s">
        <v>127</v>
      </c>
      <c r="AC4" s="6">
        <v>44652</v>
      </c>
      <c r="AD4">
        <v>17185</v>
      </c>
      <c r="AE4">
        <v>17802</v>
      </c>
    </row>
    <row r="5" spans="1:31">
      <c r="N5" s="6">
        <v>43586</v>
      </c>
      <c r="O5">
        <v>13045</v>
      </c>
      <c r="P5">
        <v>15923</v>
      </c>
      <c r="Q5" s="6">
        <v>43952</v>
      </c>
      <c r="R5">
        <v>13509</v>
      </c>
      <c r="S5">
        <v>17817</v>
      </c>
      <c r="W5" s="6">
        <v>44317</v>
      </c>
      <c r="X5">
        <v>15403</v>
      </c>
      <c r="Y5">
        <v>15491</v>
      </c>
      <c r="Z5">
        <v>12760</v>
      </c>
      <c r="AA5">
        <v>2643</v>
      </c>
      <c r="AB5" t="s">
        <v>128</v>
      </c>
      <c r="AC5" s="6">
        <v>44682</v>
      </c>
      <c r="AD5">
        <v>19031</v>
      </c>
      <c r="AE5">
        <v>17730</v>
      </c>
    </row>
    <row r="6" spans="1:31">
      <c r="N6" s="6">
        <v>43617</v>
      </c>
      <c r="O6">
        <v>17651</v>
      </c>
      <c r="P6">
        <v>17651</v>
      </c>
      <c r="Q6" s="6">
        <v>43983</v>
      </c>
      <c r="R6">
        <v>63063</v>
      </c>
      <c r="S6">
        <v>22563</v>
      </c>
      <c r="W6" s="6">
        <v>44348</v>
      </c>
      <c r="X6">
        <v>19477</v>
      </c>
      <c r="Y6">
        <v>20589</v>
      </c>
      <c r="Z6">
        <v>16393</v>
      </c>
      <c r="AA6">
        <v>3084</v>
      </c>
      <c r="AB6" t="s">
        <v>129</v>
      </c>
      <c r="AC6" s="6">
        <v>44713</v>
      </c>
      <c r="AD6">
        <v>20267</v>
      </c>
      <c r="AE6">
        <v>23569</v>
      </c>
    </row>
    <row r="7" spans="1:31">
      <c r="N7" s="6">
        <v>43647</v>
      </c>
      <c r="O7">
        <v>19579</v>
      </c>
      <c r="P7">
        <v>19579</v>
      </c>
      <c r="Q7" s="6">
        <v>44013</v>
      </c>
      <c r="R7">
        <v>26129</v>
      </c>
      <c r="S7">
        <v>24210</v>
      </c>
      <c r="W7" s="6">
        <v>44378</v>
      </c>
      <c r="X7">
        <v>25180</v>
      </c>
      <c r="Y7">
        <v>23906</v>
      </c>
      <c r="Z7">
        <v>21084</v>
      </c>
      <c r="AA7">
        <v>4096</v>
      </c>
      <c r="AB7" t="s">
        <v>130</v>
      </c>
      <c r="AC7" s="6">
        <v>44743</v>
      </c>
      <c r="AD7">
        <v>18631</v>
      </c>
      <c r="AE7">
        <v>23416</v>
      </c>
    </row>
    <row r="8" spans="1:31">
      <c r="N8" s="6">
        <v>43678</v>
      </c>
      <c r="O8">
        <v>17357</v>
      </c>
      <c r="P8">
        <v>17358</v>
      </c>
      <c r="Q8" s="6">
        <v>44044</v>
      </c>
      <c r="R8">
        <v>19766</v>
      </c>
      <c r="S8">
        <v>22635</v>
      </c>
      <c r="W8" s="6">
        <v>44409</v>
      </c>
      <c r="X8">
        <v>17612</v>
      </c>
      <c r="Y8">
        <v>17619</v>
      </c>
      <c r="AC8" s="6">
        <v>44774</v>
      </c>
      <c r="AD8">
        <v>21027</v>
      </c>
      <c r="AE8">
        <v>18054</v>
      </c>
    </row>
    <row r="9" spans="1:31">
      <c r="N9" s="6">
        <v>43709</v>
      </c>
      <c r="O9">
        <v>16636</v>
      </c>
      <c r="P9">
        <v>15873</v>
      </c>
      <c r="Q9" s="6">
        <v>44075</v>
      </c>
      <c r="R9">
        <v>17068</v>
      </c>
      <c r="S9">
        <v>18638</v>
      </c>
      <c r="W9" s="6">
        <v>44440</v>
      </c>
      <c r="X9">
        <v>18505</v>
      </c>
      <c r="Y9">
        <v>16505</v>
      </c>
      <c r="AC9" s="6">
        <v>44805</v>
      </c>
      <c r="AD9">
        <v>16101</v>
      </c>
      <c r="AE9">
        <v>14975</v>
      </c>
    </row>
    <row r="10" spans="1:31">
      <c r="N10" s="6">
        <v>43739</v>
      </c>
      <c r="O10">
        <v>16420</v>
      </c>
      <c r="P10">
        <v>14358</v>
      </c>
      <c r="Q10" s="6">
        <v>44105</v>
      </c>
      <c r="R10">
        <v>15500</v>
      </c>
      <c r="S10">
        <v>15813</v>
      </c>
      <c r="W10" s="6">
        <v>44470</v>
      </c>
      <c r="X10">
        <v>12753</v>
      </c>
      <c r="Y10">
        <v>14916</v>
      </c>
      <c r="AC10" s="6">
        <v>44835</v>
      </c>
      <c r="AD10">
        <v>14392</v>
      </c>
      <c r="AE10">
        <v>12970</v>
      </c>
    </row>
    <row r="11" spans="1:31">
      <c r="N11" s="6">
        <v>43770</v>
      </c>
      <c r="O11">
        <v>12690</v>
      </c>
      <c r="P11">
        <v>13889</v>
      </c>
      <c r="Q11" s="6">
        <v>44136</v>
      </c>
      <c r="R11">
        <v>16653</v>
      </c>
      <c r="S11">
        <v>15379</v>
      </c>
      <c r="W11" s="6">
        <v>44501</v>
      </c>
      <c r="X11">
        <v>15027</v>
      </c>
      <c r="Y11">
        <v>14489</v>
      </c>
      <c r="AC11" s="6">
        <v>44866</v>
      </c>
      <c r="AD11">
        <v>15854</v>
      </c>
      <c r="AE11">
        <v>12419</v>
      </c>
    </row>
    <row r="12" spans="1:31">
      <c r="N12" s="6">
        <v>43800</v>
      </c>
      <c r="O12">
        <v>17646</v>
      </c>
      <c r="P12">
        <v>13923</v>
      </c>
      <c r="Q12" s="6">
        <v>44166</v>
      </c>
      <c r="R12">
        <v>15833</v>
      </c>
      <c r="S12">
        <v>14784</v>
      </c>
      <c r="W12" s="6">
        <v>44531</v>
      </c>
      <c r="X12">
        <v>14059</v>
      </c>
      <c r="Y12">
        <v>14737</v>
      </c>
      <c r="AC12" s="6">
        <v>44896</v>
      </c>
      <c r="AD12">
        <v>15893</v>
      </c>
      <c r="AE12">
        <v>15621</v>
      </c>
    </row>
    <row r="13" spans="1:31">
      <c r="N13" s="6">
        <v>43831</v>
      </c>
      <c r="O13">
        <v>11261</v>
      </c>
      <c r="P13">
        <v>14008</v>
      </c>
      <c r="Q13" s="6">
        <v>44197</v>
      </c>
      <c r="R13">
        <v>14617</v>
      </c>
      <c r="S13">
        <v>15341</v>
      </c>
      <c r="T13">
        <v>12211</v>
      </c>
      <c r="U13">
        <v>2406</v>
      </c>
      <c r="V13" t="s">
        <v>131</v>
      </c>
      <c r="W13" s="6">
        <v>44562</v>
      </c>
      <c r="X13">
        <v>13223</v>
      </c>
      <c r="Y13">
        <v>13675</v>
      </c>
      <c r="AC13" s="6">
        <v>44927</v>
      </c>
    </row>
    <row r="14" spans="1:31">
      <c r="N14" s="6">
        <v>43862</v>
      </c>
      <c r="O14">
        <v>12441</v>
      </c>
      <c r="P14">
        <v>13933</v>
      </c>
      <c r="Q14" s="6">
        <v>44228</v>
      </c>
      <c r="R14">
        <v>12370</v>
      </c>
      <c r="S14">
        <v>16169</v>
      </c>
      <c r="T14">
        <v>10420</v>
      </c>
      <c r="U14">
        <v>1950</v>
      </c>
      <c r="V14" t="s">
        <v>132</v>
      </c>
      <c r="W14" s="6">
        <v>44593</v>
      </c>
      <c r="X14">
        <v>13390</v>
      </c>
      <c r="Y14">
        <v>14818</v>
      </c>
      <c r="AC14" s="6">
        <v>44958</v>
      </c>
    </row>
    <row r="24" spans="11:31">
      <c r="K24" s="16" t="s">
        <v>133</v>
      </c>
    </row>
    <row r="25" spans="11:31">
      <c r="L25" t="s">
        <v>118</v>
      </c>
      <c r="M25" t="s">
        <v>119</v>
      </c>
      <c r="O25" t="s">
        <v>118</v>
      </c>
      <c r="P25" t="s">
        <v>119</v>
      </c>
      <c r="R25" t="s">
        <v>118</v>
      </c>
      <c r="S25" t="s">
        <v>119</v>
      </c>
      <c r="X25" t="s">
        <v>118</v>
      </c>
      <c r="Y25" t="s">
        <v>119</v>
      </c>
      <c r="AD25" t="s">
        <v>118</v>
      </c>
      <c r="AE25" t="s">
        <v>119</v>
      </c>
    </row>
    <row r="26" spans="11:31">
      <c r="K26" s="6">
        <v>43466</v>
      </c>
      <c r="L26" s="8">
        <v>446.25</v>
      </c>
      <c r="M26">
        <v>421</v>
      </c>
      <c r="N26" s="6">
        <v>43525</v>
      </c>
      <c r="O26" s="8">
        <v>433.3</v>
      </c>
      <c r="P26">
        <v>406</v>
      </c>
      <c r="Q26" s="6">
        <v>43891</v>
      </c>
      <c r="R26" s="8">
        <v>474.67857142857144</v>
      </c>
      <c r="S26" s="8">
        <v>455.74193548387098</v>
      </c>
      <c r="T26" s="8"/>
      <c r="U26" s="8"/>
      <c r="V26" s="8"/>
      <c r="W26" s="6">
        <v>44256</v>
      </c>
      <c r="X26" s="8">
        <v>537.24242424242425</v>
      </c>
      <c r="Y26" s="8">
        <v>430.32258064516128</v>
      </c>
      <c r="AC26" s="6">
        <v>44621</v>
      </c>
      <c r="AD26" s="8">
        <v>492.90322580645159</v>
      </c>
      <c r="AE26" s="8">
        <v>439.38709677419354</v>
      </c>
    </row>
    <row r="27" spans="11:31">
      <c r="K27" s="6">
        <v>43497</v>
      </c>
      <c r="L27" s="8">
        <v>480.77777777777777</v>
      </c>
      <c r="M27">
        <v>528</v>
      </c>
      <c r="N27" s="6">
        <v>43556</v>
      </c>
      <c r="O27" s="8">
        <v>550.48387096774195</v>
      </c>
      <c r="P27">
        <v>525</v>
      </c>
      <c r="Q27" s="6">
        <v>43922</v>
      </c>
      <c r="R27" s="8">
        <v>397</v>
      </c>
      <c r="S27" s="8">
        <v>586</v>
      </c>
      <c r="T27" s="8"/>
      <c r="U27" s="8"/>
      <c r="V27" s="8"/>
      <c r="W27" s="6">
        <v>44287</v>
      </c>
      <c r="X27" s="8">
        <v>435.15151515151513</v>
      </c>
      <c r="Y27" s="8">
        <v>508.33333333333331</v>
      </c>
      <c r="AC27" s="6">
        <v>44652</v>
      </c>
      <c r="AD27" s="8">
        <v>592.58620689655174</v>
      </c>
      <c r="AE27" s="8">
        <v>593.4</v>
      </c>
    </row>
    <row r="28" spans="11:31">
      <c r="N28" s="6">
        <v>43586</v>
      </c>
      <c r="O28" s="8">
        <v>434.83333333333331</v>
      </c>
      <c r="P28">
        <v>513</v>
      </c>
      <c r="Q28" s="6">
        <v>43952</v>
      </c>
      <c r="R28" s="8">
        <v>465.82758620689657</v>
      </c>
      <c r="S28" s="8">
        <v>574.74193548387098</v>
      </c>
      <c r="T28" s="8"/>
      <c r="U28" s="8"/>
      <c r="V28" s="8"/>
      <c r="W28" s="6">
        <v>44317</v>
      </c>
      <c r="X28" s="8">
        <v>531.13793103448279</v>
      </c>
      <c r="Y28" s="8">
        <v>499.70967741935482</v>
      </c>
      <c r="AC28" s="6">
        <v>44682</v>
      </c>
      <c r="AD28" s="8">
        <v>594.71875</v>
      </c>
      <c r="AE28" s="8">
        <v>591</v>
      </c>
    </row>
    <row r="29" spans="11:31">
      <c r="N29" s="6">
        <v>43617</v>
      </c>
      <c r="O29" s="8">
        <v>630.39285714285711</v>
      </c>
      <c r="P29">
        <v>588</v>
      </c>
      <c r="Q29" s="6">
        <v>43983</v>
      </c>
      <c r="R29" s="8">
        <v>664</v>
      </c>
      <c r="S29">
        <v>752.1</v>
      </c>
      <c r="T29" s="8"/>
      <c r="U29" s="8"/>
      <c r="V29" s="8"/>
      <c r="W29" s="6">
        <v>44348</v>
      </c>
      <c r="X29" s="8">
        <v>671.62068965517244</v>
      </c>
      <c r="Y29" s="8">
        <v>686.3</v>
      </c>
      <c r="AC29" s="6">
        <v>44713</v>
      </c>
      <c r="AD29" s="8">
        <v>675.56666666666672</v>
      </c>
      <c r="AE29" s="8">
        <v>785.63333333333333</v>
      </c>
    </row>
    <row r="30" spans="11:31">
      <c r="N30" s="6">
        <v>43647</v>
      </c>
      <c r="O30" s="8">
        <v>575.85294117647061</v>
      </c>
      <c r="P30">
        <v>631</v>
      </c>
      <c r="Q30" s="6">
        <v>44013</v>
      </c>
      <c r="R30" s="8">
        <v>275.04210526315791</v>
      </c>
      <c r="S30" s="8">
        <v>780.9677419354839</v>
      </c>
      <c r="T30" s="8"/>
      <c r="U30" s="8"/>
      <c r="V30" s="8"/>
      <c r="W30" s="6">
        <v>44378</v>
      </c>
      <c r="X30" s="8">
        <v>741</v>
      </c>
      <c r="Y30" s="8">
        <v>703</v>
      </c>
      <c r="AC30" s="6">
        <v>44743</v>
      </c>
      <c r="AD30" s="8">
        <v>642.44827586206895</v>
      </c>
      <c r="AE30" s="8">
        <v>688.70588235294122</v>
      </c>
    </row>
    <row r="31" spans="11:31">
      <c r="N31" s="6">
        <v>43678</v>
      </c>
      <c r="O31" s="8">
        <v>510.5</v>
      </c>
      <c r="P31">
        <v>559</v>
      </c>
      <c r="Q31" s="6">
        <v>44044</v>
      </c>
      <c r="R31" s="8">
        <v>705.92857142857144</v>
      </c>
      <c r="S31" s="8">
        <v>730.16129032258061</v>
      </c>
      <c r="W31" s="6">
        <v>44409</v>
      </c>
      <c r="X31" s="8">
        <v>607.31034482758616</v>
      </c>
      <c r="Y31" s="8">
        <v>629.25</v>
      </c>
      <c r="AC31" s="6">
        <v>44774</v>
      </c>
      <c r="AD31" s="8">
        <v>637.18181818181813</v>
      </c>
      <c r="AE31" s="8">
        <v>601.79999999999995</v>
      </c>
    </row>
    <row r="32" spans="11:31">
      <c r="N32" s="6">
        <v>43709</v>
      </c>
      <c r="O32" s="8">
        <v>639.84615384615381</v>
      </c>
      <c r="P32">
        <v>529</v>
      </c>
      <c r="Q32" s="6">
        <v>44075</v>
      </c>
      <c r="R32" s="8">
        <v>568.93333333333328</v>
      </c>
      <c r="S32" s="8">
        <v>621.26666666666665</v>
      </c>
      <c r="T32" s="8"/>
      <c r="U32" s="8"/>
      <c r="V32" s="8"/>
      <c r="W32" s="6">
        <v>44440</v>
      </c>
      <c r="X32" s="8">
        <v>514.02777777777783</v>
      </c>
      <c r="Y32" s="8">
        <v>550.16666666666663</v>
      </c>
      <c r="AC32" s="6">
        <v>44805</v>
      </c>
      <c r="AD32" s="8">
        <v>536.70000000000005</v>
      </c>
      <c r="AE32" s="8">
        <v>467.96875</v>
      </c>
    </row>
    <row r="33" spans="14:31">
      <c r="N33" s="6">
        <v>43739</v>
      </c>
      <c r="O33" s="8">
        <v>482.94117647058823</v>
      </c>
      <c r="P33" s="8">
        <v>463.16129032258067</v>
      </c>
      <c r="Q33" s="6">
        <v>44105</v>
      </c>
      <c r="R33" s="8">
        <v>517</v>
      </c>
      <c r="S33" s="8">
        <v>510</v>
      </c>
      <c r="T33" s="8"/>
      <c r="U33" s="8"/>
      <c r="V33" s="8"/>
      <c r="W33" s="6">
        <v>44470</v>
      </c>
      <c r="X33" s="8">
        <v>490.5</v>
      </c>
      <c r="Y33" s="8">
        <v>497.2</v>
      </c>
      <c r="AC33" s="6">
        <v>44835</v>
      </c>
      <c r="AD33" s="8">
        <v>464.25806451612902</v>
      </c>
      <c r="AE33" s="8">
        <v>447.24137931034483</v>
      </c>
    </row>
    <row r="34" spans="14:31">
      <c r="N34" s="6">
        <v>43770</v>
      </c>
      <c r="O34" s="8">
        <v>453.21428571428572</v>
      </c>
      <c r="P34" s="8">
        <v>462.96666666666664</v>
      </c>
      <c r="Q34" s="6">
        <v>44136</v>
      </c>
      <c r="R34" s="8">
        <v>504.63636363636363</v>
      </c>
      <c r="S34" s="8">
        <v>512.63333333333333</v>
      </c>
      <c r="T34" s="8"/>
      <c r="U34" s="8"/>
      <c r="V34" s="8"/>
      <c r="W34" s="6">
        <v>44501</v>
      </c>
      <c r="X34" s="8">
        <v>455.36363636363637</v>
      </c>
      <c r="Y34" s="8">
        <v>482.96666666666664</v>
      </c>
      <c r="AC34" s="6">
        <v>44866</v>
      </c>
      <c r="AD34" s="8">
        <v>528.4666666666667</v>
      </c>
      <c r="AE34" s="8">
        <v>413.96666666666664</v>
      </c>
    </row>
    <row r="35" spans="14:31">
      <c r="N35" s="6">
        <v>43800</v>
      </c>
      <c r="O35" s="8">
        <v>452</v>
      </c>
      <c r="P35" s="8">
        <v>449</v>
      </c>
      <c r="Q35" s="6">
        <v>44166</v>
      </c>
      <c r="R35" s="8">
        <v>494.78125</v>
      </c>
      <c r="S35" s="8">
        <v>476.90322580645159</v>
      </c>
      <c r="T35" s="8"/>
      <c r="U35" s="8"/>
      <c r="V35" s="8"/>
      <c r="W35" s="6">
        <v>44531</v>
      </c>
      <c r="X35" s="8">
        <v>453.51612903225805</v>
      </c>
      <c r="Y35" s="8">
        <v>475.38709677419354</v>
      </c>
      <c r="AC35" s="6">
        <v>44896</v>
      </c>
      <c r="AD35" s="8">
        <v>454.08571428571429</v>
      </c>
      <c r="AE35" s="8">
        <v>459.44117647058823</v>
      </c>
    </row>
    <row r="36" spans="14:31">
      <c r="N36" s="6">
        <v>43831</v>
      </c>
      <c r="O36" s="8">
        <v>469.20833333333331</v>
      </c>
      <c r="P36" s="8">
        <v>451.87096774193549</v>
      </c>
      <c r="Q36" s="6">
        <v>44197</v>
      </c>
      <c r="R36" s="8">
        <v>522.03571428571433</v>
      </c>
      <c r="S36" s="8">
        <v>494.87096774193549</v>
      </c>
      <c r="T36" s="8"/>
      <c r="U36" s="8"/>
      <c r="V36" s="8"/>
      <c r="W36" s="6">
        <v>44562</v>
      </c>
      <c r="X36" s="8">
        <v>472.25</v>
      </c>
      <c r="Y36" s="8">
        <v>441.12903225806451</v>
      </c>
      <c r="AC36" s="6">
        <v>44927</v>
      </c>
      <c r="AD36" s="8"/>
      <c r="AE36" s="8"/>
    </row>
    <row r="37" spans="14:31">
      <c r="N37" s="6">
        <v>43862</v>
      </c>
      <c r="O37" s="8">
        <v>444.32142857142856</v>
      </c>
      <c r="P37" s="8">
        <v>480.44827586206895</v>
      </c>
      <c r="Q37" s="6">
        <v>44228</v>
      </c>
      <c r="R37" s="8">
        <v>494.8</v>
      </c>
      <c r="S37" s="8">
        <v>577.46428571428567</v>
      </c>
      <c r="T37" s="8"/>
      <c r="U37" s="8"/>
      <c r="V37" s="8"/>
      <c r="W37" s="6">
        <v>44593</v>
      </c>
      <c r="X37" s="8">
        <v>478.21428571428572</v>
      </c>
      <c r="Y37" s="8">
        <v>529</v>
      </c>
      <c r="AC37" s="6">
        <v>44958</v>
      </c>
      <c r="AD37" s="8"/>
      <c r="AE37" s="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F2721-BC48-4851-BC4B-7E7EFB2DB9D2}">
  <dimension ref="A1:Z15"/>
  <sheetViews>
    <sheetView workbookViewId="0">
      <selection activeCell="Z19" sqref="Z19"/>
    </sheetView>
  </sheetViews>
  <sheetFormatPr defaultRowHeight="15"/>
  <cols>
    <col min="13" max="14" width="9.140625" hidden="1" customWidth="1"/>
    <col min="16" max="17" width="9.140625" hidden="1" customWidth="1"/>
    <col min="19" max="20" width="9.140625" hidden="1" customWidth="1"/>
    <col min="22" max="23" width="0" hidden="1" customWidth="1"/>
    <col min="25" max="26" width="11.42578125" bestFit="1" customWidth="1"/>
  </cols>
  <sheetData>
    <row r="1" spans="1:26" ht="18.75">
      <c r="A1" s="5" t="s">
        <v>134</v>
      </c>
    </row>
    <row r="3" spans="1:26">
      <c r="M3" t="s">
        <v>118</v>
      </c>
      <c r="N3" t="s">
        <v>119</v>
      </c>
      <c r="P3" t="s">
        <v>118</v>
      </c>
      <c r="Q3" t="s">
        <v>119</v>
      </c>
      <c r="S3" t="s">
        <v>118</v>
      </c>
      <c r="T3" t="s">
        <v>119</v>
      </c>
      <c r="V3" t="s">
        <v>118</v>
      </c>
      <c r="W3" t="s">
        <v>119</v>
      </c>
      <c r="Y3" t="s">
        <v>118</v>
      </c>
      <c r="Z3" t="s">
        <v>119</v>
      </c>
    </row>
    <row r="4" spans="1:26">
      <c r="L4" s="6">
        <v>43466</v>
      </c>
      <c r="M4" s="12">
        <v>1.42</v>
      </c>
      <c r="N4" s="12">
        <v>1.42</v>
      </c>
      <c r="O4" s="6">
        <v>43525</v>
      </c>
      <c r="P4" s="12">
        <v>1.42</v>
      </c>
      <c r="Q4" s="12">
        <v>1.42</v>
      </c>
      <c r="R4" s="6">
        <v>43891</v>
      </c>
      <c r="S4" s="13">
        <v>1.6996205703107365</v>
      </c>
      <c r="T4" s="12">
        <v>1.5419198046432616</v>
      </c>
      <c r="U4" s="6">
        <v>44256</v>
      </c>
      <c r="V4" s="17">
        <v>1.2806228495685037</v>
      </c>
      <c r="W4" s="17">
        <v>1.6378301724137931</v>
      </c>
      <c r="X4" s="6">
        <v>44621</v>
      </c>
      <c r="Y4" s="17">
        <v>1.8766856020942406</v>
      </c>
      <c r="Z4" s="17">
        <v>1.8766850084428455</v>
      </c>
    </row>
    <row r="5" spans="1:26">
      <c r="L5" s="6">
        <v>43497</v>
      </c>
      <c r="M5" s="12">
        <v>1.72</v>
      </c>
      <c r="N5" s="12">
        <v>1.41</v>
      </c>
      <c r="O5" s="6">
        <v>43556</v>
      </c>
      <c r="P5" s="12">
        <v>1.63</v>
      </c>
      <c r="Q5" s="12">
        <v>1.41</v>
      </c>
      <c r="R5" s="6">
        <v>43922</v>
      </c>
      <c r="S5" s="13">
        <v>1.67</v>
      </c>
      <c r="T5" s="12">
        <v>1.5419198046432616</v>
      </c>
      <c r="U5" s="6">
        <v>44287</v>
      </c>
      <c r="V5" s="17">
        <v>1.7989147284122562</v>
      </c>
      <c r="W5" s="17">
        <v>1.6378299999999999</v>
      </c>
      <c r="X5" s="6">
        <v>44652</v>
      </c>
      <c r="Y5" s="17">
        <v>1.8766856020942406</v>
      </c>
      <c r="Z5" s="17">
        <v>1.8766850084428455</v>
      </c>
    </row>
    <row r="6" spans="1:26">
      <c r="O6" s="6">
        <v>43586</v>
      </c>
      <c r="P6" s="12">
        <v>1.42</v>
      </c>
      <c r="Q6" s="12">
        <v>1.41</v>
      </c>
      <c r="R6" s="6">
        <v>43952</v>
      </c>
      <c r="S6" s="12">
        <v>2.0932562365830187</v>
      </c>
      <c r="T6" s="12">
        <v>1.5419197676376493</v>
      </c>
      <c r="U6" s="6">
        <v>44317</v>
      </c>
      <c r="V6" s="17">
        <v>1.7027286892163862</v>
      </c>
      <c r="W6" s="17">
        <v>1.637829836679362</v>
      </c>
      <c r="X6" s="6">
        <v>44682</v>
      </c>
      <c r="Y6" s="17">
        <v>1.8766856020942406</v>
      </c>
      <c r="Z6" s="17">
        <v>1.8766850084428455</v>
      </c>
    </row>
    <row r="7" spans="1:26">
      <c r="O7" s="6">
        <v>43617</v>
      </c>
      <c r="P7" s="12">
        <v>1.42</v>
      </c>
      <c r="Q7" s="12">
        <v>1.41</v>
      </c>
      <c r="R7" s="6">
        <v>43983</v>
      </c>
      <c r="S7" s="12">
        <v>0.45</v>
      </c>
      <c r="T7" s="12">
        <v>1.5419199796126402</v>
      </c>
      <c r="U7" s="6">
        <v>44348</v>
      </c>
      <c r="V7" s="17">
        <v>1.781669250911331</v>
      </c>
      <c r="W7" s="17">
        <v>1.6378297877507406</v>
      </c>
      <c r="X7" s="6">
        <v>44713</v>
      </c>
      <c r="Y7" s="17">
        <v>1.8766851532047168</v>
      </c>
      <c r="Z7" s="17">
        <v>1.8766849463278032</v>
      </c>
    </row>
    <row r="8" spans="1:26">
      <c r="O8" s="6">
        <v>43647</v>
      </c>
      <c r="P8" s="12">
        <v>1.6</v>
      </c>
      <c r="Q8" s="12">
        <v>1.58</v>
      </c>
      <c r="R8" s="6">
        <v>44013</v>
      </c>
      <c r="S8" s="12">
        <v>1.5502839756592288</v>
      </c>
      <c r="T8" s="12">
        <v>1.64</v>
      </c>
      <c r="U8" s="6">
        <v>44378</v>
      </c>
      <c r="V8" s="17">
        <v>1.93</v>
      </c>
      <c r="W8" s="17">
        <v>1.88</v>
      </c>
      <c r="X8" s="6">
        <v>44743</v>
      </c>
      <c r="Y8" s="17">
        <v>2.02</v>
      </c>
      <c r="Z8" s="17">
        <v>2.02</v>
      </c>
    </row>
    <row r="9" spans="1:26">
      <c r="O9" s="6">
        <v>43678</v>
      </c>
      <c r="P9" s="12">
        <v>1.58</v>
      </c>
      <c r="Q9" s="12">
        <v>1.59</v>
      </c>
      <c r="R9" s="6">
        <v>44044</v>
      </c>
      <c r="S9" s="12">
        <v>1.9188401042193661</v>
      </c>
      <c r="T9" s="12">
        <v>1.6378301524188204</v>
      </c>
      <c r="U9" s="6">
        <v>44409</v>
      </c>
      <c r="V9" s="17">
        <v>1.9015699239155124</v>
      </c>
      <c r="W9" s="17">
        <v>2.1059046200124865</v>
      </c>
      <c r="X9" s="6">
        <v>44774</v>
      </c>
      <c r="Y9" s="17">
        <v>2.02</v>
      </c>
      <c r="Z9" s="17">
        <v>2.02</v>
      </c>
    </row>
    <row r="10" spans="1:26">
      <c r="O10" s="6">
        <v>43709</v>
      </c>
      <c r="P10" s="12">
        <v>1.6572535465256071</v>
      </c>
      <c r="Q10" s="12">
        <v>1.54</v>
      </c>
      <c r="R10" s="6">
        <v>44075</v>
      </c>
      <c r="S10" s="13">
        <v>1.8386093273962973</v>
      </c>
      <c r="T10" s="12">
        <v>1.6378300246807598</v>
      </c>
      <c r="U10" s="6">
        <v>44440</v>
      </c>
      <c r="V10" s="17">
        <v>1.88</v>
      </c>
      <c r="W10" s="17">
        <v>1.88</v>
      </c>
      <c r="X10" s="6">
        <v>44805</v>
      </c>
      <c r="Y10" s="17">
        <v>2.0168697285882864</v>
      </c>
      <c r="Z10" s="17">
        <v>2.0168212353923205</v>
      </c>
    </row>
    <row r="11" spans="1:26">
      <c r="O11" s="6">
        <v>43739</v>
      </c>
      <c r="P11" s="12">
        <v>1.3973389464068209</v>
      </c>
      <c r="Q11" s="12">
        <v>1.5419202883409944</v>
      </c>
      <c r="R11" s="6">
        <v>44105</v>
      </c>
      <c r="S11" s="13">
        <v>1.7260973225806451</v>
      </c>
      <c r="T11" s="12">
        <v>1.6378296654651234</v>
      </c>
      <c r="U11" s="6">
        <v>44470</v>
      </c>
      <c r="V11" s="17">
        <v>1.8766849368775973</v>
      </c>
      <c r="W11" s="17">
        <v>1.8766849691606324</v>
      </c>
      <c r="X11" s="6">
        <v>44835</v>
      </c>
      <c r="Y11" s="17">
        <v>2.0168700319622013</v>
      </c>
      <c r="Z11" s="17">
        <v>2.0169191210485735</v>
      </c>
    </row>
    <row r="12" spans="1:26">
      <c r="O12" s="6">
        <v>43770</v>
      </c>
      <c r="P12" s="12">
        <v>1.7510748226950352</v>
      </c>
      <c r="Q12" s="12">
        <v>1.5419199006407946</v>
      </c>
      <c r="R12" s="6">
        <v>44136</v>
      </c>
      <c r="S12" s="13">
        <v>1.5639040112892573</v>
      </c>
      <c r="T12" s="12">
        <v>1.6378298654008714</v>
      </c>
      <c r="U12" s="6">
        <v>44501</v>
      </c>
      <c r="V12" s="17">
        <v>1.8766849368775973</v>
      </c>
      <c r="W12" s="17">
        <v>1.8766849691606324</v>
      </c>
      <c r="X12" s="6">
        <v>44866</v>
      </c>
      <c r="Y12" s="17">
        <v>2.0168700319622013</v>
      </c>
      <c r="Z12" s="17">
        <v>2.0169191210485735</v>
      </c>
    </row>
    <row r="13" spans="1:26">
      <c r="O13" s="6">
        <v>43800</v>
      </c>
      <c r="P13" s="12">
        <v>1.26</v>
      </c>
      <c r="Q13" s="12">
        <v>1.5419199006407946</v>
      </c>
      <c r="R13" s="6">
        <v>44166</v>
      </c>
      <c r="S13" s="13">
        <v>1.5833501863197119</v>
      </c>
      <c r="T13" s="13">
        <v>1.6378297821969696</v>
      </c>
      <c r="U13" s="6">
        <v>44531</v>
      </c>
      <c r="V13" s="17">
        <v>1.8766849368775973</v>
      </c>
      <c r="W13" s="17">
        <v>1.8766849691606324</v>
      </c>
      <c r="X13" s="6">
        <v>44896</v>
      </c>
      <c r="Y13" s="17">
        <v>2.0168700319622013</v>
      </c>
      <c r="Z13" s="17">
        <v>2.0169191210485735</v>
      </c>
    </row>
    <row r="14" spans="1:26">
      <c r="O14" s="6">
        <v>43831</v>
      </c>
      <c r="P14" s="12">
        <v>1.9895776130006215</v>
      </c>
      <c r="Q14" s="12">
        <v>1.5419202955454026</v>
      </c>
      <c r="R14" s="6">
        <v>44197</v>
      </c>
      <c r="S14" s="17">
        <v>1.7774820756653211</v>
      </c>
      <c r="T14" s="17">
        <v>1.6378298350824587</v>
      </c>
      <c r="U14" s="6">
        <v>44562</v>
      </c>
      <c r="V14" s="17">
        <v>1.88</v>
      </c>
      <c r="W14" s="17">
        <v>1.88</v>
      </c>
      <c r="X14" s="6">
        <v>44927</v>
      </c>
      <c r="Y14" s="17"/>
      <c r="Z14" s="17"/>
    </row>
    <row r="15" spans="1:26">
      <c r="O15" s="6">
        <v>43862</v>
      </c>
      <c r="P15" s="13">
        <v>1.791575395868499</v>
      </c>
      <c r="Q15" s="12">
        <v>1.5419202971362949</v>
      </c>
      <c r="R15" s="6">
        <v>44228</v>
      </c>
      <c r="S15" s="17">
        <v>2.2099904203718674</v>
      </c>
      <c r="T15" s="17">
        <v>1.6378300142247511</v>
      </c>
      <c r="U15" s="6">
        <v>44593</v>
      </c>
      <c r="V15" s="17">
        <v>1.88</v>
      </c>
      <c r="W15" s="17">
        <v>1.88</v>
      </c>
      <c r="X15" s="6">
        <v>44958</v>
      </c>
      <c r="Y15" s="17"/>
      <c r="Z15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Props1.xml><?xml version="1.0" encoding="utf-8"?>
<ds:datastoreItem xmlns:ds="http://schemas.openxmlformats.org/officeDocument/2006/customXml" ds:itemID="{D7A09512-17AE-46E5-9C43-34BC2F041B84}"/>
</file>

<file path=customXml/itemProps2.xml><?xml version="1.0" encoding="utf-8"?>
<ds:datastoreItem xmlns:ds="http://schemas.openxmlformats.org/officeDocument/2006/customXml" ds:itemID="{79B82C87-71BB-4C05-8BE7-EF79049FF9D6}"/>
</file>

<file path=customXml/itemProps3.xml><?xml version="1.0" encoding="utf-8"?>
<ds:datastoreItem xmlns:ds="http://schemas.openxmlformats.org/officeDocument/2006/customXml" ds:itemID="{627D6831-D77A-4653-9706-73E3A630B3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2019-05-26T07:53:48Z</dcterms:created>
  <dcterms:modified xsi:type="dcterms:W3CDTF">2023-01-20T09:27:16Z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