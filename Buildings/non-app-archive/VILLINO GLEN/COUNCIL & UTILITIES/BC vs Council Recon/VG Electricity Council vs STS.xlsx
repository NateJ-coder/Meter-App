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VG\Utilities Back Date\"/>
    </mc:Choice>
  </mc:AlternateContent>
  <xr:revisionPtr revIDLastSave="268" documentId="13_ncr:1_{8AD23527-5831-4D32-9616-6020BC4D7459}" xr6:coauthVersionLast="47" xr6:coauthVersionMax="47" xr10:uidLastSave="{B7E5124E-FBA7-481B-A960-2B4CEFC1FDC6}"/>
  <bookViews>
    <workbookView xWindow="-28920" yWindow="-3765" windowWidth="29040" windowHeight="15840" xr2:uid="{217A3637-F164-47FD-8D33-EA25DCF887B9}"/>
  </bookViews>
  <sheets>
    <sheet name="Data" sheetId="1" r:id="rId1"/>
    <sheet name="Graph" sheetId="2" r:id="rId2"/>
    <sheet name="Consumption Graph" sheetId="3" r:id="rId3"/>
    <sheet name="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9" i="1" l="1"/>
  <c r="C261" i="1"/>
  <c r="C253" i="1"/>
  <c r="C245" i="1"/>
  <c r="C237" i="1"/>
  <c r="E285" i="1"/>
  <c r="F288" i="1"/>
  <c r="B286" i="1"/>
  <c r="D286" i="1" s="1"/>
  <c r="B285" i="1"/>
  <c r="D285" i="1" s="1"/>
  <c r="M285" i="1" s="1"/>
  <c r="E277" i="1"/>
  <c r="F280" i="1"/>
  <c r="B278" i="1"/>
  <c r="D278" i="1" s="1"/>
  <c r="B277" i="1"/>
  <c r="D277" i="1" s="1"/>
  <c r="M277" i="1" s="1"/>
  <c r="E269" i="1"/>
  <c r="F272" i="1"/>
  <c r="B270" i="1"/>
  <c r="D270" i="1" s="1"/>
  <c r="B269" i="1"/>
  <c r="M269" i="1" s="1"/>
  <c r="E261" i="1"/>
  <c r="F264" i="1"/>
  <c r="B262" i="1"/>
  <c r="D262" i="1" s="1"/>
  <c r="B261" i="1"/>
  <c r="M261" i="1" s="1"/>
  <c r="F238" i="1"/>
  <c r="F256" i="1"/>
  <c r="B254" i="1"/>
  <c r="D254" i="1" s="1"/>
  <c r="E253" i="1"/>
  <c r="B253" i="1"/>
  <c r="M253" i="1" s="1"/>
  <c r="E245" i="1"/>
  <c r="F248" i="1"/>
  <c r="B246" i="1"/>
  <c r="D246" i="1" s="1"/>
  <c r="B245" i="1"/>
  <c r="M245" i="1" s="1"/>
  <c r="E237" i="1"/>
  <c r="F240" i="1"/>
  <c r="B238" i="1"/>
  <c r="D238" i="1" s="1"/>
  <c r="B237" i="1"/>
  <c r="M237" i="1" s="1"/>
  <c r="E229" i="1"/>
  <c r="F232" i="1"/>
  <c r="F231" i="1"/>
  <c r="F233" i="1" s="1"/>
  <c r="B230" i="1"/>
  <c r="D230" i="1" s="1"/>
  <c r="B229" i="1"/>
  <c r="D229" i="1" s="1"/>
  <c r="F224" i="1"/>
  <c r="B222" i="1"/>
  <c r="D222" i="1" s="1"/>
  <c r="B221" i="1"/>
  <c r="D221" i="1" s="1"/>
  <c r="M221" i="1" s="1"/>
  <c r="E213" i="1"/>
  <c r="F216" i="1"/>
  <c r="B214" i="1"/>
  <c r="D214" i="1" s="1"/>
  <c r="G213" i="1"/>
  <c r="B213" i="1"/>
  <c r="D213" i="1" s="1"/>
  <c r="M213" i="1" s="1"/>
  <c r="E205" i="1"/>
  <c r="F208" i="1"/>
  <c r="B206" i="1"/>
  <c r="D206" i="1" s="1"/>
  <c r="G205" i="1"/>
  <c r="B205" i="1"/>
  <c r="D205" i="1" s="1"/>
  <c r="M205" i="1" s="1"/>
  <c r="R16" i="2"/>
  <c r="Q16" i="2"/>
  <c r="S16" i="2" s="1"/>
  <c r="AA16" i="2"/>
  <c r="Z16" i="2"/>
  <c r="E197" i="1"/>
  <c r="F200" i="1"/>
  <c r="B198" i="1"/>
  <c r="D198" i="1" s="1"/>
  <c r="G197" i="1"/>
  <c r="F199" i="1"/>
  <c r="B197" i="1"/>
  <c r="D197" i="1" s="1"/>
  <c r="F192" i="1"/>
  <c r="B190" i="1"/>
  <c r="D190" i="1" s="1"/>
  <c r="G189" i="1"/>
  <c r="E189" i="1"/>
  <c r="F191" i="1" s="1"/>
  <c r="B189" i="1"/>
  <c r="D189" i="1" s="1"/>
  <c r="M189" i="1" s="1"/>
  <c r="E181" i="1"/>
  <c r="F184" i="1"/>
  <c r="B182" i="1"/>
  <c r="D182" i="1" s="1"/>
  <c r="N182" i="1" s="1"/>
  <c r="G181" i="1"/>
  <c r="B181" i="1"/>
  <c r="D181" i="1" s="1"/>
  <c r="E173" i="1"/>
  <c r="F176" i="1"/>
  <c r="B174" i="1"/>
  <c r="D174" i="1" s="1"/>
  <c r="G173" i="1"/>
  <c r="F175" i="1"/>
  <c r="B173" i="1"/>
  <c r="D173" i="1" s="1"/>
  <c r="E165" i="1"/>
  <c r="F168" i="1"/>
  <c r="B166" i="1"/>
  <c r="D166" i="1" s="1"/>
  <c r="N166" i="1" s="1"/>
  <c r="G165" i="1"/>
  <c r="F167" i="1"/>
  <c r="B165" i="1"/>
  <c r="D165" i="1" s="1"/>
  <c r="M165" i="1" s="1"/>
  <c r="E157" i="1"/>
  <c r="B157" i="1"/>
  <c r="D157" i="1" s="1"/>
  <c r="M157" i="1" s="1"/>
  <c r="F150" i="1"/>
  <c r="F152" i="1" s="1"/>
  <c r="B158" i="1"/>
  <c r="F160" i="1"/>
  <c r="D158" i="1"/>
  <c r="M158" i="1" s="1"/>
  <c r="G157" i="1"/>
  <c r="G149" i="1"/>
  <c r="E149" i="1"/>
  <c r="F151" i="1"/>
  <c r="B150" i="1"/>
  <c r="D150" i="1" s="1"/>
  <c r="D149" i="1"/>
  <c r="G141" i="1"/>
  <c r="F143" i="1" s="1"/>
  <c r="F144" i="1"/>
  <c r="B142" i="1"/>
  <c r="D142" i="1" s="1"/>
  <c r="M142" i="1" s="1"/>
  <c r="B141" i="1"/>
  <c r="D141" i="1" s="1"/>
  <c r="M141" i="1" s="1"/>
  <c r="F136" i="1"/>
  <c r="B134" i="1"/>
  <c r="D134" i="1" s="1"/>
  <c r="G133" i="1"/>
  <c r="F135" i="1" s="1"/>
  <c r="B133" i="1"/>
  <c r="D133" i="1" s="1"/>
  <c r="F287" i="1" l="1"/>
  <c r="F289" i="1" s="1"/>
  <c r="N285" i="1"/>
  <c r="N286" i="1"/>
  <c r="M286" i="1"/>
  <c r="F279" i="1"/>
  <c r="F281" i="1" s="1"/>
  <c r="N277" i="1"/>
  <c r="N278" i="1"/>
  <c r="M278" i="1"/>
  <c r="F271" i="1"/>
  <c r="F273" i="1" s="1"/>
  <c r="N269" i="1"/>
  <c r="N270" i="1"/>
  <c r="M270" i="1"/>
  <c r="F263" i="1"/>
  <c r="F265" i="1" s="1"/>
  <c r="N261" i="1"/>
  <c r="N262" i="1"/>
  <c r="M262" i="1"/>
  <c r="F255" i="1"/>
  <c r="F257" i="1" s="1"/>
  <c r="N253" i="1"/>
  <c r="N254" i="1"/>
  <c r="M254" i="1"/>
  <c r="F247" i="1"/>
  <c r="F249" i="1" s="1"/>
  <c r="N245" i="1"/>
  <c r="N246" i="1"/>
  <c r="M246" i="1"/>
  <c r="F159" i="1"/>
  <c r="N157" i="1"/>
  <c r="F183" i="1"/>
  <c r="F239" i="1"/>
  <c r="F241" i="1" s="1"/>
  <c r="N237" i="1"/>
  <c r="N238" i="1"/>
  <c r="M238" i="1"/>
  <c r="N229" i="1"/>
  <c r="M229" i="1"/>
  <c r="N230" i="1"/>
  <c r="M230" i="1"/>
  <c r="F223" i="1"/>
  <c r="F225" i="1" s="1"/>
  <c r="N221" i="1"/>
  <c r="N222" i="1"/>
  <c r="M222" i="1"/>
  <c r="F215" i="1"/>
  <c r="F217" i="1" s="1"/>
  <c r="N213" i="1"/>
  <c r="N214" i="1"/>
  <c r="M214" i="1"/>
  <c r="F207" i="1"/>
  <c r="F209" i="1" s="1"/>
  <c r="N205" i="1"/>
  <c r="N206" i="1"/>
  <c r="M206" i="1"/>
  <c r="AB16" i="2"/>
  <c r="F201" i="1"/>
  <c r="F161" i="1"/>
  <c r="F193" i="1"/>
  <c r="F145" i="1"/>
  <c r="N158" i="1"/>
  <c r="N165" i="1"/>
  <c r="F185" i="1"/>
  <c r="N197" i="1"/>
  <c r="M197" i="1"/>
  <c r="N198" i="1"/>
  <c r="M198" i="1"/>
  <c r="M190" i="1"/>
  <c r="N190" i="1"/>
  <c r="N189" i="1"/>
  <c r="M182" i="1"/>
  <c r="N181" i="1"/>
  <c r="M181" i="1"/>
  <c r="F177" i="1"/>
  <c r="N174" i="1"/>
  <c r="M174" i="1"/>
  <c r="N173" i="1"/>
  <c r="M173" i="1"/>
  <c r="F169" i="1"/>
  <c r="M166" i="1"/>
  <c r="F153" i="1"/>
  <c r="M150" i="1"/>
  <c r="N150" i="1"/>
  <c r="M149" i="1"/>
  <c r="N149" i="1"/>
  <c r="N142" i="1"/>
  <c r="N141" i="1"/>
  <c r="F137" i="1"/>
  <c r="M134" i="1"/>
  <c r="N134" i="1"/>
  <c r="M133" i="1"/>
  <c r="N133" i="1"/>
  <c r="B125" i="1"/>
  <c r="D125" i="1" s="1"/>
  <c r="F128" i="1"/>
  <c r="B126" i="1"/>
  <c r="D126" i="1" s="1"/>
  <c r="G125" i="1"/>
  <c r="F127" i="1" s="1"/>
  <c r="B118" i="1"/>
  <c r="F129" i="1" l="1"/>
  <c r="M125" i="1"/>
  <c r="N125" i="1"/>
  <c r="M126" i="1"/>
  <c r="N126" i="1"/>
  <c r="F120" i="1" l="1"/>
  <c r="D118" i="1"/>
  <c r="M118" i="1" s="1"/>
  <c r="G117" i="1"/>
  <c r="F119" i="1" s="1"/>
  <c r="D117" i="1"/>
  <c r="N117" i="1" s="1"/>
  <c r="N118" i="1" l="1"/>
  <c r="F121" i="1"/>
  <c r="M117" i="1"/>
  <c r="F102" i="1"/>
  <c r="B86" i="1"/>
  <c r="F112" i="1"/>
  <c r="D110" i="1"/>
  <c r="M110" i="1" s="1"/>
  <c r="G109" i="1"/>
  <c r="F111" i="1" s="1"/>
  <c r="B109" i="1"/>
  <c r="D109" i="1" s="1"/>
  <c r="E101" i="1"/>
  <c r="F113" i="1" l="1"/>
  <c r="N110" i="1"/>
  <c r="N109" i="1"/>
  <c r="M109" i="1"/>
  <c r="V16" i="2" l="1"/>
  <c r="U16" i="2"/>
  <c r="F104" i="1"/>
  <c r="D102" i="1"/>
  <c r="M102" i="1" s="1"/>
  <c r="G101" i="1"/>
  <c r="F103" i="1" s="1"/>
  <c r="B101" i="1"/>
  <c r="D101" i="1" s="1"/>
  <c r="W16" i="2" l="1"/>
  <c r="F105" i="1"/>
  <c r="M101" i="1"/>
  <c r="N101" i="1"/>
  <c r="N102" i="1"/>
  <c r="F88" i="1"/>
  <c r="M86" i="1"/>
  <c r="G85" i="1"/>
  <c r="F87" i="1"/>
  <c r="B85" i="1"/>
  <c r="D85" i="1" s="1"/>
  <c r="F89" i="1" l="1"/>
  <c r="N85" i="1"/>
  <c r="M85" i="1"/>
  <c r="N86" i="1"/>
  <c r="E77" i="1"/>
  <c r="F80" i="1"/>
  <c r="B78" i="1"/>
  <c r="D78" i="1" s="1"/>
  <c r="M78" i="1" s="1"/>
  <c r="G77" i="1"/>
  <c r="B77" i="1"/>
  <c r="D77" i="1" s="1"/>
  <c r="N77" i="1" s="1"/>
  <c r="N78" i="1" l="1"/>
  <c r="F79" i="1"/>
  <c r="F81" i="1" s="1"/>
  <c r="M77" i="1"/>
  <c r="G69" i="1"/>
  <c r="F71" i="1" s="1"/>
  <c r="F70" i="1"/>
  <c r="F72" i="1"/>
  <c r="B70" i="1"/>
  <c r="D70" i="1" s="1"/>
  <c r="B69" i="1"/>
  <c r="D69" i="1" s="1"/>
  <c r="F73" i="1" l="1"/>
  <c r="N70" i="1"/>
  <c r="M70" i="1"/>
  <c r="N69" i="1"/>
  <c r="M69" i="1"/>
  <c r="F64" i="1"/>
  <c r="F63" i="1"/>
  <c r="B62" i="1"/>
  <c r="D62" i="1" s="1"/>
  <c r="M62" i="1" s="1"/>
  <c r="B61" i="1"/>
  <c r="D61" i="1" s="1"/>
  <c r="F65" i="1" l="1"/>
  <c r="N61" i="1"/>
  <c r="M61" i="1"/>
  <c r="N62" i="1"/>
  <c r="L54" i="1"/>
  <c r="F54" i="1"/>
  <c r="F56" i="1"/>
  <c r="F55" i="1"/>
  <c r="B54" i="1"/>
  <c r="D54" i="1" s="1"/>
  <c r="B53" i="1"/>
  <c r="D53" i="1" s="1"/>
  <c r="B46" i="1"/>
  <c r="F57" i="1" l="1"/>
  <c r="M53" i="1"/>
  <c r="N53" i="1"/>
  <c r="M54" i="1"/>
  <c r="N54" i="1"/>
  <c r="F48" i="1"/>
  <c r="F47" i="1"/>
  <c r="D46" i="1"/>
  <c r="M46" i="1" s="1"/>
  <c r="B45" i="1"/>
  <c r="D45" i="1" s="1"/>
  <c r="F49" i="1" l="1"/>
  <c r="N46" i="1"/>
  <c r="N45" i="1"/>
  <c r="M45" i="1"/>
  <c r="F40" i="1"/>
  <c r="D38" i="1"/>
  <c r="M38" i="1" s="1"/>
  <c r="F39" i="1"/>
  <c r="B37" i="1"/>
  <c r="D37" i="1" s="1"/>
  <c r="F41" i="1" l="1"/>
  <c r="N38" i="1"/>
  <c r="M37" i="1"/>
  <c r="N37" i="1"/>
  <c r="F30" i="1"/>
  <c r="E29" i="1" l="1"/>
  <c r="F31" i="1" s="1"/>
  <c r="F32" i="1"/>
  <c r="D30" i="1"/>
  <c r="M30" i="1" s="1"/>
  <c r="B29" i="1"/>
  <c r="D29" i="1" s="1"/>
  <c r="N29" i="1" s="1"/>
  <c r="F33" i="1" l="1"/>
  <c r="N30" i="1"/>
  <c r="M29" i="1"/>
  <c r="E21" i="1"/>
  <c r="B14" i="1" l="1"/>
  <c r="B22" i="1" l="1"/>
  <c r="B21" i="1"/>
  <c r="F24" i="1"/>
  <c r="F23" i="1"/>
  <c r="F25" i="1" s="1"/>
  <c r="D22" i="1"/>
  <c r="D21" i="1"/>
  <c r="M21" i="1" s="1"/>
  <c r="F15" i="1"/>
  <c r="F16" i="1"/>
  <c r="D14" i="1"/>
  <c r="M14" i="1" s="1"/>
  <c r="D13" i="1"/>
  <c r="N13" i="1" s="1"/>
  <c r="F17" i="1" l="1"/>
  <c r="N22" i="1"/>
  <c r="M22" i="1"/>
  <c r="N21" i="1"/>
  <c r="N14" i="1"/>
  <c r="M13" i="1"/>
  <c r="F7" i="1"/>
  <c r="F6" i="1"/>
  <c r="F8" i="1" s="1"/>
  <c r="D5" i="1"/>
  <c r="D6" i="1"/>
  <c r="M6" i="1" s="1"/>
  <c r="N5" i="1" l="1"/>
  <c r="M5" i="1"/>
  <c r="F9" i="1"/>
  <c r="N6" i="1"/>
  <c r="N16" i="2"/>
  <c r="M16" i="2"/>
  <c r="O16" i="2" l="1"/>
</calcChain>
</file>

<file path=xl/sharedStrings.xml><?xml version="1.0" encoding="utf-8"?>
<sst xmlns="http://schemas.openxmlformats.org/spreadsheetml/2006/main" count="869" uniqueCount="94">
  <si>
    <t>Villino Glen Elec Back Date Summary 2018 - Apr2019</t>
  </si>
  <si>
    <t>Unit No.</t>
  </si>
  <si>
    <t>Opening Reading</t>
  </si>
  <si>
    <t>Closing Reading</t>
  </si>
  <si>
    <t>Cons</t>
  </si>
  <si>
    <t>ComP</t>
  </si>
  <si>
    <t>Elec Amount</t>
  </si>
  <si>
    <t>Demand Levy</t>
  </si>
  <si>
    <t>Service Fee</t>
  </si>
  <si>
    <t>Network Fee</t>
  </si>
  <si>
    <t>Estimated?</t>
  </si>
  <si>
    <t>Reading Dates</t>
  </si>
  <si>
    <t>Days</t>
  </si>
  <si>
    <t>Kwh p/day</t>
  </si>
  <si>
    <t>Rates</t>
  </si>
  <si>
    <t>BC Bulk</t>
  </si>
  <si>
    <t>6Jan - 31Jan 2020</t>
  </si>
  <si>
    <t>Council Bulk</t>
  </si>
  <si>
    <t>Actual</t>
  </si>
  <si>
    <t>25Oct - 22Jan 2020</t>
  </si>
  <si>
    <t>BC Total</t>
  </si>
  <si>
    <t>Council Total</t>
  </si>
  <si>
    <t>Difference</t>
  </si>
  <si>
    <t>31Jan - 27Feb</t>
  </si>
  <si>
    <t>23Jan - 27Feb 2020</t>
  </si>
  <si>
    <t>27Feb - 25Mar 2020</t>
  </si>
  <si>
    <t>28Feb - 26Mar 2020</t>
  </si>
  <si>
    <t>Estimated</t>
  </si>
  <si>
    <t>25Mar - 30Apr 2020</t>
  </si>
  <si>
    <t>23Jan - 20Apr 2020</t>
  </si>
  <si>
    <t>30Apr - 29May 2020</t>
  </si>
  <si>
    <t>20Apr - 28May 2020</t>
  </si>
  <si>
    <t>29May - 30Jun 2020</t>
  </si>
  <si>
    <t>29May - 23Jun 2020</t>
  </si>
  <si>
    <t>30Jun - 31Jul 2020</t>
  </si>
  <si>
    <t>24Jun - 29Jul 2020</t>
  </si>
  <si>
    <t>31Jul - 31Aug 2020</t>
  </si>
  <si>
    <t>30Jul - 28Aug 2020</t>
  </si>
  <si>
    <t>31Aug - 30Sept 2020</t>
  </si>
  <si>
    <t>28Aug - 28Sept 2020</t>
  </si>
  <si>
    <t>30Sept - 31Oct 2020</t>
  </si>
  <si>
    <t>29Sept - 27Oct 2020</t>
  </si>
  <si>
    <t>31Oct - 25Nov 2020</t>
  </si>
  <si>
    <t>25Nov 2020 - 5Jan 2021</t>
  </si>
  <si>
    <t>5Jan - 1Feb 2021</t>
  </si>
  <si>
    <t>28Oct 2020 - 28Jan 2021</t>
  </si>
  <si>
    <t>1Feb - 26Feb 2021</t>
  </si>
  <si>
    <t>29Jan - 25Feb 2021</t>
  </si>
  <si>
    <t>26Feb - 31Mar 2021</t>
  </si>
  <si>
    <t>26Feb - 26Mar 2021</t>
  </si>
  <si>
    <t>31Mar - 29Apr 2021</t>
  </si>
  <si>
    <t>27Mar - 29Apr 2021</t>
  </si>
  <si>
    <t>29Apr - 27May 2021</t>
  </si>
  <si>
    <t>30Apr - 21May 2021</t>
  </si>
  <si>
    <t>27May - 5Jul 2021</t>
  </si>
  <si>
    <t>26May - 23Jun 2021</t>
  </si>
  <si>
    <t>5Jul - 2Aug 2021</t>
  </si>
  <si>
    <t>29Jun - 27Jul 2021</t>
  </si>
  <si>
    <t>2Aug - 2Sept 2021</t>
  </si>
  <si>
    <t>28Jul - 27Aug 2021</t>
  </si>
  <si>
    <t>2Sept - 30Sept 2021</t>
  </si>
  <si>
    <t>28Aug - 28Sept 2021</t>
  </si>
  <si>
    <t>30Sept - 29Oct 2021</t>
  </si>
  <si>
    <t>29Sept - 27Oct 2021</t>
  </si>
  <si>
    <t>29Oct - 2Dec 2021</t>
  </si>
  <si>
    <t>28Oct - 25Nov 2021</t>
  </si>
  <si>
    <t>26Nov - 29Dec 2021</t>
  </si>
  <si>
    <t>4Jan - 27Jan 2022</t>
  </si>
  <si>
    <t>30Dec 2021 - 27Jan 2022</t>
  </si>
  <si>
    <t>27Jan - 25Feb 2022</t>
  </si>
  <si>
    <t>28Jan - 31Jan 2022</t>
  </si>
  <si>
    <t>25Feb - 31Mar 2022</t>
  </si>
  <si>
    <t>31Mar - 28Apr 2022</t>
  </si>
  <si>
    <t>28Apr - 7Jun 2022</t>
  </si>
  <si>
    <t>7Jun - 5Jul 2022</t>
  </si>
  <si>
    <t>5Jul 2022 - 2Aug 2022</t>
  </si>
  <si>
    <t>2Aug - 31Aug 2022</t>
  </si>
  <si>
    <t>31Aug - 26Sept 2022</t>
  </si>
  <si>
    <t>26Sept - 28Oct 2022</t>
  </si>
  <si>
    <t>28Oct - 30Nov 2022</t>
  </si>
  <si>
    <t>30Nov - 31Dec 2022</t>
  </si>
  <si>
    <t>Villino Glen Elec Back Date</t>
  </si>
  <si>
    <t>BC</t>
  </si>
  <si>
    <t>Council</t>
  </si>
  <si>
    <t>Estimated / Actual</t>
  </si>
  <si>
    <t>A</t>
  </si>
  <si>
    <t>Council moved over to prepaid meter in Feb 2022</t>
  </si>
  <si>
    <t>BC moved over to new prepaid company 9 May 2022</t>
  </si>
  <si>
    <t>BC reading very high Trustees advised reading to be averaged over 6 months</t>
  </si>
  <si>
    <t>E</t>
  </si>
  <si>
    <t>Council Back Date (A)</t>
  </si>
  <si>
    <t>VG Consumption BC vs Council</t>
  </si>
  <si>
    <t>KWH PER DAY</t>
  </si>
  <si>
    <t>VG Rates BC vs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</si>
</sst>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7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" fontId="0" fillId="0" borderId="0" xfId="0" applyNumberFormat="1"/>
    <xf numFmtId="0" fontId="3" fillId="0" borderId="0" xfId="0" applyFont="1"/>
    <xf numFmtId="164" fontId="0" fillId="0" borderId="0" xfId="0" applyNumberFormat="1"/>
    <xf numFmtId="164" fontId="1" fillId="0" borderId="2" xfId="0" applyNumberFormat="1" applyFont="1" applyBorder="1"/>
    <xf numFmtId="164" fontId="0" fillId="0" borderId="0" xfId="1" applyFont="1"/>
    <xf numFmtId="17" fontId="1" fillId="2" borderId="0" xfId="0" applyNumberFormat="1" applyFont="1" applyFill="1"/>
    <xf numFmtId="0" fontId="0" fillId="0" borderId="0" xfId="0" applyAlignment="1">
      <alignment horizontal="center"/>
    </xf>
    <xf numFmtId="0" fontId="5" fillId="0" borderId="0" xfId="0" applyFont="1"/>
    <xf numFmtId="164" fontId="0" fillId="0" borderId="1" xfId="1" applyFont="1" applyBorder="1"/>
    <xf numFmtId="166" fontId="0" fillId="0" borderId="0" xfId="0" applyNumberFormat="1"/>
    <xf numFmtId="0" fontId="0" fillId="0" borderId="0" xfId="0" applyAlignment="1">
      <alignment wrapText="1"/>
    </xf>
    <xf numFmtId="17" fontId="1" fillId="0" borderId="0" xfId="0" applyNumberFormat="1" applyFont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Graph!$Z$3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Graph!$Y$4:$Y$15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Graph!$Z$4:$Z$15</c:f>
              <c:numCache>
                <c:formatCode>_-[$R-436]* #,##0.00_-;\-[$R-436]* #,##0.00_-;_-[$R-436]* "-"??_-;_-@_-</c:formatCode>
                <c:ptCount val="12"/>
                <c:pt idx="0" formatCode="_-&quot;R&quot;* #,##0.00_-;\-&quot;R&quot;* #,##0.00_-;_-&quot;R&quot;* &quot;-&quot;??_-;_-@_-">
                  <c:v>1018.348</c:v>
                </c:pt>
                <c:pt idx="1">
                  <c:v>1474.9</c:v>
                </c:pt>
                <c:pt idx="2" formatCode="_-&quot;R&quot;* #,##0.00_-;\-&quot;R&quot;* #,##0.00_-;_-&quot;R&quot;* &quot;-&quot;??_-;_-@_-">
                  <c:v>35039.605499999998</c:v>
                </c:pt>
                <c:pt idx="3" formatCode="_-&quot;R&quot;* #,##0.00_-;\-&quot;R&quot;* #,##0.00_-;_-&quot;R&quot;* &quot;-&quot;??_-;_-@_-">
                  <c:v>41074.916000000005</c:v>
                </c:pt>
                <c:pt idx="4" formatCode="_-&quot;R&quot;* #,##0.00_-;\-&quot;R&quot;* #,##0.00_-;_-&quot;R&quot;* &quot;-&quot;??_-;_-@_-">
                  <c:v>36295.360500000003</c:v>
                </c:pt>
                <c:pt idx="5" formatCode="_-&quot;R&quot;* #,##0.00_-;\-&quot;R&quot;* #,##0.00_-;_-&quot;R&quot;* &quot;-&quot;??_-;_-@_-">
                  <c:v>39025.070500000002</c:v>
                </c:pt>
                <c:pt idx="6" formatCode="_-&quot;R&quot;* #,##0.00_-;\-&quot;R&quot;* #,##0.00_-;_-&quot;R&quot;* &quot;-&quot;??_-;_-@_-">
                  <c:v>35185.827499999999</c:v>
                </c:pt>
                <c:pt idx="7" formatCode="_-&quot;R&quot;* #,##0.00_-;\-&quot;R&quot;* #,##0.00_-;_-&quot;R&quot;* &quot;-&quot;??_-;_-@_-">
                  <c:v>28844.226999999999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1-414E-B644-B78450A23D08}"/>
            </c:ext>
          </c:extLst>
        </c:ser>
        <c:ser>
          <c:idx val="1"/>
          <c:order val="1"/>
          <c:tx>
            <c:strRef>
              <c:f>Graph!$AA$3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Graph!$Y$4:$Y$15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Graph!$AA$4:$AA$15</c:f>
              <c:numCache>
                <c:formatCode>_-"R"* #,##0.00_-;\-"R"* #,##0.00_-;_-"R"* "-"??_-;_-@_-</c:formatCode>
                <c:ptCount val="12"/>
                <c:pt idx="1">
                  <c:v>24544.400000000001</c:v>
                </c:pt>
                <c:pt idx="2">
                  <c:v>27197.48</c:v>
                </c:pt>
                <c:pt idx="3">
                  <c:v>32431.71</c:v>
                </c:pt>
                <c:pt idx="4">
                  <c:v>34473.839999999997</c:v>
                </c:pt>
                <c:pt idx="5">
                  <c:v>34689.79</c:v>
                </c:pt>
                <c:pt idx="6">
                  <c:v>34689.79</c:v>
                </c:pt>
                <c:pt idx="7">
                  <c:v>27224.01</c:v>
                </c:pt>
                <c:pt idx="8">
                  <c:v>25666.68</c:v>
                </c:pt>
                <c:pt idx="9">
                  <c:v>24841.52</c:v>
                </c:pt>
                <c:pt idx="10">
                  <c:v>21995.74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1-414E-B644-B78450A2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793447"/>
        <c:axId val="330395223"/>
      </c:barChart>
      <c:dateAx>
        <c:axId val="496793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95223"/>
        <c:crosses val="autoZero"/>
        <c:auto val="1"/>
        <c:lblOffset val="100"/>
        <c:baseTimeUnit val="months"/>
      </c:dateAx>
      <c:valAx>
        <c:axId val="33039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9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Graph'!$V$3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Graph'!$U$4:$U$15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'Consumption Graph'!$V$4:$V$15</c:f>
              <c:numCache>
                <c:formatCode>General</c:formatCode>
                <c:ptCount val="12"/>
                <c:pt idx="0">
                  <c:v>11770</c:v>
                </c:pt>
                <c:pt idx="1">
                  <c:v>11168</c:v>
                </c:pt>
                <c:pt idx="2">
                  <c:v>17466</c:v>
                </c:pt>
                <c:pt idx="3">
                  <c:v>17402.3</c:v>
                </c:pt>
                <c:pt idx="4">
                  <c:v>14805.9</c:v>
                </c:pt>
                <c:pt idx="5">
                  <c:v>15736.7</c:v>
                </c:pt>
                <c:pt idx="6">
                  <c:v>12229</c:v>
                </c:pt>
                <c:pt idx="7">
                  <c:v>12038.6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F-46A8-A830-5154550DE9B9}"/>
            </c:ext>
          </c:extLst>
        </c:ser>
        <c:ser>
          <c:idx val="1"/>
          <c:order val="1"/>
          <c:tx>
            <c:strRef>
              <c:f>'Consumption Graph'!$W$3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Graph'!$U$4:$U$15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'Consumption Graph'!$W$4:$W$15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79AF-46A8-A830-5154550DE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465288"/>
        <c:axId val="1376351496"/>
      </c:barChart>
      <c:dateAx>
        <c:axId val="2064465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51496"/>
        <c:crosses val="autoZero"/>
        <c:auto val="1"/>
        <c:lblOffset val="100"/>
        <c:baseTimeUnit val="months"/>
      </c:dateAx>
      <c:valAx>
        <c:axId val="13763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46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Graph'!$V$24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Graph'!$U$25:$U$36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'Consumption Graph'!$V$25:$V$36</c:f>
              <c:numCache>
                <c:formatCode>0</c:formatCode>
                <c:ptCount val="12"/>
                <c:pt idx="0">
                  <c:v>346</c:v>
                </c:pt>
                <c:pt idx="1">
                  <c:v>398.85714285714283</c:v>
                </c:pt>
                <c:pt idx="2">
                  <c:v>447.84615384615387</c:v>
                </c:pt>
                <c:pt idx="3">
                  <c:v>621.51071428571424</c:v>
                </c:pt>
                <c:pt idx="4">
                  <c:v>528.78214285714284</c:v>
                </c:pt>
                <c:pt idx="5">
                  <c:v>542.64482758620693</c:v>
                </c:pt>
                <c:pt idx="6">
                  <c:v>470.34615384615387</c:v>
                </c:pt>
                <c:pt idx="7">
                  <c:v>463.02307692307693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7-432D-BDF0-FA12915E4247}"/>
            </c:ext>
          </c:extLst>
        </c:ser>
        <c:ser>
          <c:idx val="1"/>
          <c:order val="1"/>
          <c:tx>
            <c:strRef>
              <c:f>'Consumption Graph'!$W$24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Graph'!$U$25:$U$36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'Consumption Graph'!$W$25:$W$36</c:f>
              <c:numCache>
                <c:formatCode>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8E77-432D-BDF0-FA12915E4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788871"/>
        <c:axId val="330383559"/>
      </c:barChart>
      <c:dateAx>
        <c:axId val="4967888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83559"/>
        <c:crosses val="autoZero"/>
        <c:auto val="1"/>
        <c:lblOffset val="100"/>
        <c:baseTimeUnit val="months"/>
      </c:dateAx>
      <c:valAx>
        <c:axId val="33038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8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Graph'!$T$5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Graph'!$S$6:$S$17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Graph'!$T$6:$T$17</c:f>
              <c:numCache>
                <c:formatCode>_-[$R-436]* #,##0.00_-;\-[$R-436]* #,##0.00_-;_-[$R-436]* "-"??_-;_-@_-</c:formatCode>
                <c:ptCount val="12"/>
                <c:pt idx="0">
                  <c:v>0.01</c:v>
                </c:pt>
                <c:pt idx="1">
                  <c:v>0.13</c:v>
                </c:pt>
                <c:pt idx="2">
                  <c:v>2.0099999999999998</c:v>
                </c:pt>
                <c:pt idx="3">
                  <c:v>2.36</c:v>
                </c:pt>
                <c:pt idx="4">
                  <c:v>2.4500000000000002</c:v>
                </c:pt>
                <c:pt idx="5">
                  <c:v>2.48</c:v>
                </c:pt>
                <c:pt idx="6">
                  <c:v>2.88</c:v>
                </c:pt>
                <c:pt idx="7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C-4C02-8211-2638953DA54E}"/>
            </c:ext>
          </c:extLst>
        </c:ser>
        <c:ser>
          <c:idx val="1"/>
          <c:order val="1"/>
          <c:tx>
            <c:strRef>
              <c:f>'Rates Graph'!$U$5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Graph'!$S$6:$S$17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Graph'!$U$6:$U$17</c:f>
              <c:numCache>
                <c:formatCode>_-[$R-436]* #,##0.00_-;\-[$R-436]* #,##0.00_-;_-[$R-436]*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E37C-4C02-8211-2638953D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102136"/>
        <c:axId val="623465032"/>
      </c:barChart>
      <c:dateAx>
        <c:axId val="968102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65032"/>
        <c:crosses val="autoZero"/>
        <c:auto val="1"/>
        <c:lblOffset val="100"/>
        <c:baseTimeUnit val="months"/>
      </c:dateAx>
      <c:valAx>
        <c:axId val="62346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0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142875</xdr:rowOff>
    </xdr:from>
    <xdr:to>
      <xdr:col>10</xdr:col>
      <xdr:colOff>228600</xdr:colOff>
      <xdr:row>16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1C3876-C8FE-15CF-47AE-D6401737B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133350</xdr:rowOff>
    </xdr:from>
    <xdr:to>
      <xdr:col>9</xdr:col>
      <xdr:colOff>495300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89DF32-70DC-6AD0-C363-72C4762E0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21</xdr:row>
      <xdr:rowOff>28575</xdr:rowOff>
    </xdr:from>
    <xdr:to>
      <xdr:col>10</xdr:col>
      <xdr:colOff>76200</xdr:colOff>
      <xdr:row>35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9790E0-9C97-8558-F709-16EE78DBC022}"/>
            </a:ext>
            <a:ext uri="{147F2762-F138-4A5C-976F-8EAC2B608ADB}">
              <a16:predDERef xmlns:a16="http://schemas.microsoft.com/office/drawing/2014/main" pred="{2489DF32-70DC-6AD0-C363-72C4762E0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190500</xdr:rowOff>
    </xdr:from>
    <xdr:to>
      <xdr:col>8</xdr:col>
      <xdr:colOff>447675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78EF33-B641-681D-9264-037FB7EBE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B915-35B8-47B4-BA9D-140AABEF5CFA}">
  <sheetPr>
    <pageSetUpPr fitToPage="1"/>
  </sheetPr>
  <dimension ref="A1:N289"/>
  <sheetViews>
    <sheetView tabSelected="1" topLeftCell="A271" workbookViewId="0">
      <selection activeCell="M269" sqref="M269"/>
    </sheetView>
  </sheetViews>
  <sheetFormatPr defaultRowHeight="15"/>
  <cols>
    <col min="1" max="1" width="12.7109375" customWidth="1"/>
    <col min="2" max="2" width="16.28515625" bestFit="1" customWidth="1"/>
    <col min="3" max="3" width="15.140625" bestFit="1" customWidth="1"/>
    <col min="5" max="5" width="10.5703125" bestFit="1" customWidth="1"/>
    <col min="6" max="6" width="12.140625" bestFit="1" customWidth="1"/>
    <col min="7" max="7" width="12.85546875" bestFit="1" customWidth="1"/>
    <col min="8" max="8" width="11.140625" bestFit="1" customWidth="1"/>
    <col min="9" max="9" width="12.42578125" bestFit="1" customWidth="1"/>
    <col min="10" max="10" width="12.42578125" customWidth="1"/>
    <col min="11" max="11" width="21.140625" bestFit="1" customWidth="1"/>
    <col min="13" max="13" width="10.42578125" bestFit="1" customWidth="1"/>
  </cols>
  <sheetData>
    <row r="1" spans="1:14" ht="18.75">
      <c r="A1" s="1" t="s">
        <v>0</v>
      </c>
    </row>
    <row r="3" spans="1:14">
      <c r="A3" s="11">
        <v>43831</v>
      </c>
    </row>
    <row r="4" spans="1:14" hidden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hidden="1">
      <c r="A5" s="4" t="s">
        <v>15</v>
      </c>
      <c r="B5" s="4">
        <v>92100</v>
      </c>
      <c r="C5" s="4">
        <v>92100</v>
      </c>
      <c r="D5" s="4">
        <f>C5-B5</f>
        <v>0</v>
      </c>
      <c r="E5" s="4">
        <v>0</v>
      </c>
      <c r="F5" s="5">
        <v>20436.189999999999</v>
      </c>
      <c r="G5" s="5"/>
      <c r="H5" s="5"/>
      <c r="I5" s="5"/>
      <c r="J5" s="5"/>
      <c r="K5" s="4" t="s">
        <v>16</v>
      </c>
      <c r="L5" s="4">
        <v>25</v>
      </c>
      <c r="M5" s="4">
        <f>D5/L5</f>
        <v>0</v>
      </c>
      <c r="N5" s="4" t="e">
        <f>F5/D5</f>
        <v>#DIV/0!</v>
      </c>
    </row>
    <row r="6" spans="1:14" hidden="1">
      <c r="A6" s="4" t="s">
        <v>17</v>
      </c>
      <c r="B6" s="4">
        <v>53473</v>
      </c>
      <c r="C6" s="4">
        <v>92100</v>
      </c>
      <c r="D6" s="4">
        <f>C6-B6</f>
        <v>38627</v>
      </c>
      <c r="E6" s="4"/>
      <c r="F6" s="5">
        <f>(71051.47-39959.6)</f>
        <v>31091.870000000003</v>
      </c>
      <c r="G6" s="5">
        <v>698.51</v>
      </c>
      <c r="H6" s="5"/>
      <c r="I6" s="5"/>
      <c r="J6" s="5" t="s">
        <v>18</v>
      </c>
      <c r="K6" s="4" t="s">
        <v>19</v>
      </c>
      <c r="L6" s="4">
        <v>90</v>
      </c>
      <c r="M6" s="4">
        <f>D6/L6</f>
        <v>429.18888888888887</v>
      </c>
      <c r="N6" s="5">
        <f>F8/D6</f>
        <v>0.82300929401713829</v>
      </c>
    </row>
    <row r="7" spans="1:14" hidden="1">
      <c r="A7" s="4" t="s">
        <v>20</v>
      </c>
      <c r="B7" s="4"/>
      <c r="C7" s="4"/>
      <c r="D7" s="4"/>
      <c r="E7" s="4"/>
      <c r="F7" s="5">
        <f>E5+F5+G5+H5+I5</f>
        <v>20436.189999999999</v>
      </c>
      <c r="G7" s="5"/>
      <c r="H7" s="5"/>
      <c r="I7" s="5"/>
      <c r="J7" s="5"/>
      <c r="K7" s="4"/>
      <c r="L7" s="4"/>
      <c r="M7" s="4"/>
      <c r="N7" s="4"/>
    </row>
    <row r="8" spans="1:14" hidden="1">
      <c r="A8" s="4" t="s">
        <v>21</v>
      </c>
      <c r="B8" s="4"/>
      <c r="C8" s="4"/>
      <c r="D8" s="4"/>
      <c r="E8" s="4"/>
      <c r="F8" s="5">
        <f>F6+G6+H6+I6</f>
        <v>31790.38</v>
      </c>
      <c r="G8" s="5"/>
      <c r="H8" s="5"/>
      <c r="I8" s="5"/>
      <c r="J8" s="5"/>
      <c r="K8" s="4"/>
      <c r="L8" s="4"/>
      <c r="M8" s="4"/>
      <c r="N8" s="4"/>
    </row>
    <row r="9" spans="1:14" hidden="1">
      <c r="A9" s="4" t="s">
        <v>22</v>
      </c>
      <c r="B9" s="4"/>
      <c r="C9" s="4"/>
      <c r="D9" s="4"/>
      <c r="E9" s="4"/>
      <c r="F9" s="5">
        <f>F7-F8</f>
        <v>-11354.190000000002</v>
      </c>
      <c r="G9" s="5"/>
      <c r="H9" s="5"/>
      <c r="I9" s="5"/>
      <c r="J9" s="5"/>
      <c r="K9" s="4"/>
      <c r="L9" s="4"/>
      <c r="M9" s="4"/>
      <c r="N9" s="4"/>
    </row>
    <row r="10" spans="1:14" hidden="1"/>
    <row r="11" spans="1:14" hidden="1">
      <c r="A11" s="11">
        <v>43862</v>
      </c>
    </row>
    <row r="12" spans="1:14" hidden="1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13</v>
      </c>
      <c r="N12" s="3" t="s">
        <v>14</v>
      </c>
    </row>
    <row r="13" spans="1:14" hidden="1">
      <c r="A13" s="4" t="s">
        <v>15</v>
      </c>
      <c r="B13" s="4">
        <v>92100</v>
      </c>
      <c r="C13" s="4">
        <v>105072</v>
      </c>
      <c r="D13" s="4">
        <f>C13-B13</f>
        <v>12972</v>
      </c>
      <c r="E13" s="4">
        <v>5704.47</v>
      </c>
      <c r="F13" s="5">
        <v>21039.48</v>
      </c>
      <c r="G13" s="5"/>
      <c r="H13" s="5"/>
      <c r="I13" s="5"/>
      <c r="J13" s="5"/>
      <c r="K13" s="4" t="s">
        <v>23</v>
      </c>
      <c r="L13" s="4">
        <v>27</v>
      </c>
      <c r="M13" s="4">
        <f>D13/L13</f>
        <v>480.44444444444446</v>
      </c>
      <c r="N13" s="4">
        <f>F13/D13</f>
        <v>1.6219148936170213</v>
      </c>
    </row>
    <row r="14" spans="1:14" hidden="1">
      <c r="A14" s="4" t="s">
        <v>17</v>
      </c>
      <c r="B14" s="4">
        <f>C6</f>
        <v>92100</v>
      </c>
      <c r="C14" s="4">
        <v>107550</v>
      </c>
      <c r="D14" s="4">
        <f>C14-B14</f>
        <v>15450</v>
      </c>
      <c r="E14" s="4"/>
      <c r="F14" s="5">
        <v>28420.58</v>
      </c>
      <c r="G14" s="5">
        <v>698.51</v>
      </c>
      <c r="H14" s="5"/>
      <c r="I14" s="5"/>
      <c r="J14" s="5" t="s">
        <v>18</v>
      </c>
      <c r="K14" s="4" t="s">
        <v>24</v>
      </c>
      <c r="L14" s="4">
        <v>34</v>
      </c>
      <c r="M14" s="4">
        <f>D14/L14</f>
        <v>454.41176470588238</v>
      </c>
      <c r="N14" s="5">
        <f>F16/D14</f>
        <v>1.8847307443365695</v>
      </c>
    </row>
    <row r="15" spans="1:14" hidden="1">
      <c r="A15" s="4" t="s">
        <v>20</v>
      </c>
      <c r="B15" s="4"/>
      <c r="C15" s="4"/>
      <c r="D15" s="4"/>
      <c r="E15" s="4"/>
      <c r="F15" s="5">
        <f>E13+F13+G13+H13+I13</f>
        <v>26743.95</v>
      </c>
      <c r="G15" s="5"/>
      <c r="H15" s="5"/>
      <c r="I15" s="5"/>
      <c r="J15" s="5"/>
      <c r="K15" s="4"/>
      <c r="L15" s="4"/>
      <c r="M15" s="4"/>
      <c r="N15" s="4"/>
    </row>
    <row r="16" spans="1:14" hidden="1">
      <c r="A16" s="4" t="s">
        <v>21</v>
      </c>
      <c r="B16" s="4"/>
      <c r="C16" s="4"/>
      <c r="D16" s="4"/>
      <c r="E16" s="4"/>
      <c r="F16" s="5">
        <f>F14+G14+H14+I14</f>
        <v>29119.09</v>
      </c>
      <c r="G16" s="5"/>
      <c r="H16" s="5"/>
      <c r="I16" s="5"/>
      <c r="J16" s="5"/>
      <c r="K16" s="4"/>
      <c r="L16" s="4"/>
      <c r="M16" s="4"/>
      <c r="N16" s="4"/>
    </row>
    <row r="17" spans="1:14" hidden="1">
      <c r="A17" s="4" t="s">
        <v>22</v>
      </c>
      <c r="B17" s="4"/>
      <c r="C17" s="4"/>
      <c r="D17" s="4"/>
      <c r="E17" s="4"/>
      <c r="F17" s="5">
        <f>F15-F16</f>
        <v>-2375.1399999999994</v>
      </c>
      <c r="G17" s="5"/>
      <c r="H17" s="5"/>
      <c r="I17" s="5"/>
      <c r="J17" s="5"/>
      <c r="K17" s="4"/>
      <c r="L17" s="4"/>
      <c r="M17" s="4"/>
      <c r="N17" s="4"/>
    </row>
    <row r="18" spans="1:14" hidden="1"/>
    <row r="19" spans="1:14" hidden="1">
      <c r="A19" s="11">
        <v>43891</v>
      </c>
    </row>
    <row r="20" spans="1:14" hidden="1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  <c r="J20" s="3" t="s">
        <v>10</v>
      </c>
      <c r="K20" s="3" t="s">
        <v>11</v>
      </c>
      <c r="L20" s="3" t="s">
        <v>12</v>
      </c>
      <c r="M20" s="3" t="s">
        <v>13</v>
      </c>
      <c r="N20" s="3" t="s">
        <v>14</v>
      </c>
    </row>
    <row r="21" spans="1:14" hidden="1">
      <c r="A21" s="4" t="s">
        <v>15</v>
      </c>
      <c r="B21" s="4">
        <f>C13</f>
        <v>105072</v>
      </c>
      <c r="C21" s="4">
        <v>117025</v>
      </c>
      <c r="D21" s="4">
        <f>C21-B21</f>
        <v>11953</v>
      </c>
      <c r="E21" s="14">
        <f>4145.75*1.15</f>
        <v>4767.6124999999993</v>
      </c>
      <c r="F21" s="5">
        <v>24450.84</v>
      </c>
      <c r="G21" s="5"/>
      <c r="H21" s="5"/>
      <c r="I21" s="5"/>
      <c r="J21" s="5"/>
      <c r="K21" s="4" t="s">
        <v>25</v>
      </c>
      <c r="L21" s="4">
        <v>29</v>
      </c>
      <c r="M21" s="4">
        <f>D21/L21</f>
        <v>412.17241379310343</v>
      </c>
      <c r="N21" s="4">
        <f>F21/D21</f>
        <v>2.045581862293985</v>
      </c>
    </row>
    <row r="22" spans="1:14" hidden="1">
      <c r="A22" s="4" t="s">
        <v>17</v>
      </c>
      <c r="B22" s="4">
        <f>C14</f>
        <v>107550</v>
      </c>
      <c r="C22" s="4">
        <v>119568</v>
      </c>
      <c r="D22" s="4">
        <f>C22-B22</f>
        <v>12018</v>
      </c>
      <c r="E22" s="4"/>
      <c r="F22" s="5">
        <v>22104.9</v>
      </c>
      <c r="G22" s="5">
        <v>698.51</v>
      </c>
      <c r="H22" s="5"/>
      <c r="I22" s="5"/>
      <c r="J22" s="5" t="s">
        <v>18</v>
      </c>
      <c r="K22" s="4" t="s">
        <v>26</v>
      </c>
      <c r="L22" s="4">
        <v>28</v>
      </c>
      <c r="M22" s="4">
        <f>D22/L22</f>
        <v>429.21428571428572</v>
      </c>
      <c r="N22" s="5">
        <f>F24/D22</f>
        <v>1.8974380096521883</v>
      </c>
    </row>
    <row r="23" spans="1:14" hidden="1">
      <c r="A23" s="4" t="s">
        <v>20</v>
      </c>
      <c r="B23" s="4"/>
      <c r="C23" s="4"/>
      <c r="D23" s="4"/>
      <c r="E23" s="4"/>
      <c r="F23" s="5">
        <f>E21+F21+G21+H21+I21</f>
        <v>29218.452499999999</v>
      </c>
      <c r="G23" s="5"/>
      <c r="H23" s="5"/>
      <c r="I23" s="5"/>
      <c r="J23" s="5"/>
      <c r="K23" s="4"/>
      <c r="L23" s="4"/>
      <c r="M23" s="4"/>
      <c r="N23" s="4"/>
    </row>
    <row r="24" spans="1:14" hidden="1">
      <c r="A24" s="4" t="s">
        <v>21</v>
      </c>
      <c r="B24" s="4"/>
      <c r="C24" s="4"/>
      <c r="D24" s="4"/>
      <c r="E24" s="4"/>
      <c r="F24" s="5">
        <f>F22+G22+H22+I22</f>
        <v>22803.41</v>
      </c>
      <c r="G24" s="5"/>
      <c r="H24" s="5"/>
      <c r="I24" s="5"/>
      <c r="J24" s="5"/>
      <c r="K24" s="4"/>
      <c r="L24" s="4"/>
      <c r="M24" s="4"/>
      <c r="N24" s="4"/>
    </row>
    <row r="25" spans="1:14" hidden="1">
      <c r="A25" s="4" t="s">
        <v>22</v>
      </c>
      <c r="B25" s="4"/>
      <c r="C25" s="4"/>
      <c r="D25" s="4"/>
      <c r="E25" s="4"/>
      <c r="F25" s="5">
        <f>F23-F24</f>
        <v>6415.0424999999996</v>
      </c>
      <c r="G25" s="5"/>
      <c r="H25" s="5"/>
      <c r="I25" s="5"/>
      <c r="J25" s="5"/>
      <c r="K25" s="4"/>
      <c r="L25" s="4"/>
      <c r="M25" s="4"/>
      <c r="N25" s="4"/>
    </row>
    <row r="26" spans="1:14" hidden="1"/>
    <row r="27" spans="1:14" hidden="1">
      <c r="A27" s="11">
        <v>43922</v>
      </c>
    </row>
    <row r="28" spans="1:14" hidden="1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  <c r="K28" s="3" t="s">
        <v>11</v>
      </c>
      <c r="L28" s="3" t="s">
        <v>12</v>
      </c>
      <c r="M28" s="3" t="s">
        <v>13</v>
      </c>
      <c r="N28" s="3" t="s">
        <v>14</v>
      </c>
    </row>
    <row r="29" spans="1:14" hidden="1">
      <c r="A29" s="4" t="s">
        <v>15</v>
      </c>
      <c r="B29" s="4">
        <f>C21</f>
        <v>117025</v>
      </c>
      <c r="C29" s="4">
        <v>128978</v>
      </c>
      <c r="D29" s="4">
        <f>C29-B29</f>
        <v>11953</v>
      </c>
      <c r="E29" s="14">
        <f>2279.76*1.15</f>
        <v>2621.7240000000002</v>
      </c>
      <c r="F29" s="5">
        <v>26404.92</v>
      </c>
      <c r="G29" s="5"/>
      <c r="H29" s="5"/>
      <c r="I29" s="5"/>
      <c r="J29" s="5" t="s">
        <v>27</v>
      </c>
      <c r="K29" s="4" t="s">
        <v>28</v>
      </c>
      <c r="L29" s="4">
        <v>34</v>
      </c>
      <c r="M29" s="4">
        <f>D29/L29</f>
        <v>351.55882352941177</v>
      </c>
      <c r="N29" s="4">
        <f>F29/D29</f>
        <v>2.2090621601271647</v>
      </c>
    </row>
    <row r="30" spans="1:14" hidden="1">
      <c r="A30" s="4" t="s">
        <v>17</v>
      </c>
      <c r="B30" s="4">
        <v>92100</v>
      </c>
      <c r="C30" s="4">
        <v>130133</v>
      </c>
      <c r="D30" s="4">
        <f>C30-B30</f>
        <v>38033</v>
      </c>
      <c r="E30" s="4"/>
      <c r="F30" s="5">
        <f>69958.85-50525.48</f>
        <v>19433.370000000003</v>
      </c>
      <c r="G30" s="5">
        <v>698.51</v>
      </c>
      <c r="H30" s="5"/>
      <c r="I30" s="5"/>
      <c r="J30" s="5" t="s">
        <v>18</v>
      </c>
      <c r="K30" s="4" t="s">
        <v>29</v>
      </c>
      <c r="L30" s="4">
        <v>93</v>
      </c>
      <c r="M30" s="4">
        <f>D30/L30</f>
        <v>408.95698924731181</v>
      </c>
      <c r="N30" s="5">
        <f>F32/D30</f>
        <v>0.52932663739384223</v>
      </c>
    </row>
    <row r="31" spans="1:14" hidden="1">
      <c r="A31" s="4" t="s">
        <v>20</v>
      </c>
      <c r="B31" s="4"/>
      <c r="C31" s="4"/>
      <c r="D31" s="4"/>
      <c r="E31" s="4"/>
      <c r="F31" s="5">
        <f>E29+F29+G29+H29+I29</f>
        <v>29026.644</v>
      </c>
      <c r="G31" s="5"/>
      <c r="H31" s="5"/>
      <c r="I31" s="5"/>
      <c r="J31" s="5"/>
      <c r="K31" s="4"/>
      <c r="L31" s="4"/>
      <c r="M31" s="4"/>
      <c r="N31" s="4"/>
    </row>
    <row r="32" spans="1:14" hidden="1">
      <c r="A32" s="4" t="s">
        <v>21</v>
      </c>
      <c r="B32" s="4"/>
      <c r="C32" s="4"/>
      <c r="D32" s="4"/>
      <c r="E32" s="4"/>
      <c r="F32" s="5">
        <f>F30+G30+H30+I30</f>
        <v>20131.88</v>
      </c>
      <c r="G32" s="5"/>
      <c r="H32" s="5"/>
      <c r="I32" s="5"/>
      <c r="J32" s="5"/>
      <c r="K32" s="4"/>
      <c r="L32" s="4"/>
      <c r="M32" s="4"/>
      <c r="N32" s="4"/>
    </row>
    <row r="33" spans="1:14" hidden="1">
      <c r="A33" s="4" t="s">
        <v>22</v>
      </c>
      <c r="B33" s="4"/>
      <c r="C33" s="4"/>
      <c r="D33" s="4"/>
      <c r="E33" s="4"/>
      <c r="F33" s="5">
        <f>F31-F32</f>
        <v>8894.7639999999992</v>
      </c>
      <c r="G33" s="5"/>
      <c r="H33" s="5"/>
      <c r="I33" s="5"/>
      <c r="J33" s="5"/>
      <c r="K33" s="4"/>
      <c r="L33" s="4"/>
      <c r="M33" s="4"/>
      <c r="N33" s="4"/>
    </row>
    <row r="34" spans="1:14" hidden="1"/>
    <row r="35" spans="1:14" hidden="1">
      <c r="A35" s="11">
        <v>43952</v>
      </c>
    </row>
    <row r="36" spans="1:14" hidden="1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</row>
    <row r="37" spans="1:14" hidden="1">
      <c r="A37" s="4" t="s">
        <v>15</v>
      </c>
      <c r="B37" s="4">
        <f>C29</f>
        <v>128978</v>
      </c>
      <c r="C37" s="4">
        <v>141595</v>
      </c>
      <c r="D37" s="4">
        <f>C37-B37</f>
        <v>12617</v>
      </c>
      <c r="E37" s="14">
        <v>4141.8100000000004</v>
      </c>
      <c r="F37" s="5">
        <v>26696.38</v>
      </c>
      <c r="G37" s="5"/>
      <c r="H37" s="5"/>
      <c r="I37" s="5"/>
      <c r="J37" s="5" t="s">
        <v>27</v>
      </c>
      <c r="K37" s="4" t="s">
        <v>30</v>
      </c>
      <c r="L37" s="4">
        <v>29</v>
      </c>
      <c r="M37" s="4">
        <f>D37/L37</f>
        <v>435.06896551724139</v>
      </c>
      <c r="N37" s="4">
        <f>F37/D37</f>
        <v>2.115905524292621</v>
      </c>
    </row>
    <row r="38" spans="1:14" hidden="1">
      <c r="A38" s="4" t="s">
        <v>17</v>
      </c>
      <c r="B38" s="4">
        <v>130133</v>
      </c>
      <c r="C38" s="4">
        <v>145051</v>
      </c>
      <c r="D38" s="4">
        <f>C38-B38</f>
        <v>14918</v>
      </c>
      <c r="E38" s="4"/>
      <c r="F38" s="5">
        <v>27440.54</v>
      </c>
      <c r="G38" s="5">
        <v>698.51</v>
      </c>
      <c r="H38" s="5"/>
      <c r="I38" s="5"/>
      <c r="J38" s="5" t="s">
        <v>18</v>
      </c>
      <c r="K38" s="4" t="s">
        <v>31</v>
      </c>
      <c r="L38" s="4">
        <v>34</v>
      </c>
      <c r="M38" s="4">
        <f>D38/L38</f>
        <v>438.76470588235293</v>
      </c>
      <c r="N38" s="5">
        <f>F40/D38</f>
        <v>1.8862481565893552</v>
      </c>
    </row>
    <row r="39" spans="1:14" hidden="1">
      <c r="A39" s="4" t="s">
        <v>20</v>
      </c>
      <c r="B39" s="4"/>
      <c r="C39" s="4"/>
      <c r="D39" s="4"/>
      <c r="E39" s="4"/>
      <c r="F39" s="5">
        <f>E37+F37+G37+H37+I37</f>
        <v>30838.190000000002</v>
      </c>
      <c r="G39" s="5"/>
      <c r="H39" s="5"/>
      <c r="I39" s="5"/>
      <c r="J39" s="5"/>
      <c r="K39" s="4"/>
      <c r="L39" s="4"/>
      <c r="M39" s="4"/>
      <c r="N39" s="4"/>
    </row>
    <row r="40" spans="1:14" hidden="1">
      <c r="A40" s="4" t="s">
        <v>21</v>
      </c>
      <c r="B40" s="4"/>
      <c r="C40" s="4"/>
      <c r="D40" s="4"/>
      <c r="E40" s="4"/>
      <c r="F40" s="5">
        <f>F38+G38+H38+I38</f>
        <v>28139.05</v>
      </c>
      <c r="G40" s="5"/>
      <c r="H40" s="5"/>
      <c r="I40" s="5"/>
      <c r="J40" s="5"/>
      <c r="K40" s="4"/>
      <c r="L40" s="4"/>
      <c r="M40" s="4"/>
      <c r="N40" s="4"/>
    </row>
    <row r="41" spans="1:14" hidden="1">
      <c r="A41" s="4" t="s">
        <v>22</v>
      </c>
      <c r="B41" s="4"/>
      <c r="C41" s="4"/>
      <c r="D41" s="4"/>
      <c r="E41" s="4"/>
      <c r="F41" s="5">
        <f>F39-F40</f>
        <v>2699.1400000000031</v>
      </c>
      <c r="G41" s="5"/>
      <c r="H41" s="5"/>
      <c r="I41" s="5"/>
      <c r="J41" s="5"/>
      <c r="K41" s="4"/>
      <c r="L41" s="4"/>
      <c r="M41" s="4"/>
      <c r="N41" s="4"/>
    </row>
    <row r="42" spans="1:14" hidden="1"/>
    <row r="43" spans="1:14" hidden="1">
      <c r="A43" s="11">
        <v>43983</v>
      </c>
    </row>
    <row r="44" spans="1:14" hidden="1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3" t="s">
        <v>8</v>
      </c>
      <c r="I44" s="3" t="s">
        <v>9</v>
      </c>
      <c r="J44" s="3" t="s">
        <v>10</v>
      </c>
      <c r="K44" s="3" t="s">
        <v>11</v>
      </c>
      <c r="L44" s="3" t="s">
        <v>12</v>
      </c>
      <c r="M44" s="3" t="s">
        <v>13</v>
      </c>
      <c r="N44" s="3" t="s">
        <v>14</v>
      </c>
    </row>
    <row r="45" spans="1:14" hidden="1">
      <c r="A45" s="4" t="s">
        <v>15</v>
      </c>
      <c r="B45" s="4">
        <f>C37</f>
        <v>141595</v>
      </c>
      <c r="C45" s="4">
        <v>151654</v>
      </c>
      <c r="D45" s="4">
        <f>C45-B45</f>
        <v>10059</v>
      </c>
      <c r="E45" s="14">
        <v>511.01399999999995</v>
      </c>
      <c r="F45" s="5">
        <v>34577.279999999999</v>
      </c>
      <c r="G45" s="5"/>
      <c r="H45" s="5"/>
      <c r="I45" s="5"/>
      <c r="J45" s="5" t="s">
        <v>27</v>
      </c>
      <c r="K45" s="4" t="s">
        <v>32</v>
      </c>
      <c r="L45" s="4">
        <v>31</v>
      </c>
      <c r="M45" s="4">
        <f>D45/L45</f>
        <v>324.48387096774195</v>
      </c>
      <c r="N45" s="4">
        <f>F45/D45</f>
        <v>3.4374470623322395</v>
      </c>
    </row>
    <row r="46" spans="1:14" hidden="1">
      <c r="A46" s="4" t="s">
        <v>17</v>
      </c>
      <c r="B46" s="4">
        <f>C38</f>
        <v>145051</v>
      </c>
      <c r="C46" s="4">
        <v>160462</v>
      </c>
      <c r="D46" s="4">
        <f>C46-B46</f>
        <v>15411</v>
      </c>
      <c r="E46" s="4"/>
      <c r="F46" s="5">
        <v>28347.37</v>
      </c>
      <c r="G46" s="5">
        <v>698.51</v>
      </c>
      <c r="H46" s="5"/>
      <c r="I46" s="5"/>
      <c r="J46" s="5" t="s">
        <v>18</v>
      </c>
      <c r="K46" s="4" t="s">
        <v>33</v>
      </c>
      <c r="L46" s="4">
        <v>26</v>
      </c>
      <c r="M46" s="4">
        <f>D46/L46</f>
        <v>592.73076923076928</v>
      </c>
      <c r="N46" s="5">
        <f>F48/D46</f>
        <v>1.8847498540003891</v>
      </c>
    </row>
    <row r="47" spans="1:14" hidden="1">
      <c r="A47" s="4" t="s">
        <v>20</v>
      </c>
      <c r="B47" s="4"/>
      <c r="C47" s="4"/>
      <c r="D47" s="4"/>
      <c r="E47" s="4"/>
      <c r="F47" s="5">
        <f>E45+F45+G45+H45+I45</f>
        <v>35088.294000000002</v>
      </c>
      <c r="G47" s="5"/>
      <c r="H47" s="5"/>
      <c r="I47" s="5"/>
      <c r="J47" s="5"/>
      <c r="K47" s="4"/>
      <c r="L47" s="4"/>
      <c r="M47" s="4"/>
      <c r="N47" s="4"/>
    </row>
    <row r="48" spans="1:14" hidden="1">
      <c r="A48" s="4" t="s">
        <v>21</v>
      </c>
      <c r="B48" s="4"/>
      <c r="C48" s="4"/>
      <c r="D48" s="4"/>
      <c r="E48" s="4"/>
      <c r="F48" s="5">
        <f>F46+G46+H46+I46</f>
        <v>29045.879999999997</v>
      </c>
      <c r="G48" s="5"/>
      <c r="H48" s="5"/>
      <c r="I48" s="5"/>
      <c r="J48" s="5"/>
      <c r="K48" s="4"/>
      <c r="L48" s="4"/>
      <c r="M48" s="4"/>
      <c r="N48" s="4"/>
    </row>
    <row r="49" spans="1:14" hidden="1">
      <c r="A49" s="4" t="s">
        <v>22</v>
      </c>
      <c r="B49" s="4"/>
      <c r="C49" s="4"/>
      <c r="D49" s="4"/>
      <c r="E49" s="4"/>
      <c r="F49" s="5">
        <f>F47-F48</f>
        <v>6042.4140000000043</v>
      </c>
      <c r="G49" s="5"/>
      <c r="H49" s="5"/>
      <c r="I49" s="5"/>
      <c r="J49" s="5"/>
      <c r="K49" s="4"/>
      <c r="L49" s="4"/>
      <c r="M49" s="4"/>
      <c r="N49" s="4"/>
    </row>
    <row r="50" spans="1:14" hidden="1"/>
    <row r="51" spans="1:14" hidden="1">
      <c r="A51" s="11">
        <v>44013</v>
      </c>
    </row>
    <row r="52" spans="1:14" hidden="1">
      <c r="A52" s="3" t="s">
        <v>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  <c r="I52" s="3" t="s">
        <v>9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14</v>
      </c>
    </row>
    <row r="53" spans="1:14" hidden="1">
      <c r="A53" s="4" t="s">
        <v>15</v>
      </c>
      <c r="B53" s="4">
        <f>C45</f>
        <v>151654</v>
      </c>
      <c r="C53" s="4">
        <v>185665</v>
      </c>
      <c r="D53" s="4">
        <f>C53-B53</f>
        <v>34011</v>
      </c>
      <c r="E53" s="14">
        <v>264.10000000000002</v>
      </c>
      <c r="F53" s="5">
        <v>31472.28</v>
      </c>
      <c r="G53" s="5"/>
      <c r="H53" s="5"/>
      <c r="I53" s="5"/>
      <c r="J53" s="5" t="s">
        <v>18</v>
      </c>
      <c r="K53" s="4" t="s">
        <v>34</v>
      </c>
      <c r="L53" s="4">
        <v>31</v>
      </c>
      <c r="M53" s="4">
        <f>D53/L53</f>
        <v>1097.1290322580646</v>
      </c>
      <c r="N53" s="4">
        <f>F53/D53</f>
        <v>0.92535591426303254</v>
      </c>
    </row>
    <row r="54" spans="1:14" hidden="1">
      <c r="A54" s="4" t="s">
        <v>17</v>
      </c>
      <c r="B54" s="4">
        <f>C46</f>
        <v>160462</v>
      </c>
      <c r="C54" s="4">
        <v>181800</v>
      </c>
      <c r="D54" s="4">
        <f>C54-B54</f>
        <v>21338</v>
      </c>
      <c r="E54" s="4"/>
      <c r="F54" s="5">
        <f>7631.99+33585.11</f>
        <v>41217.1</v>
      </c>
      <c r="G54" s="5">
        <v>741.99</v>
      </c>
      <c r="H54" s="5"/>
      <c r="I54" s="5"/>
      <c r="J54" s="5" t="s">
        <v>18</v>
      </c>
      <c r="K54" s="4" t="s">
        <v>35</v>
      </c>
      <c r="L54" s="4">
        <f>7+36</f>
        <v>43</v>
      </c>
      <c r="M54" s="4">
        <f>D54/L54</f>
        <v>496.23255813953489</v>
      </c>
      <c r="N54" s="5">
        <f>F56/D54</f>
        <v>1.966402193270222</v>
      </c>
    </row>
    <row r="55" spans="1:14" hidden="1">
      <c r="A55" s="4" t="s">
        <v>20</v>
      </c>
      <c r="B55" s="4"/>
      <c r="C55" s="4"/>
      <c r="D55" s="4"/>
      <c r="E55" s="4"/>
      <c r="F55" s="5">
        <f>E53+F53+G53+H53+I53</f>
        <v>31736.379999999997</v>
      </c>
      <c r="G55" s="5"/>
      <c r="H55" s="5"/>
      <c r="I55" s="5"/>
      <c r="J55" s="5"/>
      <c r="K55" s="4"/>
      <c r="L55" s="4"/>
      <c r="M55" s="4"/>
      <c r="N55" s="4"/>
    </row>
    <row r="56" spans="1:14" hidden="1">
      <c r="A56" s="4" t="s">
        <v>21</v>
      </c>
      <c r="B56" s="4"/>
      <c r="C56" s="4"/>
      <c r="D56" s="4"/>
      <c r="E56" s="4"/>
      <c r="F56" s="5">
        <f>F54+G54+H54+I54</f>
        <v>41959.09</v>
      </c>
      <c r="G56" s="5"/>
      <c r="H56" s="5"/>
      <c r="I56" s="5"/>
      <c r="J56" s="5"/>
      <c r="K56" s="4"/>
      <c r="L56" s="4"/>
      <c r="M56" s="4"/>
      <c r="N56" s="4"/>
    </row>
    <row r="57" spans="1:14" hidden="1">
      <c r="A57" s="4" t="s">
        <v>22</v>
      </c>
      <c r="B57" s="4"/>
      <c r="C57" s="4"/>
      <c r="D57" s="4"/>
      <c r="E57" s="4"/>
      <c r="F57" s="5">
        <f>F55-F56</f>
        <v>-10222.709999999999</v>
      </c>
      <c r="G57" s="5"/>
      <c r="H57" s="5"/>
      <c r="I57" s="5"/>
      <c r="J57" s="5"/>
      <c r="K57" s="4"/>
      <c r="L57" s="4"/>
      <c r="M57" s="4"/>
      <c r="N57" s="4"/>
    </row>
    <row r="58" spans="1:14" hidden="1"/>
    <row r="59" spans="1:14" hidden="1">
      <c r="A59" s="11">
        <v>44044</v>
      </c>
    </row>
    <row r="60" spans="1:14" hidden="1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8</v>
      </c>
      <c r="I60" s="3" t="s">
        <v>9</v>
      </c>
      <c r="J60" s="3" t="s">
        <v>10</v>
      </c>
      <c r="K60" s="3" t="s">
        <v>11</v>
      </c>
      <c r="L60" s="3" t="s">
        <v>12</v>
      </c>
      <c r="M60" s="3" t="s">
        <v>13</v>
      </c>
      <c r="N60" s="3" t="s">
        <v>14</v>
      </c>
    </row>
    <row r="61" spans="1:14" hidden="1">
      <c r="A61" s="4" t="s">
        <v>15</v>
      </c>
      <c r="B61" s="4">
        <f>C53</f>
        <v>185665</v>
      </c>
      <c r="C61" s="4">
        <v>197310</v>
      </c>
      <c r="D61" s="4">
        <f>C61-B61</f>
        <v>11645</v>
      </c>
      <c r="E61" s="14">
        <v>3038.31</v>
      </c>
      <c r="F61" s="5">
        <v>31273.56</v>
      </c>
      <c r="G61" s="5"/>
      <c r="H61" s="5"/>
      <c r="I61" s="5"/>
      <c r="J61" s="5" t="s">
        <v>27</v>
      </c>
      <c r="K61" s="4" t="s">
        <v>36</v>
      </c>
      <c r="L61" s="4">
        <v>31</v>
      </c>
      <c r="M61" s="4">
        <f>D61/L61</f>
        <v>375.64516129032256</v>
      </c>
      <c r="N61" s="4">
        <f>F61/D61</f>
        <v>2.6855783598110778</v>
      </c>
    </row>
    <row r="62" spans="1:14" hidden="1">
      <c r="A62" s="4" t="s">
        <v>17</v>
      </c>
      <c r="B62" s="4">
        <f>C54</f>
        <v>181800</v>
      </c>
      <c r="C62" s="4">
        <v>199582</v>
      </c>
      <c r="D62" s="4">
        <f>C62-B62</f>
        <v>17782</v>
      </c>
      <c r="E62" s="4"/>
      <c r="F62" s="5">
        <v>34743.21</v>
      </c>
      <c r="G62" s="5">
        <v>741.99</v>
      </c>
      <c r="H62" s="5"/>
      <c r="I62" s="5"/>
      <c r="J62" s="5" t="s">
        <v>27</v>
      </c>
      <c r="K62" s="4" t="s">
        <v>37</v>
      </c>
      <c r="L62" s="4">
        <v>30</v>
      </c>
      <c r="M62" s="4">
        <f>D62/L62</f>
        <v>592.73333333333335</v>
      </c>
      <c r="N62" s="5">
        <f>F64/D62</f>
        <v>1.9955685524687885</v>
      </c>
    </row>
    <row r="63" spans="1:14" hidden="1">
      <c r="A63" s="4" t="s">
        <v>20</v>
      </c>
      <c r="B63" s="4"/>
      <c r="C63" s="4"/>
      <c r="D63" s="4"/>
      <c r="E63" s="4"/>
      <c r="F63" s="5">
        <f>E61+F61+G61+H61+I61</f>
        <v>34311.870000000003</v>
      </c>
      <c r="G63" s="5"/>
      <c r="H63" s="5"/>
      <c r="I63" s="5"/>
      <c r="J63" s="5"/>
      <c r="K63" s="4"/>
      <c r="L63" s="4"/>
      <c r="M63" s="4"/>
      <c r="N63" s="4"/>
    </row>
    <row r="64" spans="1:14" hidden="1">
      <c r="A64" s="4" t="s">
        <v>21</v>
      </c>
      <c r="B64" s="4"/>
      <c r="C64" s="4"/>
      <c r="D64" s="4"/>
      <c r="E64" s="4"/>
      <c r="F64" s="5">
        <f>F62+G62+H62+I62</f>
        <v>35485.199999999997</v>
      </c>
      <c r="G64" s="5"/>
      <c r="H64" s="5"/>
      <c r="I64" s="5"/>
      <c r="J64" s="5"/>
      <c r="K64" s="4"/>
      <c r="L64" s="4"/>
      <c r="M64" s="4"/>
      <c r="N64" s="4"/>
    </row>
    <row r="65" spans="1:14" hidden="1">
      <c r="A65" s="4" t="s">
        <v>22</v>
      </c>
      <c r="B65" s="4"/>
      <c r="C65" s="4"/>
      <c r="D65" s="4"/>
      <c r="E65" s="4"/>
      <c r="F65" s="5">
        <f>F63-F64</f>
        <v>-1173.3299999999945</v>
      </c>
      <c r="G65" s="5"/>
      <c r="H65" s="5"/>
      <c r="I65" s="5"/>
      <c r="J65" s="5"/>
      <c r="K65" s="4"/>
      <c r="L65" s="4"/>
      <c r="M65" s="4"/>
      <c r="N65" s="4"/>
    </row>
    <row r="66" spans="1:14" hidden="1"/>
    <row r="67" spans="1:14" hidden="1">
      <c r="A67" s="11">
        <v>44075</v>
      </c>
    </row>
    <row r="68" spans="1:14" hidden="1">
      <c r="A68" s="3" t="s">
        <v>1</v>
      </c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</row>
    <row r="69" spans="1:14" hidden="1">
      <c r="A69" s="4" t="s">
        <v>15</v>
      </c>
      <c r="B69" s="4">
        <f>C61</f>
        <v>197310</v>
      </c>
      <c r="C69" s="4">
        <v>214470</v>
      </c>
      <c r="D69" s="4">
        <f>C69-B69</f>
        <v>17160</v>
      </c>
      <c r="E69" s="14">
        <v>3169.77</v>
      </c>
      <c r="F69" s="5">
        <v>25833.599999999999</v>
      </c>
      <c r="G69" s="5">
        <f>645.21*1.15</f>
        <v>741.99149999999997</v>
      </c>
      <c r="H69" s="5"/>
      <c r="I69" s="5"/>
      <c r="J69" s="5" t="s">
        <v>18</v>
      </c>
      <c r="K69" s="4" t="s">
        <v>38</v>
      </c>
      <c r="L69" s="4">
        <v>30</v>
      </c>
      <c r="M69" s="4">
        <f>D69/L69</f>
        <v>572</v>
      </c>
      <c r="N69" s="14">
        <f>F69/D69</f>
        <v>1.5054545454545454</v>
      </c>
    </row>
    <row r="70" spans="1:14" hidden="1">
      <c r="A70" s="4" t="s">
        <v>17</v>
      </c>
      <c r="B70" s="4">
        <f>C62</f>
        <v>199582</v>
      </c>
      <c r="C70" s="4">
        <v>215576</v>
      </c>
      <c r="D70" s="4">
        <f>C70-B70</f>
        <v>15994</v>
      </c>
      <c r="E70" s="4"/>
      <c r="F70" s="5">
        <f>7315.94+99913.45-75960.31</f>
        <v>31269.08</v>
      </c>
      <c r="G70" s="5">
        <v>741.99</v>
      </c>
      <c r="H70" s="5"/>
      <c r="I70" s="5"/>
      <c r="J70" s="5" t="s">
        <v>18</v>
      </c>
      <c r="K70" s="4" t="s">
        <v>39</v>
      </c>
      <c r="L70" s="4">
        <v>30</v>
      </c>
      <c r="M70" s="4">
        <f>D70/L70</f>
        <v>533.13333333333333</v>
      </c>
      <c r="N70" s="14">
        <f>F72/D70</f>
        <v>2.0014424159059652</v>
      </c>
    </row>
    <row r="71" spans="1:14" hidden="1">
      <c r="A71" s="4" t="s">
        <v>20</v>
      </c>
      <c r="B71" s="4"/>
      <c r="C71" s="4"/>
      <c r="D71" s="4"/>
      <c r="E71" s="4"/>
      <c r="F71" s="5">
        <f>E69+F69+G69+H69+I69</f>
        <v>29745.361499999999</v>
      </c>
      <c r="G71" s="5"/>
      <c r="H71" s="5"/>
      <c r="I71" s="5"/>
      <c r="J71" s="5"/>
      <c r="K71" s="4"/>
      <c r="L71" s="4"/>
      <c r="M71" s="4"/>
      <c r="N71" s="4"/>
    </row>
    <row r="72" spans="1:14" hidden="1">
      <c r="A72" s="4" t="s">
        <v>21</v>
      </c>
      <c r="B72" s="4"/>
      <c r="C72" s="4"/>
      <c r="D72" s="4"/>
      <c r="E72" s="4"/>
      <c r="F72" s="5">
        <f>F70+G70+H70+I70</f>
        <v>32011.070000000003</v>
      </c>
      <c r="G72" s="5"/>
      <c r="H72" s="5"/>
      <c r="I72" s="5"/>
      <c r="J72" s="5"/>
      <c r="K72" s="4"/>
      <c r="L72" s="4"/>
      <c r="M72" s="4"/>
      <c r="N72" s="4"/>
    </row>
    <row r="73" spans="1:14" hidden="1">
      <c r="A73" s="4" t="s">
        <v>22</v>
      </c>
      <c r="B73" s="4"/>
      <c r="C73" s="4"/>
      <c r="D73" s="4"/>
      <c r="E73" s="4"/>
      <c r="F73" s="5">
        <f>F71-F72</f>
        <v>-2265.7085000000043</v>
      </c>
      <c r="G73" s="5"/>
      <c r="H73" s="5"/>
      <c r="I73" s="5"/>
      <c r="J73" s="5"/>
      <c r="K73" s="4"/>
      <c r="L73" s="4"/>
      <c r="M73" s="4"/>
      <c r="N73" s="4"/>
    </row>
    <row r="74" spans="1:14" hidden="1"/>
    <row r="75" spans="1:14" hidden="1">
      <c r="A75" s="11">
        <v>44105</v>
      </c>
    </row>
    <row r="76" spans="1:14" hidden="1">
      <c r="A76" s="3" t="s">
        <v>1</v>
      </c>
      <c r="B76" s="3" t="s">
        <v>2</v>
      </c>
      <c r="C76" s="3" t="s">
        <v>3</v>
      </c>
      <c r="D76" s="3" t="s">
        <v>4</v>
      </c>
      <c r="E76" s="3" t="s">
        <v>5</v>
      </c>
      <c r="F76" s="3" t="s">
        <v>6</v>
      </c>
      <c r="G76" s="3" t="s">
        <v>7</v>
      </c>
      <c r="H76" s="3" t="s">
        <v>8</v>
      </c>
      <c r="I76" s="3" t="s">
        <v>9</v>
      </c>
      <c r="J76" s="3" t="s">
        <v>10</v>
      </c>
      <c r="K76" s="3" t="s">
        <v>11</v>
      </c>
      <c r="L76" s="3" t="s">
        <v>12</v>
      </c>
      <c r="M76" s="3" t="s">
        <v>13</v>
      </c>
      <c r="N76" s="3" t="s">
        <v>14</v>
      </c>
    </row>
    <row r="77" spans="1:14" hidden="1">
      <c r="A77" s="4" t="s">
        <v>15</v>
      </c>
      <c r="B77" s="4">
        <f>C69</f>
        <v>214470</v>
      </c>
      <c r="C77" s="4">
        <v>231553</v>
      </c>
      <c r="D77" s="4">
        <f>C77-B77</f>
        <v>17083</v>
      </c>
      <c r="E77" s="14">
        <f>1746.85*1.15</f>
        <v>2008.8774999999998</v>
      </c>
      <c r="F77" s="5">
        <v>26818.92</v>
      </c>
      <c r="G77" s="5">
        <f>645.21*1.15</f>
        <v>741.99149999999997</v>
      </c>
      <c r="H77" s="5"/>
      <c r="I77" s="5"/>
      <c r="J77" s="5" t="s">
        <v>27</v>
      </c>
      <c r="K77" s="4" t="s">
        <v>40</v>
      </c>
      <c r="L77" s="4">
        <v>31</v>
      </c>
      <c r="M77" s="4">
        <f>D77/L77</f>
        <v>551.06451612903231</v>
      </c>
      <c r="N77" s="14">
        <f>F77/D77</f>
        <v>1.569918632558684</v>
      </c>
    </row>
    <row r="78" spans="1:14" hidden="1">
      <c r="A78" s="4" t="s">
        <v>17</v>
      </c>
      <c r="B78" s="4">
        <f>C70</f>
        <v>215576</v>
      </c>
      <c r="C78" s="4">
        <v>229691</v>
      </c>
      <c r="D78" s="4">
        <f>C78-B78</f>
        <v>14115</v>
      </c>
      <c r="E78" s="4"/>
      <c r="F78" s="5">
        <v>27578.6</v>
      </c>
      <c r="G78" s="5">
        <v>741.99</v>
      </c>
      <c r="H78" s="5"/>
      <c r="I78" s="5"/>
      <c r="J78" s="5" t="s">
        <v>18</v>
      </c>
      <c r="K78" s="4" t="s">
        <v>41</v>
      </c>
      <c r="L78" s="4">
        <v>30</v>
      </c>
      <c r="M78" s="4">
        <f>D78/L78</f>
        <v>470.5</v>
      </c>
      <c r="N78" s="14">
        <f>F80/D78</f>
        <v>2.0064179950407368</v>
      </c>
    </row>
    <row r="79" spans="1:14" hidden="1">
      <c r="A79" s="4" t="s">
        <v>20</v>
      </c>
      <c r="B79" s="4"/>
      <c r="C79" s="4"/>
      <c r="D79" s="4"/>
      <c r="E79" s="4"/>
      <c r="F79" s="5">
        <f>E77+F77+G77+H77+I77</f>
        <v>29569.788999999997</v>
      </c>
      <c r="G79" s="5"/>
      <c r="H79" s="5"/>
      <c r="I79" s="5"/>
      <c r="J79" s="5"/>
      <c r="K79" s="4"/>
      <c r="L79" s="4"/>
      <c r="M79" s="4"/>
      <c r="N79" s="4"/>
    </row>
    <row r="80" spans="1:14" hidden="1">
      <c r="A80" s="4" t="s">
        <v>21</v>
      </c>
      <c r="B80" s="4"/>
      <c r="C80" s="4"/>
      <c r="D80" s="4"/>
      <c r="E80" s="4"/>
      <c r="F80" s="5">
        <f>F78+G78+H78+I78</f>
        <v>28320.59</v>
      </c>
      <c r="G80" s="5"/>
      <c r="H80" s="5"/>
      <c r="I80" s="5"/>
      <c r="J80" s="5"/>
      <c r="K80" s="4"/>
      <c r="L80" s="4"/>
      <c r="M80" s="4"/>
      <c r="N80" s="4"/>
    </row>
    <row r="81" spans="1:14" hidden="1">
      <c r="A81" s="4" t="s">
        <v>22</v>
      </c>
      <c r="B81" s="4"/>
      <c r="C81" s="4"/>
      <c r="D81" s="4"/>
      <c r="E81" s="4"/>
      <c r="F81" s="5">
        <f>F79-F80</f>
        <v>1249.1989999999969</v>
      </c>
      <c r="G81" s="5"/>
      <c r="H81" s="5"/>
      <c r="I81" s="5"/>
      <c r="J81" s="5"/>
      <c r="K81" s="4"/>
      <c r="L81" s="4"/>
      <c r="M81" s="4"/>
      <c r="N81" s="4"/>
    </row>
    <row r="82" spans="1:14" hidden="1"/>
    <row r="83" spans="1:14" hidden="1">
      <c r="A83" s="11">
        <v>44136</v>
      </c>
    </row>
    <row r="84" spans="1:14" hidden="1">
      <c r="A84" s="3" t="s">
        <v>1</v>
      </c>
      <c r="B84" s="3" t="s">
        <v>2</v>
      </c>
      <c r="C84" s="3" t="s">
        <v>3</v>
      </c>
      <c r="D84" s="3" t="s">
        <v>4</v>
      </c>
      <c r="E84" s="3" t="s">
        <v>5</v>
      </c>
      <c r="F84" s="3" t="s">
        <v>6</v>
      </c>
      <c r="G84" s="3" t="s">
        <v>7</v>
      </c>
      <c r="H84" s="3" t="s">
        <v>8</v>
      </c>
      <c r="I84" s="3" t="s">
        <v>9</v>
      </c>
      <c r="J84" s="3" t="s">
        <v>10</v>
      </c>
      <c r="K84" s="3" t="s">
        <v>11</v>
      </c>
      <c r="L84" s="3" t="s">
        <v>12</v>
      </c>
      <c r="M84" s="3" t="s">
        <v>13</v>
      </c>
      <c r="N84" s="3" t="s">
        <v>14</v>
      </c>
    </row>
    <row r="85" spans="1:14" hidden="1">
      <c r="A85" s="4" t="s">
        <v>15</v>
      </c>
      <c r="B85" s="4">
        <f>C77</f>
        <v>231553</v>
      </c>
      <c r="C85" s="4">
        <v>245931</v>
      </c>
      <c r="D85" s="4">
        <f>C85-B85</f>
        <v>14378</v>
      </c>
      <c r="E85" s="14">
        <v>1501.57</v>
      </c>
      <c r="F85" s="5">
        <v>24517.08</v>
      </c>
      <c r="G85" s="5">
        <f>645.21*1.15</f>
        <v>741.99149999999997</v>
      </c>
      <c r="H85" s="5"/>
      <c r="I85" s="5"/>
      <c r="J85" s="5" t="s">
        <v>27</v>
      </c>
      <c r="K85" s="4" t="s">
        <v>42</v>
      </c>
      <c r="L85" s="4">
        <v>25</v>
      </c>
      <c r="M85" s="4">
        <f>D85/L85</f>
        <v>575.12</v>
      </c>
      <c r="N85" s="14">
        <f>F85/D85</f>
        <v>1.705180136319377</v>
      </c>
    </row>
    <row r="86" spans="1:14" hidden="1">
      <c r="A86" s="4" t="s">
        <v>17</v>
      </c>
      <c r="B86" s="4">
        <f>C78</f>
        <v>229691</v>
      </c>
      <c r="C86" s="4"/>
      <c r="D86" s="4"/>
      <c r="E86" s="4"/>
      <c r="F86" s="5"/>
      <c r="G86" s="5"/>
      <c r="H86" s="5"/>
      <c r="I86" s="5"/>
      <c r="J86" s="5"/>
      <c r="K86" s="4"/>
      <c r="L86" s="4"/>
      <c r="M86" s="4" t="e">
        <f>D86/L86</f>
        <v>#DIV/0!</v>
      </c>
      <c r="N86" s="14" t="e">
        <f>F88/D86</f>
        <v>#DIV/0!</v>
      </c>
    </row>
    <row r="87" spans="1:14" hidden="1">
      <c r="A87" s="4" t="s">
        <v>20</v>
      </c>
      <c r="B87" s="4"/>
      <c r="C87" s="4"/>
      <c r="D87" s="4"/>
      <c r="E87" s="4"/>
      <c r="F87" s="5">
        <f>E85+F85+G85+H85+I85</f>
        <v>26760.641500000002</v>
      </c>
      <c r="G87" s="5"/>
      <c r="H87" s="5"/>
      <c r="I87" s="5"/>
      <c r="J87" s="5"/>
      <c r="K87" s="4"/>
      <c r="L87" s="4"/>
      <c r="M87" s="4"/>
      <c r="N87" s="4"/>
    </row>
    <row r="88" spans="1:14" hidden="1">
      <c r="A88" s="4" t="s">
        <v>21</v>
      </c>
      <c r="B88" s="4"/>
      <c r="C88" s="4"/>
      <c r="D88" s="4"/>
      <c r="E88" s="4"/>
      <c r="F88" s="5">
        <f>F86+G86+H86+I86</f>
        <v>0</v>
      </c>
      <c r="G88" s="5"/>
      <c r="H88" s="5"/>
      <c r="I88" s="5"/>
      <c r="J88" s="5"/>
      <c r="K88" s="4"/>
      <c r="L88" s="4"/>
      <c r="M88" s="4"/>
      <c r="N88" s="4"/>
    </row>
    <row r="89" spans="1:14" hidden="1">
      <c r="A89" s="4" t="s">
        <v>22</v>
      </c>
      <c r="B89" s="4"/>
      <c r="C89" s="4"/>
      <c r="D89" s="4"/>
      <c r="E89" s="4"/>
      <c r="F89" s="5">
        <f>F87-F88</f>
        <v>26760.641500000002</v>
      </c>
      <c r="G89" s="5"/>
      <c r="H89" s="5"/>
      <c r="I89" s="5"/>
      <c r="J89" s="5"/>
      <c r="K89" s="4"/>
      <c r="L89" s="4"/>
      <c r="M89" s="4"/>
      <c r="N89" s="4"/>
    </row>
    <row r="90" spans="1:14" hidden="1"/>
    <row r="91" spans="1:14" hidden="1">
      <c r="A91" s="11">
        <v>44166</v>
      </c>
    </row>
    <row r="92" spans="1:14" hidden="1">
      <c r="A92" s="3" t="s">
        <v>1</v>
      </c>
      <c r="B92" s="3" t="s">
        <v>2</v>
      </c>
      <c r="C92" s="3" t="s">
        <v>3</v>
      </c>
      <c r="D92" s="3" t="s">
        <v>4</v>
      </c>
      <c r="E92" s="3" t="s">
        <v>5</v>
      </c>
      <c r="F92" s="3" t="s">
        <v>6</v>
      </c>
      <c r="G92" s="3" t="s">
        <v>7</v>
      </c>
      <c r="H92" s="3" t="s">
        <v>8</v>
      </c>
      <c r="I92" s="3" t="s">
        <v>9</v>
      </c>
      <c r="J92" s="3" t="s">
        <v>10</v>
      </c>
      <c r="K92" s="3" t="s">
        <v>11</v>
      </c>
      <c r="L92" s="3" t="s">
        <v>12</v>
      </c>
      <c r="M92" s="3" t="s">
        <v>13</v>
      </c>
      <c r="N92" s="3" t="s">
        <v>14</v>
      </c>
    </row>
    <row r="93" spans="1:14" hidden="1">
      <c r="A93" s="4" t="s">
        <v>15</v>
      </c>
      <c r="B93" s="4">
        <v>245931</v>
      </c>
      <c r="C93" s="4">
        <v>269362</v>
      </c>
      <c r="D93" s="4">
        <v>23431</v>
      </c>
      <c r="E93" s="14">
        <v>1217.139999999999</v>
      </c>
      <c r="F93" s="5">
        <v>24864.84</v>
      </c>
      <c r="G93" s="5">
        <v>741.99149999999997</v>
      </c>
      <c r="H93" s="5"/>
      <c r="I93" s="5"/>
      <c r="J93" s="5" t="s">
        <v>18</v>
      </c>
      <c r="K93" s="4" t="s">
        <v>43</v>
      </c>
      <c r="L93" s="4">
        <v>41</v>
      </c>
      <c r="M93" s="4">
        <v>571.48780487804879</v>
      </c>
      <c r="N93" s="14">
        <v>1.0611941445094106</v>
      </c>
    </row>
    <row r="94" spans="1:14" hidden="1">
      <c r="A94" s="4" t="s">
        <v>17</v>
      </c>
      <c r="B94" s="4">
        <v>215576</v>
      </c>
      <c r="C94" s="4">
        <v>215576</v>
      </c>
      <c r="D94" s="4">
        <v>0</v>
      </c>
      <c r="E94" s="4"/>
      <c r="F94" s="5"/>
      <c r="G94" s="5"/>
      <c r="H94" s="5"/>
      <c r="I94" s="5"/>
      <c r="J94" s="5"/>
      <c r="K94" s="4"/>
      <c r="L94" s="4"/>
      <c r="M94" s="4" t="e">
        <v>#DIV/0!</v>
      </c>
      <c r="N94" s="14" t="e">
        <v>#DIV/0!</v>
      </c>
    </row>
    <row r="95" spans="1:14" hidden="1">
      <c r="A95" s="4" t="s">
        <v>20</v>
      </c>
      <c r="B95" s="4"/>
      <c r="C95" s="4"/>
      <c r="D95" s="4"/>
      <c r="E95" s="4"/>
      <c r="F95" s="5">
        <v>26823.9715</v>
      </c>
      <c r="G95" s="5"/>
      <c r="H95" s="5"/>
      <c r="I95" s="5"/>
      <c r="J95" s="5"/>
      <c r="K95" s="4"/>
      <c r="L95" s="4"/>
      <c r="M95" s="4"/>
      <c r="N95" s="4"/>
    </row>
    <row r="96" spans="1:14" hidden="1">
      <c r="A96" s="4" t="s">
        <v>21</v>
      </c>
      <c r="B96" s="4"/>
      <c r="C96" s="4"/>
      <c r="D96" s="4"/>
      <c r="E96" s="4"/>
      <c r="F96" s="5">
        <v>0</v>
      </c>
      <c r="G96" s="5"/>
      <c r="H96" s="5"/>
      <c r="I96" s="5"/>
      <c r="J96" s="5"/>
      <c r="K96" s="4"/>
      <c r="L96" s="4"/>
      <c r="M96" s="4"/>
      <c r="N96" s="4"/>
    </row>
    <row r="97" spans="1:14" hidden="1">
      <c r="A97" s="4" t="s">
        <v>22</v>
      </c>
      <c r="B97" s="4"/>
      <c r="C97" s="4"/>
      <c r="D97" s="4"/>
      <c r="E97" s="4"/>
      <c r="F97" s="5">
        <v>26823.9715</v>
      </c>
      <c r="G97" s="5"/>
      <c r="H97" s="5"/>
      <c r="I97" s="5"/>
      <c r="J97" s="5"/>
      <c r="K97" s="4"/>
      <c r="L97" s="4"/>
      <c r="M97" s="4"/>
      <c r="N97" s="4"/>
    </row>
    <row r="99" spans="1:14">
      <c r="A99" s="11">
        <v>44197</v>
      </c>
    </row>
    <row r="100" spans="1:14" hidden="1">
      <c r="A100" s="3" t="s">
        <v>1</v>
      </c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</row>
    <row r="101" spans="1:14" hidden="1">
      <c r="A101" s="4" t="s">
        <v>15</v>
      </c>
      <c r="B101" s="4">
        <f>C93</f>
        <v>269362</v>
      </c>
      <c r="C101" s="4">
        <v>281964</v>
      </c>
      <c r="D101" s="4">
        <f>C101-B101</f>
        <v>12602</v>
      </c>
      <c r="E101" s="14">
        <f>6646.89</f>
        <v>6646.89</v>
      </c>
      <c r="F101" s="5">
        <v>24398.68</v>
      </c>
      <c r="G101" s="5">
        <f>645.21*1.15</f>
        <v>741.99149999999997</v>
      </c>
      <c r="H101" s="5"/>
      <c r="I101" s="5"/>
      <c r="J101" s="5" t="s">
        <v>18</v>
      </c>
      <c r="K101" s="4" t="s">
        <v>44</v>
      </c>
      <c r="L101" s="4">
        <v>27</v>
      </c>
      <c r="M101" s="4">
        <f>D101/L101</f>
        <v>466.74074074074076</v>
      </c>
      <c r="N101" s="14">
        <f>F101/D101</f>
        <v>1.9360958578003491</v>
      </c>
    </row>
    <row r="102" spans="1:14" hidden="1">
      <c r="A102" s="4" t="s">
        <v>17</v>
      </c>
      <c r="B102" s="4">
        <v>278755</v>
      </c>
      <c r="C102" s="4">
        <v>280657</v>
      </c>
      <c r="D102" s="4">
        <f>C102-B102</f>
        <v>1902</v>
      </c>
      <c r="E102" s="4"/>
      <c r="F102" s="5">
        <f>1238.67+741.99+3716.81+741.99+1238.75+741.99-2477.42</f>
        <v>5942.7800000000007</v>
      </c>
      <c r="G102" s="5"/>
      <c r="H102" s="5"/>
      <c r="I102" s="5"/>
      <c r="J102" s="5" t="s">
        <v>18</v>
      </c>
      <c r="K102" s="4" t="s">
        <v>45</v>
      </c>
      <c r="L102" s="4">
        <v>93</v>
      </c>
      <c r="M102" s="4">
        <f>D102/L102</f>
        <v>20.451612903225808</v>
      </c>
      <c r="N102" s="14">
        <f>F104/D102</f>
        <v>3.1244900105152476</v>
      </c>
    </row>
    <row r="103" spans="1:14" hidden="1">
      <c r="A103" s="4" t="s">
        <v>20</v>
      </c>
      <c r="B103" s="4"/>
      <c r="C103" s="4"/>
      <c r="D103" s="4"/>
      <c r="E103" s="4"/>
      <c r="F103" s="5">
        <f>E101+F101+G101</f>
        <v>31787.5615</v>
      </c>
      <c r="G103" s="5"/>
      <c r="H103" s="5"/>
      <c r="I103" s="5"/>
      <c r="J103" s="5"/>
      <c r="K103" s="4"/>
      <c r="L103" s="4"/>
      <c r="M103" s="4"/>
      <c r="N103" s="4"/>
    </row>
    <row r="104" spans="1:14" hidden="1">
      <c r="A104" s="4" t="s">
        <v>21</v>
      </c>
      <c r="B104" s="4"/>
      <c r="C104" s="4"/>
      <c r="D104" s="4"/>
      <c r="E104" s="4"/>
      <c r="F104" s="5">
        <f>F102+G102+H102+I102</f>
        <v>5942.7800000000007</v>
      </c>
      <c r="G104" s="5"/>
      <c r="H104" s="5"/>
      <c r="I104" s="5"/>
      <c r="J104" s="5"/>
      <c r="K104" s="4"/>
      <c r="L104" s="4"/>
      <c r="M104" s="4"/>
      <c r="N104" s="4"/>
    </row>
    <row r="105" spans="1:14" hidden="1">
      <c r="A105" s="4" t="s">
        <v>22</v>
      </c>
      <c r="B105" s="4"/>
      <c r="C105" s="4"/>
      <c r="D105" s="4"/>
      <c r="E105" s="4"/>
      <c r="F105" s="5">
        <f>F103-F104</f>
        <v>25844.781499999997</v>
      </c>
      <c r="G105" s="5"/>
      <c r="H105" s="5"/>
      <c r="I105" s="5"/>
      <c r="J105" s="5"/>
      <c r="K105" s="4"/>
      <c r="L105" s="4"/>
      <c r="M105" s="4"/>
      <c r="N105" s="4"/>
    </row>
    <row r="106" spans="1:14" hidden="1"/>
    <row r="107" spans="1:14" hidden="1">
      <c r="A107" s="11">
        <v>44228</v>
      </c>
    </row>
    <row r="108" spans="1:14" hidden="1">
      <c r="A108" s="3" t="s">
        <v>1</v>
      </c>
      <c r="B108" s="3" t="s">
        <v>2</v>
      </c>
      <c r="C108" s="3" t="s">
        <v>3</v>
      </c>
      <c r="D108" s="3" t="s">
        <v>4</v>
      </c>
      <c r="E108" s="3" t="s">
        <v>5</v>
      </c>
      <c r="F108" s="3" t="s">
        <v>6</v>
      </c>
      <c r="G108" s="3" t="s">
        <v>7</v>
      </c>
      <c r="H108" s="3" t="s">
        <v>8</v>
      </c>
      <c r="I108" s="3" t="s">
        <v>9</v>
      </c>
      <c r="J108" s="3" t="s">
        <v>10</v>
      </c>
      <c r="K108" s="3" t="s">
        <v>11</v>
      </c>
      <c r="L108" s="3" t="s">
        <v>12</v>
      </c>
      <c r="M108" s="3" t="s">
        <v>13</v>
      </c>
      <c r="N108" s="3" t="s">
        <v>14</v>
      </c>
    </row>
    <row r="109" spans="1:14" hidden="1">
      <c r="A109" s="4" t="s">
        <v>15</v>
      </c>
      <c r="B109" s="4">
        <f>C101</f>
        <v>281964</v>
      </c>
      <c r="C109" s="4">
        <v>281964</v>
      </c>
      <c r="D109" s="4">
        <f>C109-B109</f>
        <v>0</v>
      </c>
      <c r="E109" s="14">
        <v>0</v>
      </c>
      <c r="F109" s="5">
        <v>18028.04</v>
      </c>
      <c r="G109" s="5">
        <f>645.21*1.15</f>
        <v>741.99149999999997</v>
      </c>
      <c r="H109" s="5"/>
      <c r="I109" s="5"/>
      <c r="J109" s="5" t="s">
        <v>18</v>
      </c>
      <c r="K109" s="4" t="s">
        <v>46</v>
      </c>
      <c r="L109" s="4">
        <v>25</v>
      </c>
      <c r="M109" s="4">
        <f>D109/L109</f>
        <v>0</v>
      </c>
      <c r="N109" s="14" t="e">
        <f>F109/D109</f>
        <v>#DIV/0!</v>
      </c>
    </row>
    <row r="110" spans="1:14" hidden="1">
      <c r="A110" s="4" t="s">
        <v>17</v>
      </c>
      <c r="B110" s="4">
        <v>280657</v>
      </c>
      <c r="C110" s="4">
        <v>292539</v>
      </c>
      <c r="D110" s="4">
        <f>C110-B110</f>
        <v>11882</v>
      </c>
      <c r="E110" s="4"/>
      <c r="F110" s="5">
        <v>23216.14</v>
      </c>
      <c r="G110" s="5">
        <v>741.99</v>
      </c>
      <c r="H110" s="5"/>
      <c r="I110" s="5"/>
      <c r="J110" s="5" t="s">
        <v>18</v>
      </c>
      <c r="K110" s="4" t="s">
        <v>47</v>
      </c>
      <c r="L110" s="4">
        <v>28</v>
      </c>
      <c r="M110" s="4">
        <f>D110/L110</f>
        <v>424.35714285714283</v>
      </c>
      <c r="N110" s="14">
        <f>F112/D110</f>
        <v>2.0163381585591651</v>
      </c>
    </row>
    <row r="111" spans="1:14" hidden="1">
      <c r="A111" s="4" t="s">
        <v>20</v>
      </c>
      <c r="B111" s="4"/>
      <c r="C111" s="4"/>
      <c r="D111" s="4"/>
      <c r="E111" s="4"/>
      <c r="F111" s="5">
        <f>E109+F109+G109+H109+I109</f>
        <v>18770.031500000001</v>
      </c>
      <c r="G111" s="5"/>
      <c r="H111" s="5"/>
      <c r="I111" s="5"/>
      <c r="J111" s="5"/>
      <c r="K111" s="4"/>
      <c r="L111" s="4"/>
      <c r="M111" s="4"/>
      <c r="N111" s="4"/>
    </row>
    <row r="112" spans="1:14" hidden="1">
      <c r="A112" s="4" t="s">
        <v>21</v>
      </c>
      <c r="B112" s="4"/>
      <c r="C112" s="4"/>
      <c r="D112" s="4"/>
      <c r="E112" s="4"/>
      <c r="F112" s="5">
        <f>F110+G110+H110+I110</f>
        <v>23958.13</v>
      </c>
      <c r="G112" s="5"/>
      <c r="H112" s="5"/>
      <c r="I112" s="5"/>
      <c r="J112" s="5"/>
      <c r="K112" s="4"/>
      <c r="L112" s="4"/>
      <c r="M112" s="4"/>
      <c r="N112" s="4"/>
    </row>
    <row r="113" spans="1:14" hidden="1">
      <c r="A113" s="4" t="s">
        <v>22</v>
      </c>
      <c r="B113" s="4"/>
      <c r="C113" s="4"/>
      <c r="D113" s="4"/>
      <c r="E113" s="4"/>
      <c r="F113" s="5">
        <f>F111-F112</f>
        <v>-5188.0985000000001</v>
      </c>
      <c r="G113" s="5"/>
      <c r="H113" s="5"/>
      <c r="I113" s="5"/>
      <c r="J113" s="5"/>
      <c r="K113" s="4"/>
      <c r="L113" s="4"/>
      <c r="M113" s="4"/>
      <c r="N113" s="4"/>
    </row>
    <row r="114" spans="1:14" hidden="1"/>
    <row r="115" spans="1:14" hidden="1">
      <c r="A115" s="11">
        <v>44256</v>
      </c>
    </row>
    <row r="116" spans="1:14" hidden="1">
      <c r="A116" s="3" t="s">
        <v>1</v>
      </c>
      <c r="B116" s="3" t="s">
        <v>2</v>
      </c>
      <c r="C116" s="3" t="s">
        <v>3</v>
      </c>
      <c r="D116" s="3" t="s">
        <v>4</v>
      </c>
      <c r="E116" s="3" t="s">
        <v>5</v>
      </c>
      <c r="F116" s="3" t="s">
        <v>6</v>
      </c>
      <c r="G116" s="3" t="s">
        <v>7</v>
      </c>
      <c r="H116" s="3" t="s">
        <v>8</v>
      </c>
      <c r="I116" s="3" t="s">
        <v>9</v>
      </c>
      <c r="J116" s="3" t="s">
        <v>10</v>
      </c>
      <c r="K116" s="3" t="s">
        <v>11</v>
      </c>
      <c r="L116" s="3" t="s">
        <v>12</v>
      </c>
      <c r="M116" s="3" t="s">
        <v>13</v>
      </c>
      <c r="N116" s="3" t="s">
        <v>14</v>
      </c>
    </row>
    <row r="117" spans="1:14" hidden="1">
      <c r="A117" s="4" t="s">
        <v>15</v>
      </c>
      <c r="B117" s="4">
        <v>281964</v>
      </c>
      <c r="C117" s="4">
        <v>293658</v>
      </c>
      <c r="D117" s="4">
        <f>C117-B117</f>
        <v>11694</v>
      </c>
      <c r="E117" s="14">
        <v>472.13249999999999</v>
      </c>
      <c r="F117" s="5">
        <v>26520.84</v>
      </c>
      <c r="G117" s="5">
        <f>645.21*1.15</f>
        <v>741.99149999999997</v>
      </c>
      <c r="H117" s="5"/>
      <c r="I117" s="5"/>
      <c r="J117" s="5" t="s">
        <v>18</v>
      </c>
      <c r="K117" s="4" t="s">
        <v>48</v>
      </c>
      <c r="L117" s="4">
        <v>33</v>
      </c>
      <c r="M117" s="4">
        <f>D117/L117</f>
        <v>354.36363636363637</v>
      </c>
      <c r="N117" s="14">
        <f>F117/D117</f>
        <v>2.2679014879425345</v>
      </c>
    </row>
    <row r="118" spans="1:14" hidden="1">
      <c r="A118" s="4" t="s">
        <v>17</v>
      </c>
      <c r="B118" s="4">
        <f>C110</f>
        <v>292539</v>
      </c>
      <c r="C118" s="4">
        <v>304214</v>
      </c>
      <c r="D118" s="4">
        <f>C118-B118</f>
        <v>11675</v>
      </c>
      <c r="E118" s="4"/>
      <c r="F118" s="5">
        <v>22811.38</v>
      </c>
      <c r="G118" s="5">
        <v>741.99</v>
      </c>
      <c r="H118" s="5"/>
      <c r="I118" s="5"/>
      <c r="J118" s="5" t="s">
        <v>18</v>
      </c>
      <c r="K118" s="4" t="s">
        <v>49</v>
      </c>
      <c r="L118" s="4">
        <v>29</v>
      </c>
      <c r="M118" s="4">
        <f>D118/L118</f>
        <v>402.58620689655174</v>
      </c>
      <c r="N118" s="14">
        <f>F120/D118</f>
        <v>2.0174192719486084</v>
      </c>
    </row>
    <row r="119" spans="1:14" hidden="1">
      <c r="A119" s="4" t="s">
        <v>20</v>
      </c>
      <c r="B119" s="4"/>
      <c r="C119" s="4"/>
      <c r="D119" s="4"/>
      <c r="E119" s="4"/>
      <c r="F119" s="5">
        <f>E117+F117+G117+H117+I117</f>
        <v>27734.964</v>
      </c>
      <c r="G119" s="5"/>
      <c r="H119" s="5"/>
      <c r="I119" s="5"/>
      <c r="J119" s="5"/>
      <c r="K119" s="4"/>
      <c r="L119" s="4"/>
      <c r="M119" s="4"/>
      <c r="N119" s="4"/>
    </row>
    <row r="120" spans="1:14" hidden="1">
      <c r="A120" s="4" t="s">
        <v>21</v>
      </c>
      <c r="B120" s="4"/>
      <c r="C120" s="4"/>
      <c r="D120" s="4"/>
      <c r="E120" s="4"/>
      <c r="F120" s="5">
        <f>F118+G118+H118+I118</f>
        <v>23553.370000000003</v>
      </c>
      <c r="G120" s="5"/>
      <c r="H120" s="5"/>
      <c r="I120" s="5"/>
      <c r="J120" s="5"/>
      <c r="K120" s="4"/>
      <c r="L120" s="4"/>
      <c r="M120" s="4"/>
      <c r="N120" s="4"/>
    </row>
    <row r="121" spans="1:14" hidden="1">
      <c r="A121" s="4" t="s">
        <v>22</v>
      </c>
      <c r="B121" s="4"/>
      <c r="C121" s="4"/>
      <c r="D121" s="4"/>
      <c r="E121" s="4"/>
      <c r="F121" s="5">
        <f>F119-F120</f>
        <v>4181.5939999999973</v>
      </c>
      <c r="G121" s="5"/>
      <c r="H121" s="5"/>
      <c r="I121" s="5"/>
      <c r="J121" s="5"/>
      <c r="K121" s="4"/>
      <c r="L121" s="4"/>
      <c r="M121" s="4"/>
      <c r="N121" s="4"/>
    </row>
    <row r="122" spans="1:14" hidden="1"/>
    <row r="123" spans="1:14" hidden="1">
      <c r="A123" s="11">
        <v>44287</v>
      </c>
    </row>
    <row r="124" spans="1:14" hidden="1">
      <c r="A124" s="3" t="s">
        <v>1</v>
      </c>
      <c r="B124" s="3" t="s">
        <v>2</v>
      </c>
      <c r="C124" s="3" t="s">
        <v>3</v>
      </c>
      <c r="D124" s="3" t="s">
        <v>4</v>
      </c>
      <c r="E124" s="3" t="s">
        <v>5</v>
      </c>
      <c r="F124" s="3" t="s">
        <v>6</v>
      </c>
      <c r="G124" s="3" t="s">
        <v>7</v>
      </c>
      <c r="H124" s="3" t="s">
        <v>8</v>
      </c>
      <c r="I124" s="3" t="s">
        <v>9</v>
      </c>
      <c r="J124" s="3" t="s">
        <v>10</v>
      </c>
      <c r="K124" s="3" t="s">
        <v>11</v>
      </c>
      <c r="L124" s="3" t="s">
        <v>12</v>
      </c>
      <c r="M124" s="3" t="s">
        <v>13</v>
      </c>
      <c r="N124" s="3" t="s">
        <v>14</v>
      </c>
    </row>
    <row r="125" spans="1:14" hidden="1">
      <c r="A125" s="4" t="s">
        <v>15</v>
      </c>
      <c r="B125" s="4">
        <f>C117</f>
        <v>293658</v>
      </c>
      <c r="C125" s="4">
        <v>306323</v>
      </c>
      <c r="D125" s="4">
        <f>C125-B125</f>
        <v>12665</v>
      </c>
      <c r="E125" s="14">
        <v>3934.4374999999995</v>
      </c>
      <c r="F125" s="5">
        <v>23857.164000000001</v>
      </c>
      <c r="G125" s="5">
        <f>645.21*1.15</f>
        <v>741.99149999999997</v>
      </c>
      <c r="H125" s="5"/>
      <c r="I125" s="5"/>
      <c r="J125" s="5" t="s">
        <v>18</v>
      </c>
      <c r="K125" s="4" t="s">
        <v>50</v>
      </c>
      <c r="L125" s="4">
        <v>29</v>
      </c>
      <c r="M125" s="4">
        <f>D125/L125</f>
        <v>436.72413793103448</v>
      </c>
      <c r="N125" s="14">
        <f>F125/D125</f>
        <v>1.8837081721279116</v>
      </c>
    </row>
    <row r="126" spans="1:14" hidden="1">
      <c r="A126" s="4" t="s">
        <v>17</v>
      </c>
      <c r="B126" s="4">
        <f>C118</f>
        <v>304214</v>
      </c>
      <c r="C126" s="4">
        <v>318863</v>
      </c>
      <c r="D126" s="4">
        <f>C126-B126</f>
        <v>14649</v>
      </c>
      <c r="E126" s="4"/>
      <c r="F126" s="5">
        <v>28620.59</v>
      </c>
      <c r="G126" s="5">
        <v>741.99</v>
      </c>
      <c r="H126" s="5"/>
      <c r="I126" s="5"/>
      <c r="J126" s="5" t="s">
        <v>18</v>
      </c>
      <c r="K126" s="4" t="s">
        <v>51</v>
      </c>
      <c r="L126" s="4">
        <v>34</v>
      </c>
      <c r="M126" s="4">
        <f>D126/L126</f>
        <v>430.85294117647061</v>
      </c>
      <c r="N126" s="14">
        <f>F128/D126</f>
        <v>2.0044084920472387</v>
      </c>
    </row>
    <row r="127" spans="1:14" hidden="1">
      <c r="A127" s="4" t="s">
        <v>20</v>
      </c>
      <c r="B127" s="4"/>
      <c r="C127" s="4"/>
      <c r="D127" s="4"/>
      <c r="E127" s="4"/>
      <c r="F127" s="5">
        <f>E125+F125+G125+H125+I125</f>
        <v>28533.593000000001</v>
      </c>
      <c r="G127" s="5"/>
      <c r="H127" s="5"/>
      <c r="I127" s="5"/>
      <c r="J127" s="5"/>
      <c r="K127" s="4"/>
      <c r="L127" s="4"/>
      <c r="M127" s="4"/>
      <c r="N127" s="4"/>
    </row>
    <row r="128" spans="1:14" hidden="1">
      <c r="A128" s="4" t="s">
        <v>21</v>
      </c>
      <c r="B128" s="4"/>
      <c r="C128" s="4"/>
      <c r="D128" s="4"/>
      <c r="E128" s="4"/>
      <c r="F128" s="5">
        <f>F126+G126+H126+I126</f>
        <v>29362.58</v>
      </c>
      <c r="G128" s="5"/>
      <c r="H128" s="5"/>
      <c r="I128" s="5"/>
      <c r="J128" s="5"/>
      <c r="K128" s="4"/>
      <c r="L128" s="4"/>
      <c r="M128" s="4"/>
      <c r="N128" s="4"/>
    </row>
    <row r="129" spans="1:14" hidden="1">
      <c r="A129" s="4" t="s">
        <v>22</v>
      </c>
      <c r="B129" s="4"/>
      <c r="C129" s="4"/>
      <c r="D129" s="4"/>
      <c r="E129" s="4"/>
      <c r="F129" s="5">
        <f>F127-F128</f>
        <v>-828.98700000000099</v>
      </c>
      <c r="G129" s="5"/>
      <c r="H129" s="5"/>
      <c r="I129" s="5"/>
      <c r="J129" s="5"/>
      <c r="K129" s="4"/>
      <c r="L129" s="4"/>
      <c r="M129" s="4"/>
      <c r="N129" s="4"/>
    </row>
    <row r="130" spans="1:14" hidden="1"/>
    <row r="131" spans="1:14" hidden="1">
      <c r="A131" s="11">
        <v>44317</v>
      </c>
    </row>
    <row r="132" spans="1:14" hidden="1">
      <c r="A132" s="3" t="s">
        <v>1</v>
      </c>
      <c r="B132" s="3" t="s">
        <v>2</v>
      </c>
      <c r="C132" s="3" t="s">
        <v>3</v>
      </c>
      <c r="D132" s="3" t="s">
        <v>4</v>
      </c>
      <c r="E132" s="3" t="s">
        <v>5</v>
      </c>
      <c r="F132" s="3" t="s">
        <v>6</v>
      </c>
      <c r="G132" s="3" t="s">
        <v>7</v>
      </c>
      <c r="H132" s="3" t="s">
        <v>8</v>
      </c>
      <c r="I132" s="3" t="s">
        <v>9</v>
      </c>
      <c r="J132" s="3" t="s">
        <v>10</v>
      </c>
      <c r="K132" s="3" t="s">
        <v>11</v>
      </c>
      <c r="L132" s="3" t="s">
        <v>12</v>
      </c>
      <c r="M132" s="3" t="s">
        <v>13</v>
      </c>
      <c r="N132" s="3" t="s">
        <v>14</v>
      </c>
    </row>
    <row r="133" spans="1:14" hidden="1">
      <c r="A133" s="4" t="s">
        <v>15</v>
      </c>
      <c r="B133" s="4">
        <f>C125</f>
        <v>306323</v>
      </c>
      <c r="C133" s="4">
        <v>319363</v>
      </c>
      <c r="D133" s="4">
        <f>C133-B133</f>
        <v>13040</v>
      </c>
      <c r="E133" s="14">
        <v>975.74</v>
      </c>
      <c r="F133" s="5">
        <v>31360.5</v>
      </c>
      <c r="G133" s="5">
        <f>645.21*1.15</f>
        <v>741.99149999999997</v>
      </c>
      <c r="H133" s="5"/>
      <c r="I133" s="5"/>
      <c r="J133" s="5" t="s">
        <v>18</v>
      </c>
      <c r="K133" s="4" t="s">
        <v>52</v>
      </c>
      <c r="L133" s="4">
        <v>28</v>
      </c>
      <c r="M133" s="4">
        <f>D133/L133</f>
        <v>465.71428571428572</v>
      </c>
      <c r="N133" s="14">
        <f>F133/D133</f>
        <v>2.4049463190184048</v>
      </c>
    </row>
    <row r="134" spans="1:14" hidden="1">
      <c r="A134" s="4" t="s">
        <v>17</v>
      </c>
      <c r="B134" s="4">
        <f>C126</f>
        <v>318863</v>
      </c>
      <c r="C134" s="4">
        <v>333593</v>
      </c>
      <c r="D134" s="4">
        <f>C134-B134</f>
        <v>14730</v>
      </c>
      <c r="E134" s="4"/>
      <c r="F134" s="5">
        <v>28780.39</v>
      </c>
      <c r="G134" s="5">
        <v>741.99</v>
      </c>
      <c r="H134" s="5"/>
      <c r="I134" s="5"/>
      <c r="J134" s="5" t="s">
        <v>18</v>
      </c>
      <c r="K134" s="4" t="s">
        <v>53</v>
      </c>
      <c r="L134" s="4">
        <v>28</v>
      </c>
      <c r="M134" s="4">
        <f>D134/L134</f>
        <v>526.07142857142856</v>
      </c>
      <c r="N134" s="14">
        <f>F136/D134</f>
        <v>2.0042348947725732</v>
      </c>
    </row>
    <row r="135" spans="1:14" hidden="1">
      <c r="A135" s="4" t="s">
        <v>20</v>
      </c>
      <c r="B135" s="4"/>
      <c r="C135" s="4"/>
      <c r="D135" s="4"/>
      <c r="E135" s="4"/>
      <c r="F135" s="5">
        <f>E133+F133+G133+H133+I133</f>
        <v>33078.231500000002</v>
      </c>
      <c r="G135" s="5"/>
      <c r="H135" s="5"/>
      <c r="I135" s="5"/>
      <c r="J135" s="5"/>
      <c r="K135" s="4"/>
      <c r="L135" s="4"/>
      <c r="M135" s="4"/>
      <c r="N135" s="4"/>
    </row>
    <row r="136" spans="1:14" hidden="1">
      <c r="A136" s="4" t="s">
        <v>21</v>
      </c>
      <c r="B136" s="4"/>
      <c r="C136" s="4"/>
      <c r="D136" s="4"/>
      <c r="E136" s="4"/>
      <c r="F136" s="5">
        <f>F134+G134+H134+I134</f>
        <v>29522.38</v>
      </c>
      <c r="G136" s="5"/>
      <c r="H136" s="5"/>
      <c r="I136" s="5"/>
      <c r="J136" s="5"/>
      <c r="K136" s="4"/>
      <c r="L136" s="4"/>
      <c r="M136" s="4"/>
      <c r="N136" s="4"/>
    </row>
    <row r="137" spans="1:14" hidden="1">
      <c r="A137" s="4" t="s">
        <v>22</v>
      </c>
      <c r="B137" s="4"/>
      <c r="C137" s="4"/>
      <c r="D137" s="4"/>
      <c r="E137" s="4"/>
      <c r="F137" s="5">
        <f>F135-F136</f>
        <v>3555.8515000000007</v>
      </c>
      <c r="G137" s="5"/>
      <c r="H137" s="5"/>
      <c r="I137" s="5"/>
      <c r="J137" s="5"/>
      <c r="K137" s="4"/>
      <c r="L137" s="4"/>
      <c r="M137" s="4"/>
      <c r="N137" s="4"/>
    </row>
    <row r="138" spans="1:14" hidden="1"/>
    <row r="139" spans="1:14" hidden="1">
      <c r="A139" s="11">
        <v>44348</v>
      </c>
    </row>
    <row r="140" spans="1:14" hidden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  <c r="F140" s="3" t="s">
        <v>6</v>
      </c>
      <c r="G140" s="3" t="s">
        <v>7</v>
      </c>
      <c r="H140" s="3" t="s">
        <v>8</v>
      </c>
      <c r="I140" s="3" t="s">
        <v>9</v>
      </c>
      <c r="J140" s="3" t="s">
        <v>10</v>
      </c>
      <c r="K140" s="3" t="s">
        <v>11</v>
      </c>
      <c r="L140" s="3" t="s">
        <v>12</v>
      </c>
      <c r="M140" s="3" t="s">
        <v>13</v>
      </c>
      <c r="N140" s="3" t="s">
        <v>14</v>
      </c>
    </row>
    <row r="141" spans="1:14" hidden="1">
      <c r="A141" s="4" t="s">
        <v>15</v>
      </c>
      <c r="B141" s="4">
        <f>C133</f>
        <v>319363</v>
      </c>
      <c r="C141" s="4">
        <v>342832</v>
      </c>
      <c r="D141" s="4">
        <f>C141-B141</f>
        <v>23469</v>
      </c>
      <c r="E141" s="14">
        <v>975.74</v>
      </c>
      <c r="F141" s="5">
        <v>43528.800000000003</v>
      </c>
      <c r="G141" s="5">
        <f>2302.3*1.15</f>
        <v>2647.645</v>
      </c>
      <c r="H141" s="5"/>
      <c r="I141" s="5"/>
      <c r="J141" s="5" t="s">
        <v>18</v>
      </c>
      <c r="K141" s="4" t="s">
        <v>54</v>
      </c>
      <c r="L141" s="4">
        <v>38</v>
      </c>
      <c r="M141" s="4">
        <f>D141/L141</f>
        <v>617.60526315789468</v>
      </c>
      <c r="N141" s="14">
        <f>F141/D141</f>
        <v>1.8547360347692703</v>
      </c>
    </row>
    <row r="142" spans="1:14" hidden="1">
      <c r="A142" s="4" t="s">
        <v>17</v>
      </c>
      <c r="B142" s="4">
        <f>C134</f>
        <v>333593</v>
      </c>
      <c r="C142" s="4">
        <v>352585</v>
      </c>
      <c r="D142" s="4">
        <f>C142-B142</f>
        <v>18992</v>
      </c>
      <c r="E142" s="4"/>
      <c r="F142" s="5">
        <v>37108.15</v>
      </c>
      <c r="G142" s="5">
        <v>741.99</v>
      </c>
      <c r="H142" s="5"/>
      <c r="I142" s="5"/>
      <c r="J142" s="5" t="s">
        <v>18</v>
      </c>
      <c r="K142" s="4" t="s">
        <v>55</v>
      </c>
      <c r="L142" s="4">
        <v>32</v>
      </c>
      <c r="M142" s="4">
        <f>D142/L142</f>
        <v>593.5</v>
      </c>
      <c r="N142" s="14">
        <f>F144/D142</f>
        <v>1.9929517691659646</v>
      </c>
    </row>
    <row r="143" spans="1:14" hidden="1">
      <c r="A143" s="4" t="s">
        <v>20</v>
      </c>
      <c r="B143" s="4"/>
      <c r="C143" s="4"/>
      <c r="D143" s="4"/>
      <c r="E143" s="4"/>
      <c r="F143" s="5">
        <f>E141+F141+G141+H141+I141</f>
        <v>47152.184999999998</v>
      </c>
      <c r="G143" s="5"/>
      <c r="H143" s="5"/>
      <c r="I143" s="5"/>
      <c r="J143" s="5"/>
      <c r="K143" s="4"/>
      <c r="L143" s="4"/>
      <c r="M143" s="4"/>
      <c r="N143" s="4"/>
    </row>
    <row r="144" spans="1:14" hidden="1">
      <c r="A144" s="4" t="s">
        <v>21</v>
      </c>
      <c r="B144" s="4"/>
      <c r="C144" s="4"/>
      <c r="D144" s="4"/>
      <c r="E144" s="4"/>
      <c r="F144" s="5">
        <f>F142+G142+H142+I142</f>
        <v>37850.14</v>
      </c>
      <c r="G144" s="5"/>
      <c r="H144" s="5"/>
      <c r="I144" s="5"/>
      <c r="J144" s="5"/>
      <c r="K144" s="4"/>
      <c r="L144" s="4"/>
      <c r="M144" s="4"/>
      <c r="N144" s="4"/>
    </row>
    <row r="145" spans="1:14" hidden="1">
      <c r="A145" s="4" t="s">
        <v>22</v>
      </c>
      <c r="B145" s="4"/>
      <c r="C145" s="4"/>
      <c r="D145" s="4"/>
      <c r="E145" s="4"/>
      <c r="F145" s="5">
        <f>F143-F144</f>
        <v>9302.0449999999983</v>
      </c>
      <c r="G145" s="5"/>
      <c r="H145" s="5"/>
      <c r="I145" s="5"/>
      <c r="J145" s="5"/>
      <c r="K145" s="4"/>
      <c r="L145" s="4"/>
      <c r="M145" s="4"/>
      <c r="N145" s="4"/>
    </row>
    <row r="146" spans="1:14" hidden="1"/>
    <row r="147" spans="1:14" hidden="1">
      <c r="A147" s="11">
        <v>44378</v>
      </c>
    </row>
    <row r="148" spans="1:14" hidden="1">
      <c r="A148" s="3" t="s">
        <v>1</v>
      </c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6</v>
      </c>
      <c r="G148" s="3" t="s">
        <v>7</v>
      </c>
      <c r="H148" s="3" t="s">
        <v>8</v>
      </c>
      <c r="I148" s="3" t="s">
        <v>9</v>
      </c>
      <c r="J148" s="3" t="s">
        <v>10</v>
      </c>
      <c r="K148" s="3" t="s">
        <v>11</v>
      </c>
      <c r="L148" s="3" t="s">
        <v>12</v>
      </c>
      <c r="M148" s="3" t="s">
        <v>13</v>
      </c>
      <c r="N148" s="3" t="s">
        <v>14</v>
      </c>
    </row>
    <row r="149" spans="1:14" hidden="1">
      <c r="A149" s="4" t="s">
        <v>15</v>
      </c>
      <c r="B149" s="4">
        <v>353832</v>
      </c>
      <c r="C149" s="4">
        <v>373570</v>
      </c>
      <c r="D149" s="4">
        <f>C149-B149</f>
        <v>19738</v>
      </c>
      <c r="E149" s="14">
        <f>4557.69*1.15</f>
        <v>5241.343499999999</v>
      </c>
      <c r="F149" s="5">
        <v>46107.6</v>
      </c>
      <c r="G149" s="5">
        <f>739.5*1.15</f>
        <v>850.42499999999995</v>
      </c>
      <c r="H149" s="5"/>
      <c r="I149" s="5"/>
      <c r="J149" s="5" t="s">
        <v>18</v>
      </c>
      <c r="K149" s="4" t="s">
        <v>56</v>
      </c>
      <c r="L149" s="4">
        <v>28</v>
      </c>
      <c r="M149" s="4">
        <f>D149/L149</f>
        <v>704.92857142857144</v>
      </c>
      <c r="N149" s="14">
        <f>F149/D149</f>
        <v>2.3359813557604618</v>
      </c>
    </row>
    <row r="150" spans="1:14" hidden="1">
      <c r="A150" s="4" t="s">
        <v>17</v>
      </c>
      <c r="B150" s="4">
        <f>C142</f>
        <v>352585</v>
      </c>
      <c r="C150" s="4">
        <v>371071</v>
      </c>
      <c r="D150" s="4">
        <f>C150-B150</f>
        <v>18486</v>
      </c>
      <c r="E150" s="4"/>
      <c r="F150" s="5">
        <f>2490.96+38534.58</f>
        <v>41025.54</v>
      </c>
      <c r="G150" s="5">
        <v>850.43</v>
      </c>
      <c r="H150" s="5"/>
      <c r="I150" s="5"/>
      <c r="J150" s="5" t="s">
        <v>18</v>
      </c>
      <c r="K150" s="4" t="s">
        <v>57</v>
      </c>
      <c r="L150" s="4">
        <v>28</v>
      </c>
      <c r="M150" s="4">
        <f>D150/L150</f>
        <v>660.21428571428567</v>
      </c>
      <c r="N150" s="14">
        <f>F152/D150</f>
        <v>2.2652802120523639</v>
      </c>
    </row>
    <row r="151" spans="1:14" hidden="1">
      <c r="A151" s="4" t="s">
        <v>20</v>
      </c>
      <c r="B151" s="4"/>
      <c r="C151" s="4"/>
      <c r="D151" s="4"/>
      <c r="E151" s="4"/>
      <c r="F151" s="5">
        <f>E149+F149+G149+H149+I149</f>
        <v>52199.368499999997</v>
      </c>
      <c r="G151" s="5"/>
      <c r="H151" s="5"/>
      <c r="I151" s="5"/>
      <c r="J151" s="5"/>
      <c r="K151" s="4"/>
      <c r="L151" s="4"/>
      <c r="M151" s="4"/>
      <c r="N151" s="4"/>
    </row>
    <row r="152" spans="1:14" hidden="1">
      <c r="A152" s="4" t="s">
        <v>21</v>
      </c>
      <c r="B152" s="4"/>
      <c r="C152" s="4"/>
      <c r="D152" s="4"/>
      <c r="E152" s="4"/>
      <c r="F152" s="5">
        <f>F150+G150+H150+I150</f>
        <v>41875.97</v>
      </c>
      <c r="G152" s="5"/>
      <c r="H152" s="5"/>
      <c r="I152" s="5"/>
      <c r="J152" s="5"/>
      <c r="K152" s="4"/>
      <c r="L152" s="4"/>
      <c r="M152" s="4"/>
      <c r="N152" s="4"/>
    </row>
    <row r="153" spans="1:14" hidden="1">
      <c r="A153" s="4" t="s">
        <v>22</v>
      </c>
      <c r="B153" s="4"/>
      <c r="C153" s="4"/>
      <c r="D153" s="4"/>
      <c r="E153" s="4"/>
      <c r="F153" s="5">
        <f>F151-F152</f>
        <v>10323.398499999996</v>
      </c>
      <c r="G153" s="5"/>
      <c r="H153" s="5"/>
      <c r="I153" s="5"/>
      <c r="J153" s="5"/>
      <c r="K153" s="4"/>
      <c r="L153" s="4"/>
      <c r="M153" s="4"/>
      <c r="N153" s="4"/>
    </row>
    <row r="154" spans="1:14" hidden="1"/>
    <row r="155" spans="1:14" hidden="1">
      <c r="A155" s="11">
        <v>44409</v>
      </c>
    </row>
    <row r="156" spans="1:14" hidden="1">
      <c r="A156" s="3" t="s">
        <v>1</v>
      </c>
      <c r="B156" s="3" t="s">
        <v>2</v>
      </c>
      <c r="C156" s="3" t="s">
        <v>3</v>
      </c>
      <c r="D156" s="3" t="s">
        <v>4</v>
      </c>
      <c r="E156" s="3" t="s">
        <v>5</v>
      </c>
      <c r="F156" s="3" t="s">
        <v>6</v>
      </c>
      <c r="G156" s="3" t="s">
        <v>7</v>
      </c>
      <c r="H156" s="3" t="s">
        <v>8</v>
      </c>
      <c r="I156" s="3" t="s">
        <v>9</v>
      </c>
      <c r="J156" s="3" t="s">
        <v>10</v>
      </c>
      <c r="K156" s="3" t="s">
        <v>11</v>
      </c>
      <c r="L156" s="3" t="s">
        <v>12</v>
      </c>
      <c r="M156" s="3" t="s">
        <v>13</v>
      </c>
      <c r="N156" s="3" t="s">
        <v>14</v>
      </c>
    </row>
    <row r="157" spans="1:14" hidden="1">
      <c r="A157" s="4" t="s">
        <v>15</v>
      </c>
      <c r="B157" s="4">
        <f>C149</f>
        <v>373570</v>
      </c>
      <c r="C157" s="4">
        <v>390963</v>
      </c>
      <c r="D157" s="4">
        <f>C157-B157</f>
        <v>17393</v>
      </c>
      <c r="E157" s="14">
        <f>901.41*1.15</f>
        <v>1036.6215</v>
      </c>
      <c r="F157" s="5">
        <v>26985</v>
      </c>
      <c r="G157" s="5">
        <f>739.5*1.15</f>
        <v>850.42499999999995</v>
      </c>
      <c r="H157" s="5"/>
      <c r="I157" s="5"/>
      <c r="J157" s="5" t="s">
        <v>18</v>
      </c>
      <c r="K157" s="4" t="s">
        <v>58</v>
      </c>
      <c r="L157" s="4">
        <v>30</v>
      </c>
      <c r="M157" s="4">
        <f>D157/L157</f>
        <v>579.76666666666665</v>
      </c>
      <c r="N157" s="14">
        <f>(F157+E157)/D157</f>
        <v>1.6110861553498534</v>
      </c>
    </row>
    <row r="158" spans="1:14" hidden="1">
      <c r="A158" s="4" t="s">
        <v>17</v>
      </c>
      <c r="B158" s="4">
        <f>C150</f>
        <v>371071</v>
      </c>
      <c r="C158" s="4">
        <v>388818</v>
      </c>
      <c r="D158" s="4">
        <f>C158-B158</f>
        <v>17747</v>
      </c>
      <c r="E158" s="4"/>
      <c r="F158" s="5">
        <v>39735.21</v>
      </c>
      <c r="G158" s="5">
        <v>850.25</v>
      </c>
      <c r="H158" s="5"/>
      <c r="I158" s="5"/>
      <c r="J158" s="5" t="s">
        <v>18</v>
      </c>
      <c r="K158" s="4" t="s">
        <v>59</v>
      </c>
      <c r="L158" s="4">
        <v>31</v>
      </c>
      <c r="M158" s="4">
        <f>D158/L158</f>
        <v>572.48387096774195</v>
      </c>
      <c r="N158" s="14">
        <f>F158/D158</f>
        <v>2.238981799740801</v>
      </c>
    </row>
    <row r="159" spans="1:14" hidden="1">
      <c r="A159" s="4" t="s">
        <v>20</v>
      </c>
      <c r="B159" s="4"/>
      <c r="C159" s="4"/>
      <c r="D159" s="4"/>
      <c r="E159" s="4"/>
      <c r="F159" s="5">
        <f>E157+F157+G157+H157+I157</f>
        <v>28872.0465</v>
      </c>
      <c r="G159" s="5"/>
      <c r="H159" s="5"/>
      <c r="I159" s="5"/>
      <c r="J159" s="5"/>
      <c r="K159" s="4"/>
      <c r="L159" s="4"/>
      <c r="M159" s="4"/>
      <c r="N159" s="4"/>
    </row>
    <row r="160" spans="1:14" hidden="1">
      <c r="A160" s="4" t="s">
        <v>21</v>
      </c>
      <c r="B160" s="4"/>
      <c r="C160" s="4"/>
      <c r="D160" s="4"/>
      <c r="E160" s="4"/>
      <c r="F160" s="5">
        <f>F158+G158+H158+I158</f>
        <v>40585.46</v>
      </c>
      <c r="G160" s="5"/>
      <c r="H160" s="5"/>
      <c r="I160" s="5"/>
      <c r="J160" s="5"/>
      <c r="K160" s="4"/>
      <c r="L160" s="4"/>
      <c r="M160" s="4"/>
      <c r="N160" s="4"/>
    </row>
    <row r="161" spans="1:14" hidden="1">
      <c r="A161" s="4" t="s">
        <v>22</v>
      </c>
      <c r="B161" s="4"/>
      <c r="C161" s="4"/>
      <c r="D161" s="4"/>
      <c r="E161" s="4"/>
      <c r="F161" s="5">
        <f>F159-F160</f>
        <v>-11713.413499999999</v>
      </c>
      <c r="G161" s="5"/>
      <c r="H161" s="5"/>
      <c r="I161" s="5"/>
      <c r="J161" s="5"/>
      <c r="K161" s="4"/>
      <c r="L161" s="4"/>
      <c r="M161" s="4"/>
      <c r="N161" s="4"/>
    </row>
    <row r="162" spans="1:14" hidden="1"/>
    <row r="163" spans="1:14" hidden="1">
      <c r="A163" s="11">
        <v>44440</v>
      </c>
    </row>
    <row r="164" spans="1:14" hidden="1">
      <c r="A164" s="3" t="s">
        <v>1</v>
      </c>
      <c r="B164" s="3" t="s">
        <v>2</v>
      </c>
      <c r="C164" s="3" t="s">
        <v>3</v>
      </c>
      <c r="D164" s="3" t="s">
        <v>4</v>
      </c>
      <c r="E164" s="3" t="s">
        <v>5</v>
      </c>
      <c r="F164" s="3" t="s">
        <v>6</v>
      </c>
      <c r="G164" s="3" t="s">
        <v>7</v>
      </c>
      <c r="H164" s="3" t="s">
        <v>8</v>
      </c>
      <c r="I164" s="3" t="s">
        <v>9</v>
      </c>
      <c r="J164" s="3" t="s">
        <v>10</v>
      </c>
      <c r="K164" s="3" t="s">
        <v>11</v>
      </c>
      <c r="L164" s="3" t="s">
        <v>12</v>
      </c>
      <c r="M164" s="3" t="s">
        <v>13</v>
      </c>
      <c r="N164" s="3" t="s">
        <v>14</v>
      </c>
    </row>
    <row r="165" spans="1:14" hidden="1">
      <c r="A165" s="4" t="s">
        <v>15</v>
      </c>
      <c r="B165" s="4">
        <f>C157</f>
        <v>390963</v>
      </c>
      <c r="C165" s="4">
        <v>404763</v>
      </c>
      <c r="D165" s="4">
        <f>C165-B165</f>
        <v>13800</v>
      </c>
      <c r="E165" s="14">
        <f>2626.37*1.15</f>
        <v>3020.3254999999995</v>
      </c>
      <c r="F165" s="5">
        <v>30840.6</v>
      </c>
      <c r="G165" s="5">
        <f>739.5*1.15</f>
        <v>850.42499999999995</v>
      </c>
      <c r="H165" s="5"/>
      <c r="I165" s="5"/>
      <c r="J165" s="5" t="s">
        <v>18</v>
      </c>
      <c r="K165" s="4" t="s">
        <v>60</v>
      </c>
      <c r="L165" s="4">
        <v>27</v>
      </c>
      <c r="M165" s="4">
        <f>D165/L165</f>
        <v>511.11111111111109</v>
      </c>
      <c r="N165" s="14">
        <f>(F165+E165)/D165</f>
        <v>2.4536902536231882</v>
      </c>
    </row>
    <row r="166" spans="1:14" hidden="1">
      <c r="A166" s="4" t="s">
        <v>17</v>
      </c>
      <c r="B166" s="4">
        <f>C158</f>
        <v>388818</v>
      </c>
      <c r="C166" s="4">
        <v>404161</v>
      </c>
      <c r="D166" s="4">
        <f>C166-B166</f>
        <v>15343</v>
      </c>
      <c r="E166" s="4"/>
      <c r="F166" s="5">
        <v>34351.42</v>
      </c>
      <c r="G166" s="5">
        <v>850.25</v>
      </c>
      <c r="H166" s="5"/>
      <c r="I166" s="5"/>
      <c r="J166" s="5" t="s">
        <v>18</v>
      </c>
      <c r="K166" s="4" t="s">
        <v>61</v>
      </c>
      <c r="L166" s="4">
        <v>32</v>
      </c>
      <c r="M166" s="4">
        <f>D166/L166</f>
        <v>479.46875</v>
      </c>
      <c r="N166" s="14">
        <f>F166/D166</f>
        <v>2.2388985204979468</v>
      </c>
    </row>
    <row r="167" spans="1:14" hidden="1">
      <c r="A167" s="4" t="s">
        <v>20</v>
      </c>
      <c r="B167" s="4"/>
      <c r="C167" s="4"/>
      <c r="D167" s="4"/>
      <c r="E167" s="4"/>
      <c r="F167" s="5">
        <f>E165+F165+G165+H165+I165</f>
        <v>34711.3505</v>
      </c>
      <c r="G167" s="5"/>
      <c r="H167" s="5"/>
      <c r="I167" s="5"/>
      <c r="J167" s="5"/>
      <c r="K167" s="4"/>
      <c r="L167" s="4"/>
      <c r="M167" s="4"/>
      <c r="N167" s="4"/>
    </row>
    <row r="168" spans="1:14" hidden="1">
      <c r="A168" s="4" t="s">
        <v>21</v>
      </c>
      <c r="B168" s="4"/>
      <c r="C168" s="4"/>
      <c r="D168" s="4"/>
      <c r="E168" s="4"/>
      <c r="F168" s="5">
        <f>F166+G166+H166+I166</f>
        <v>35201.67</v>
      </c>
      <c r="G168" s="5"/>
      <c r="H168" s="5"/>
      <c r="I168" s="5"/>
      <c r="J168" s="5"/>
      <c r="K168" s="4"/>
      <c r="L168" s="4"/>
      <c r="M168" s="4"/>
      <c r="N168" s="4"/>
    </row>
    <row r="169" spans="1:14" hidden="1">
      <c r="A169" s="4" t="s">
        <v>22</v>
      </c>
      <c r="B169" s="4"/>
      <c r="C169" s="4"/>
      <c r="D169" s="4"/>
      <c r="E169" s="4"/>
      <c r="F169" s="5">
        <f>F167-F168</f>
        <v>-490.31949999999779</v>
      </c>
      <c r="G169" s="5"/>
      <c r="H169" s="5"/>
      <c r="I169" s="5"/>
      <c r="J169" s="5"/>
      <c r="K169" s="4"/>
      <c r="L169" s="4"/>
      <c r="M169" s="4"/>
      <c r="N169" s="4"/>
    </row>
    <row r="170" spans="1:14" hidden="1"/>
    <row r="171" spans="1:14" hidden="1">
      <c r="A171" s="11">
        <v>44470</v>
      </c>
    </row>
    <row r="172" spans="1:14" hidden="1">
      <c r="A172" s="3" t="s">
        <v>1</v>
      </c>
      <c r="B172" s="3" t="s">
        <v>2</v>
      </c>
      <c r="C172" s="3" t="s">
        <v>3</v>
      </c>
      <c r="D172" s="3" t="s">
        <v>4</v>
      </c>
      <c r="E172" s="3" t="s">
        <v>5</v>
      </c>
      <c r="F172" s="3" t="s">
        <v>6</v>
      </c>
      <c r="G172" s="3" t="s">
        <v>7</v>
      </c>
      <c r="H172" s="3" t="s">
        <v>8</v>
      </c>
      <c r="I172" s="3" t="s">
        <v>9</v>
      </c>
      <c r="J172" s="3" t="s">
        <v>10</v>
      </c>
      <c r="K172" s="3" t="s">
        <v>11</v>
      </c>
      <c r="L172" s="3" t="s">
        <v>12</v>
      </c>
      <c r="M172" s="3" t="s">
        <v>13</v>
      </c>
      <c r="N172" s="3" t="s">
        <v>14</v>
      </c>
    </row>
    <row r="173" spans="1:14" hidden="1">
      <c r="A173" s="4" t="s">
        <v>15</v>
      </c>
      <c r="B173" s="4">
        <f>C165</f>
        <v>404763</v>
      </c>
      <c r="C173" s="4">
        <v>416663</v>
      </c>
      <c r="D173" s="4">
        <f>C173-B173</f>
        <v>11900</v>
      </c>
      <c r="E173" s="14">
        <f>350.44*1.15</f>
        <v>403.00599999999997</v>
      </c>
      <c r="F173" s="5">
        <v>29837.64</v>
      </c>
      <c r="G173" s="5">
        <f>739.5*1.15</f>
        <v>850.42499999999995</v>
      </c>
      <c r="H173" s="5"/>
      <c r="I173" s="5"/>
      <c r="J173" s="5" t="s">
        <v>18</v>
      </c>
      <c r="K173" s="4" t="s">
        <v>62</v>
      </c>
      <c r="L173" s="4">
        <v>29</v>
      </c>
      <c r="M173" s="4">
        <f>D173/L173</f>
        <v>410.34482758620692</v>
      </c>
      <c r="N173" s="14">
        <f>(F173+E173)/D173</f>
        <v>2.5412307563025212</v>
      </c>
    </row>
    <row r="174" spans="1:14" hidden="1">
      <c r="A174" s="4" t="s">
        <v>17</v>
      </c>
      <c r="B174" s="4">
        <f>C166</f>
        <v>404161</v>
      </c>
      <c r="C174" s="4">
        <v>416686</v>
      </c>
      <c r="D174" s="4">
        <f>C174-B174</f>
        <v>12525</v>
      </c>
      <c r="E174" s="4"/>
      <c r="F174" s="5">
        <v>28042.06</v>
      </c>
      <c r="G174" s="5">
        <v>850.25</v>
      </c>
      <c r="H174" s="5"/>
      <c r="I174" s="5"/>
      <c r="J174" s="5" t="s">
        <v>18</v>
      </c>
      <c r="K174" s="4" t="s">
        <v>63</v>
      </c>
      <c r="L174" s="4">
        <v>29</v>
      </c>
      <c r="M174" s="4">
        <f>D174/L174</f>
        <v>431.89655172413791</v>
      </c>
      <c r="N174" s="14">
        <f>F174/D174</f>
        <v>2.2388870259481037</v>
      </c>
    </row>
    <row r="175" spans="1:14" hidden="1">
      <c r="A175" s="4" t="s">
        <v>20</v>
      </c>
      <c r="B175" s="4"/>
      <c r="C175" s="4"/>
      <c r="D175" s="4"/>
      <c r="E175" s="4"/>
      <c r="F175" s="5">
        <f>E173+F173+G173+H173+I173</f>
        <v>31091.071</v>
      </c>
      <c r="G175" s="5"/>
      <c r="H175" s="5"/>
      <c r="I175" s="5"/>
      <c r="J175" s="5"/>
      <c r="K175" s="4"/>
      <c r="L175" s="4"/>
      <c r="M175" s="4"/>
      <c r="N175" s="4"/>
    </row>
    <row r="176" spans="1:14" hidden="1">
      <c r="A176" s="4" t="s">
        <v>21</v>
      </c>
      <c r="B176" s="4"/>
      <c r="C176" s="4"/>
      <c r="D176" s="4"/>
      <c r="E176" s="4"/>
      <c r="F176" s="5">
        <f>F174+G174+H174+I174</f>
        <v>28892.31</v>
      </c>
      <c r="G176" s="5"/>
      <c r="H176" s="5"/>
      <c r="I176" s="5"/>
      <c r="J176" s="5"/>
      <c r="K176" s="4"/>
      <c r="L176" s="4"/>
      <c r="M176" s="4"/>
      <c r="N176" s="4"/>
    </row>
    <row r="177" spans="1:14" hidden="1">
      <c r="A177" s="4" t="s">
        <v>22</v>
      </c>
      <c r="B177" s="4"/>
      <c r="C177" s="4"/>
      <c r="D177" s="4"/>
      <c r="E177" s="4"/>
      <c r="F177" s="5">
        <f>F175-F176</f>
        <v>2198.7609999999986</v>
      </c>
      <c r="G177" s="5"/>
      <c r="H177" s="5"/>
      <c r="I177" s="5"/>
      <c r="J177" s="5"/>
      <c r="K177" s="4"/>
      <c r="L177" s="4"/>
      <c r="M177" s="4"/>
      <c r="N177" s="4"/>
    </row>
    <row r="178" spans="1:14" hidden="1"/>
    <row r="179" spans="1:14" hidden="1">
      <c r="A179" s="11">
        <v>44501</v>
      </c>
    </row>
    <row r="180" spans="1:14" hidden="1">
      <c r="A180" s="3" t="s">
        <v>1</v>
      </c>
      <c r="B180" s="3" t="s">
        <v>2</v>
      </c>
      <c r="C180" s="3" t="s">
        <v>3</v>
      </c>
      <c r="D180" s="3" t="s">
        <v>4</v>
      </c>
      <c r="E180" s="3" t="s">
        <v>5</v>
      </c>
      <c r="F180" s="3" t="s">
        <v>6</v>
      </c>
      <c r="G180" s="3" t="s">
        <v>7</v>
      </c>
      <c r="H180" s="3" t="s">
        <v>8</v>
      </c>
      <c r="I180" s="3" t="s">
        <v>9</v>
      </c>
      <c r="J180" s="3" t="s">
        <v>10</v>
      </c>
      <c r="K180" s="3" t="s">
        <v>11</v>
      </c>
      <c r="L180" s="3" t="s">
        <v>12</v>
      </c>
      <c r="M180" s="3" t="s">
        <v>13</v>
      </c>
      <c r="N180" s="3" t="s">
        <v>14</v>
      </c>
    </row>
    <row r="181" spans="1:14" hidden="1">
      <c r="A181" s="4" t="s">
        <v>15</v>
      </c>
      <c r="B181" s="4">
        <f>C173</f>
        <v>416663</v>
      </c>
      <c r="C181" s="4">
        <v>430810</v>
      </c>
      <c r="D181" s="4">
        <f>C181-B181</f>
        <v>14147</v>
      </c>
      <c r="E181" s="14">
        <f>2108.49*1.15</f>
        <v>2424.7634999999996</v>
      </c>
      <c r="F181" s="5">
        <v>25127.759999999998</v>
      </c>
      <c r="G181" s="5">
        <f>739.5*1.15</f>
        <v>850.42499999999995</v>
      </c>
      <c r="H181" s="5"/>
      <c r="I181" s="5"/>
      <c r="J181" s="5" t="s">
        <v>18</v>
      </c>
      <c r="K181" s="4" t="s">
        <v>64</v>
      </c>
      <c r="L181" s="4">
        <v>34</v>
      </c>
      <c r="M181" s="4">
        <f>D181/L181</f>
        <v>416.08823529411762</v>
      </c>
      <c r="N181" s="14">
        <f>(F181+E181)/D181</f>
        <v>1.9475877217784689</v>
      </c>
    </row>
    <row r="182" spans="1:14" hidden="1">
      <c r="A182" s="4" t="s">
        <v>17</v>
      </c>
      <c r="B182" s="4">
        <f>C174</f>
        <v>416686</v>
      </c>
      <c r="C182" s="4">
        <v>428562</v>
      </c>
      <c r="D182" s="4">
        <f>C182-B182</f>
        <v>11876</v>
      </c>
      <c r="E182" s="4"/>
      <c r="F182" s="5">
        <v>26589.63</v>
      </c>
      <c r="G182" s="5">
        <v>850.25</v>
      </c>
      <c r="H182" s="5"/>
      <c r="I182" s="5"/>
      <c r="J182" s="5" t="s">
        <v>18</v>
      </c>
      <c r="K182" s="4" t="s">
        <v>65</v>
      </c>
      <c r="L182" s="4">
        <v>29</v>
      </c>
      <c r="M182" s="4">
        <f>D182/L182</f>
        <v>409.51724137931035</v>
      </c>
      <c r="N182" s="14">
        <f>F182/D182</f>
        <v>2.2389381946783429</v>
      </c>
    </row>
    <row r="183" spans="1:14" hidden="1">
      <c r="A183" s="4" t="s">
        <v>20</v>
      </c>
      <c r="B183" s="4"/>
      <c r="C183" s="4"/>
      <c r="D183" s="4"/>
      <c r="E183" s="4"/>
      <c r="F183" s="5">
        <f>E181+F181+G181+H181+I181</f>
        <v>28402.948499999999</v>
      </c>
      <c r="G183" s="5"/>
      <c r="H183" s="5"/>
      <c r="I183" s="5"/>
      <c r="J183" s="5"/>
      <c r="K183" s="4"/>
      <c r="L183" s="4"/>
      <c r="M183" s="4"/>
      <c r="N183" s="4"/>
    </row>
    <row r="184" spans="1:14" hidden="1">
      <c r="A184" s="4" t="s">
        <v>21</v>
      </c>
      <c r="B184" s="4"/>
      <c r="C184" s="4"/>
      <c r="D184" s="4"/>
      <c r="E184" s="4"/>
      <c r="F184" s="5">
        <f>F182+G182+H182+I182</f>
        <v>27439.88</v>
      </c>
      <c r="G184" s="5"/>
      <c r="H184" s="5"/>
      <c r="I184" s="5"/>
      <c r="J184" s="5"/>
      <c r="K184" s="4"/>
      <c r="L184" s="4"/>
      <c r="M184" s="4"/>
      <c r="N184" s="4"/>
    </row>
    <row r="185" spans="1:14" hidden="1">
      <c r="A185" s="4" t="s">
        <v>22</v>
      </c>
      <c r="B185" s="4"/>
      <c r="C185" s="4"/>
      <c r="D185" s="4"/>
      <c r="E185" s="4"/>
      <c r="F185" s="5">
        <f>F183-F184</f>
        <v>963.06849999999758</v>
      </c>
      <c r="G185" s="5"/>
      <c r="H185" s="5"/>
      <c r="I185" s="5"/>
      <c r="J185" s="5"/>
      <c r="K185" s="4"/>
      <c r="L185" s="4"/>
      <c r="M185" s="4"/>
      <c r="N185" s="4"/>
    </row>
    <row r="186" spans="1:14" hidden="1"/>
    <row r="187" spans="1:14" hidden="1">
      <c r="A187" s="11">
        <v>44531</v>
      </c>
    </row>
    <row r="188" spans="1:14" hidden="1">
      <c r="A188" s="3" t="s">
        <v>1</v>
      </c>
      <c r="B188" s="3" t="s">
        <v>2</v>
      </c>
      <c r="C188" s="3" t="s">
        <v>3</v>
      </c>
      <c r="D188" s="3" t="s">
        <v>4</v>
      </c>
      <c r="E188" s="3" t="s">
        <v>5</v>
      </c>
      <c r="F188" s="3" t="s">
        <v>6</v>
      </c>
      <c r="G188" s="3" t="s">
        <v>7</v>
      </c>
      <c r="H188" s="3" t="s">
        <v>8</v>
      </c>
      <c r="I188" s="3" t="s">
        <v>9</v>
      </c>
      <c r="J188" s="3" t="s">
        <v>10</v>
      </c>
      <c r="K188" s="3" t="s">
        <v>11</v>
      </c>
      <c r="L188" s="3" t="s">
        <v>12</v>
      </c>
      <c r="M188" s="3" t="s">
        <v>13</v>
      </c>
      <c r="N188" s="3" t="s">
        <v>14</v>
      </c>
    </row>
    <row r="189" spans="1:14" hidden="1">
      <c r="A189" s="4" t="s">
        <v>15</v>
      </c>
      <c r="B189" s="4">
        <f>C181</f>
        <v>430810</v>
      </c>
      <c r="C189" s="4">
        <v>430810</v>
      </c>
      <c r="D189" s="4">
        <f>C189-B189</f>
        <v>0</v>
      </c>
      <c r="E189" s="14">
        <f>2108.49*1.15</f>
        <v>2424.7634999999996</v>
      </c>
      <c r="F189" s="5">
        <v>25127.759999999998</v>
      </c>
      <c r="G189" s="5">
        <f>739.5*1.15</f>
        <v>850.42499999999995</v>
      </c>
      <c r="H189" s="5"/>
      <c r="I189" s="5"/>
      <c r="J189" s="5" t="s">
        <v>18</v>
      </c>
      <c r="K189" s="4" t="s">
        <v>64</v>
      </c>
      <c r="L189" s="4">
        <v>34</v>
      </c>
      <c r="M189" s="4">
        <f>D189/L189</f>
        <v>0</v>
      </c>
      <c r="N189" s="14" t="e">
        <f>(F189+E189)/D189</f>
        <v>#DIV/0!</v>
      </c>
    </row>
    <row r="190" spans="1:14" hidden="1">
      <c r="A190" s="4" t="s">
        <v>17</v>
      </c>
      <c r="B190" s="4">
        <f>C182</f>
        <v>428562</v>
      </c>
      <c r="C190" s="4">
        <v>442699</v>
      </c>
      <c r="D190" s="4">
        <f>C190-B190</f>
        <v>14137</v>
      </c>
      <c r="E190" s="4"/>
      <c r="F190" s="5">
        <v>31651.200000000001</v>
      </c>
      <c r="G190" s="5">
        <v>850.25</v>
      </c>
      <c r="H190" s="5"/>
      <c r="I190" s="5"/>
      <c r="J190" s="5" t="s">
        <v>18</v>
      </c>
      <c r="K190" s="4" t="s">
        <v>66</v>
      </c>
      <c r="L190" s="4">
        <v>34</v>
      </c>
      <c r="M190" s="4">
        <f>D190/L190</f>
        <v>415.79411764705884</v>
      </c>
      <c r="N190" s="14">
        <f>F190/D190</f>
        <v>2.2388908537879324</v>
      </c>
    </row>
    <row r="191" spans="1:14" hidden="1">
      <c r="A191" s="4" t="s">
        <v>20</v>
      </c>
      <c r="B191" s="4"/>
      <c r="C191" s="4"/>
      <c r="D191" s="4"/>
      <c r="E191" s="4"/>
      <c r="F191" s="5">
        <f>E189+F189+G189+H189+I189</f>
        <v>28402.948499999999</v>
      </c>
      <c r="G191" s="5"/>
      <c r="H191" s="5"/>
      <c r="I191" s="5"/>
      <c r="J191" s="5"/>
      <c r="K191" s="4"/>
      <c r="L191" s="4"/>
      <c r="M191" s="4"/>
      <c r="N191" s="4"/>
    </row>
    <row r="192" spans="1:14" hidden="1">
      <c r="A192" s="4" t="s">
        <v>21</v>
      </c>
      <c r="B192" s="4"/>
      <c r="C192" s="4"/>
      <c r="D192" s="4"/>
      <c r="E192" s="4"/>
      <c r="F192" s="5">
        <f>F190+G190+H190+I190</f>
        <v>32501.45</v>
      </c>
      <c r="G192" s="5"/>
      <c r="H192" s="5"/>
      <c r="I192" s="5"/>
      <c r="J192" s="5"/>
      <c r="K192" s="4"/>
      <c r="L192" s="4"/>
      <c r="M192" s="4"/>
      <c r="N192" s="4"/>
    </row>
    <row r="193" spans="1:14" hidden="1">
      <c r="A193" s="4" t="s">
        <v>22</v>
      </c>
      <c r="B193" s="4"/>
      <c r="C193" s="4"/>
      <c r="D193" s="4"/>
      <c r="E193" s="4"/>
      <c r="F193" s="5">
        <f>F191-F192</f>
        <v>-4098.5015000000021</v>
      </c>
      <c r="G193" s="5"/>
      <c r="H193" s="5"/>
      <c r="I193" s="5"/>
      <c r="J193" s="5"/>
      <c r="K193" s="4"/>
      <c r="L193" s="4"/>
      <c r="M193" s="4"/>
      <c r="N193" s="4"/>
    </row>
    <row r="195" spans="1:14">
      <c r="A195" s="11">
        <v>44562</v>
      </c>
    </row>
    <row r="196" spans="1:14">
      <c r="A196" s="3" t="s">
        <v>1</v>
      </c>
      <c r="B196" s="3" t="s">
        <v>2</v>
      </c>
      <c r="C196" s="3" t="s">
        <v>3</v>
      </c>
      <c r="D196" s="3" t="s">
        <v>4</v>
      </c>
      <c r="E196" s="3" t="s">
        <v>5</v>
      </c>
      <c r="F196" s="3" t="s">
        <v>6</v>
      </c>
      <c r="G196" s="3" t="s">
        <v>7</v>
      </c>
      <c r="H196" s="3" t="s">
        <v>8</v>
      </c>
      <c r="I196" s="3" t="s">
        <v>9</v>
      </c>
      <c r="J196" s="3" t="s">
        <v>10</v>
      </c>
      <c r="K196" s="3" t="s">
        <v>11</v>
      </c>
      <c r="L196" s="3" t="s">
        <v>12</v>
      </c>
      <c r="M196" s="3" t="s">
        <v>13</v>
      </c>
      <c r="N196" s="3" t="s">
        <v>14</v>
      </c>
    </row>
    <row r="197" spans="1:14">
      <c r="A197" s="4" t="s">
        <v>15</v>
      </c>
      <c r="B197" s="4">
        <f>C189</f>
        <v>430810</v>
      </c>
      <c r="C197" s="4">
        <v>453484</v>
      </c>
      <c r="D197" s="4">
        <f>C197-B197</f>
        <v>22674</v>
      </c>
      <c r="E197" s="14">
        <f>1224.6*1.15</f>
        <v>1408.2899999999997</v>
      </c>
      <c r="F197" s="5">
        <v>29610.84</v>
      </c>
      <c r="G197" s="5">
        <f>739.5*1.15</f>
        <v>850.42499999999995</v>
      </c>
      <c r="H197" s="5"/>
      <c r="I197" s="5"/>
      <c r="J197" s="5" t="s">
        <v>18</v>
      </c>
      <c r="K197" s="4" t="s">
        <v>67</v>
      </c>
      <c r="L197" s="4">
        <v>24</v>
      </c>
      <c r="M197" s="4">
        <f>D197/L197</f>
        <v>944.75</v>
      </c>
      <c r="N197" s="14">
        <f>(F197+E197)/D197</f>
        <v>1.3680484255093941</v>
      </c>
    </row>
    <row r="198" spans="1:14">
      <c r="A198" s="4" t="s">
        <v>17</v>
      </c>
      <c r="B198" s="4">
        <f>C190</f>
        <v>442699</v>
      </c>
      <c r="C198" s="4">
        <v>454873</v>
      </c>
      <c r="D198" s="4">
        <f>C198-B198</f>
        <v>12174</v>
      </c>
      <c r="E198" s="4"/>
      <c r="F198" s="5">
        <v>27257.51</v>
      </c>
      <c r="G198" s="5">
        <v>850.25</v>
      </c>
      <c r="H198" s="5"/>
      <c r="I198" s="5"/>
      <c r="J198" s="5" t="s">
        <v>18</v>
      </c>
      <c r="K198" s="4" t="s">
        <v>68</v>
      </c>
      <c r="L198" s="4">
        <v>29</v>
      </c>
      <c r="M198" s="4">
        <f>D198/L198</f>
        <v>419.79310344827587</v>
      </c>
      <c r="N198" s="14">
        <f>F198/D198</f>
        <v>2.2389937571874485</v>
      </c>
    </row>
    <row r="199" spans="1:14">
      <c r="A199" s="4" t="s">
        <v>20</v>
      </c>
      <c r="B199" s="4"/>
      <c r="C199" s="4"/>
      <c r="D199" s="4"/>
      <c r="E199" s="4"/>
      <c r="F199" s="5">
        <f>E197+F197+G197+H197+I197</f>
        <v>31869.555</v>
      </c>
      <c r="G199" s="5"/>
      <c r="H199" s="5"/>
      <c r="I199" s="5"/>
      <c r="J199" s="5"/>
      <c r="K199" s="4"/>
      <c r="L199" s="4"/>
      <c r="M199" s="4"/>
      <c r="N199" s="4"/>
    </row>
    <row r="200" spans="1:14">
      <c r="A200" s="4" t="s">
        <v>21</v>
      </c>
      <c r="B200" s="4"/>
      <c r="C200" s="4"/>
      <c r="D200" s="4"/>
      <c r="E200" s="4"/>
      <c r="F200" s="5">
        <f>F198+G198+H198+I198</f>
        <v>28107.759999999998</v>
      </c>
      <c r="G200" s="5"/>
      <c r="H200" s="5"/>
      <c r="I200" s="5"/>
      <c r="J200" s="5"/>
      <c r="K200" s="4"/>
      <c r="L200" s="4"/>
      <c r="M200" s="4"/>
      <c r="N200" s="4"/>
    </row>
    <row r="201" spans="1:14">
      <c r="A201" s="4" t="s">
        <v>22</v>
      </c>
      <c r="B201" s="4"/>
      <c r="C201" s="4"/>
      <c r="D201" s="4"/>
      <c r="E201" s="4"/>
      <c r="F201" s="5">
        <f>F199-F200</f>
        <v>3761.7950000000019</v>
      </c>
      <c r="G201" s="5"/>
      <c r="H201" s="5"/>
      <c r="I201" s="5"/>
      <c r="J201" s="5"/>
      <c r="K201" s="4"/>
      <c r="L201" s="4"/>
      <c r="M201" s="4"/>
      <c r="N201" s="4"/>
    </row>
    <row r="203" spans="1:14">
      <c r="A203" s="11">
        <v>44593</v>
      </c>
    </row>
    <row r="204" spans="1:14">
      <c r="A204" s="3" t="s">
        <v>1</v>
      </c>
      <c r="B204" s="3" t="s">
        <v>2</v>
      </c>
      <c r="C204" s="3" t="s">
        <v>3</v>
      </c>
      <c r="D204" s="3" t="s">
        <v>4</v>
      </c>
      <c r="E204" s="3" t="s">
        <v>5</v>
      </c>
      <c r="F204" s="3" t="s">
        <v>6</v>
      </c>
      <c r="G204" s="3" t="s">
        <v>7</v>
      </c>
      <c r="H204" s="3" t="s">
        <v>8</v>
      </c>
      <c r="I204" s="3" t="s">
        <v>9</v>
      </c>
      <c r="J204" s="3" t="s">
        <v>10</v>
      </c>
      <c r="K204" s="3" t="s">
        <v>11</v>
      </c>
      <c r="L204" s="3" t="s">
        <v>12</v>
      </c>
      <c r="M204" s="3" t="s">
        <v>13</v>
      </c>
      <c r="N204" s="3" t="s">
        <v>14</v>
      </c>
    </row>
    <row r="205" spans="1:14">
      <c r="A205" s="4" t="s">
        <v>15</v>
      </c>
      <c r="B205" s="4">
        <f>C197</f>
        <v>453484</v>
      </c>
      <c r="C205" s="4">
        <v>467033</v>
      </c>
      <c r="D205" s="4">
        <f>C205-B205</f>
        <v>13549</v>
      </c>
      <c r="E205" s="14">
        <f>5980.88*1.15</f>
        <v>6878.0119999999997</v>
      </c>
      <c r="F205" s="5">
        <v>22003.8</v>
      </c>
      <c r="G205" s="5">
        <f>739.5*1.15</f>
        <v>850.42499999999995</v>
      </c>
      <c r="H205" s="5"/>
      <c r="I205" s="5"/>
      <c r="J205" s="5" t="s">
        <v>18</v>
      </c>
      <c r="K205" s="4" t="s">
        <v>69</v>
      </c>
      <c r="L205" s="4">
        <v>29</v>
      </c>
      <c r="M205" s="4">
        <f>D205/L205</f>
        <v>467.20689655172413</v>
      </c>
      <c r="N205" s="14">
        <f>(F205+E205)/D205</f>
        <v>2.1316563584028341</v>
      </c>
    </row>
    <row r="206" spans="1:14">
      <c r="A206" s="4" t="s">
        <v>17</v>
      </c>
      <c r="B206" s="4">
        <f>C198</f>
        <v>454873</v>
      </c>
      <c r="C206" s="4">
        <v>456452</v>
      </c>
      <c r="D206" s="4">
        <f>C206-B206</f>
        <v>1579</v>
      </c>
      <c r="E206" s="4"/>
      <c r="F206" s="5">
        <v>3536.26</v>
      </c>
      <c r="G206" s="5">
        <v>0</v>
      </c>
      <c r="H206" s="5"/>
      <c r="I206" s="5"/>
      <c r="J206" s="5" t="s">
        <v>18</v>
      </c>
      <c r="K206" s="4" t="s">
        <v>70</v>
      </c>
      <c r="L206" s="4">
        <v>4</v>
      </c>
      <c r="M206" s="4">
        <f>D206/L206</f>
        <v>394.75</v>
      </c>
      <c r="N206" s="14">
        <f>F206/D206</f>
        <v>2.2395566814439518</v>
      </c>
    </row>
    <row r="207" spans="1:14">
      <c r="A207" s="4" t="s">
        <v>20</v>
      </c>
      <c r="B207" s="4"/>
      <c r="C207" s="4"/>
      <c r="D207" s="4"/>
      <c r="E207" s="4"/>
      <c r="F207" s="5">
        <f>E205+F205+G205+H205+I205</f>
        <v>29732.236999999997</v>
      </c>
      <c r="G207" s="5"/>
      <c r="H207" s="5"/>
      <c r="I207" s="5"/>
      <c r="J207" s="5"/>
      <c r="K207" s="4"/>
      <c r="L207" s="4"/>
      <c r="M207" s="4"/>
      <c r="N207" s="4"/>
    </row>
    <row r="208" spans="1:14">
      <c r="A208" s="4" t="s">
        <v>21</v>
      </c>
      <c r="B208" s="4"/>
      <c r="C208" s="4"/>
      <c r="D208" s="4"/>
      <c r="E208" s="4"/>
      <c r="F208" s="5">
        <f>F206+G206+H206+I206</f>
        <v>3536.26</v>
      </c>
      <c r="G208" s="5"/>
      <c r="H208" s="5"/>
      <c r="I208" s="5"/>
      <c r="J208" s="5"/>
      <c r="K208" s="4"/>
      <c r="L208" s="4"/>
      <c r="M208" s="4"/>
      <c r="N208" s="4"/>
    </row>
    <row r="209" spans="1:14">
      <c r="A209" s="4" t="s">
        <v>22</v>
      </c>
      <c r="B209" s="4"/>
      <c r="C209" s="4"/>
      <c r="D209" s="4"/>
      <c r="E209" s="4"/>
      <c r="F209" s="5">
        <f>F207-F208</f>
        <v>26195.976999999999</v>
      </c>
      <c r="G209" s="5"/>
      <c r="H209" s="5"/>
      <c r="I209" s="5"/>
      <c r="J209" s="5"/>
      <c r="K209" s="4"/>
      <c r="L209" s="4"/>
      <c r="M209" s="4"/>
      <c r="N209" s="4"/>
    </row>
    <row r="211" spans="1:14">
      <c r="A211" s="11">
        <v>44621</v>
      </c>
    </row>
    <row r="212" spans="1:14">
      <c r="A212" s="3" t="s">
        <v>1</v>
      </c>
      <c r="B212" s="3" t="s">
        <v>2</v>
      </c>
      <c r="C212" s="3" t="s">
        <v>3</v>
      </c>
      <c r="D212" s="3" t="s">
        <v>4</v>
      </c>
      <c r="E212" s="3" t="s">
        <v>5</v>
      </c>
      <c r="F212" s="3" t="s">
        <v>6</v>
      </c>
      <c r="G212" s="3" t="s">
        <v>7</v>
      </c>
      <c r="H212" s="3" t="s">
        <v>8</v>
      </c>
      <c r="I212" s="3" t="s">
        <v>9</v>
      </c>
      <c r="J212" s="3" t="s">
        <v>10</v>
      </c>
      <c r="K212" s="3" t="s">
        <v>11</v>
      </c>
      <c r="L212" s="3" t="s">
        <v>12</v>
      </c>
      <c r="M212" s="3" t="s">
        <v>13</v>
      </c>
      <c r="N212" s="3" t="s">
        <v>14</v>
      </c>
    </row>
    <row r="213" spans="1:14">
      <c r="A213" s="4" t="s">
        <v>15</v>
      </c>
      <c r="B213" s="4">
        <f>C205</f>
        <v>467033</v>
      </c>
      <c r="C213" s="4">
        <v>478803</v>
      </c>
      <c r="D213" s="4">
        <f>C213-B213</f>
        <v>11770</v>
      </c>
      <c r="E213" s="14">
        <f>146.02*1.15</f>
        <v>167.923</v>
      </c>
      <c r="F213" s="5"/>
      <c r="G213" s="5">
        <f>739.5*1.15</f>
        <v>850.42499999999995</v>
      </c>
      <c r="H213" s="5"/>
      <c r="I213" s="5"/>
      <c r="J213" s="5" t="s">
        <v>18</v>
      </c>
      <c r="K213" s="4" t="s">
        <v>71</v>
      </c>
      <c r="L213" s="4">
        <v>34</v>
      </c>
      <c r="M213" s="4">
        <f>D213/L213</f>
        <v>346.1764705882353</v>
      </c>
      <c r="N213" s="14">
        <f>(F213+E213)/D213</f>
        <v>1.4267034834324554E-2</v>
      </c>
    </row>
    <row r="214" spans="1:14">
      <c r="A214" s="4" t="s">
        <v>17</v>
      </c>
      <c r="B214" s="4">
        <f>C206</f>
        <v>456452</v>
      </c>
      <c r="C214" s="4">
        <v>456452</v>
      </c>
      <c r="D214" s="4">
        <f>C214-B214</f>
        <v>0</v>
      </c>
      <c r="E214" s="4"/>
      <c r="F214" s="5">
        <v>0</v>
      </c>
      <c r="G214" s="5">
        <v>0</v>
      </c>
      <c r="H214" s="5"/>
      <c r="I214" s="5"/>
      <c r="J214" s="5"/>
      <c r="K214" s="4"/>
      <c r="L214" s="4"/>
      <c r="M214" s="4" t="e">
        <f>D214/L214</f>
        <v>#DIV/0!</v>
      </c>
      <c r="N214" s="14" t="e">
        <f>F214/D214</f>
        <v>#DIV/0!</v>
      </c>
    </row>
    <row r="215" spans="1:14">
      <c r="A215" s="4" t="s">
        <v>20</v>
      </c>
      <c r="B215" s="4"/>
      <c r="C215" s="4"/>
      <c r="D215" s="4"/>
      <c r="E215" s="4"/>
      <c r="F215" s="5">
        <f>E213+F213+G213+H213+I213</f>
        <v>1018.348</v>
      </c>
      <c r="G215" s="5"/>
      <c r="H215" s="5"/>
      <c r="I215" s="5"/>
      <c r="J215" s="5"/>
      <c r="K215" s="4"/>
      <c r="L215" s="4"/>
      <c r="M215" s="4"/>
      <c r="N215" s="4"/>
    </row>
    <row r="216" spans="1:14">
      <c r="A216" s="4" t="s">
        <v>21</v>
      </c>
      <c r="B216" s="4"/>
      <c r="C216" s="4"/>
      <c r="D216" s="4"/>
      <c r="E216" s="4"/>
      <c r="F216" s="5">
        <f>F214+G214+H214+I214</f>
        <v>0</v>
      </c>
      <c r="G216" s="5"/>
      <c r="H216" s="5"/>
      <c r="I216" s="5"/>
      <c r="J216" s="5"/>
      <c r="K216" s="4"/>
      <c r="L216" s="4"/>
      <c r="M216" s="4"/>
      <c r="N216" s="4"/>
    </row>
    <row r="217" spans="1:14">
      <c r="A217" s="4" t="s">
        <v>22</v>
      </c>
      <c r="B217" s="4"/>
      <c r="C217" s="4"/>
      <c r="D217" s="4"/>
      <c r="E217" s="4"/>
      <c r="F217" s="5">
        <f>F215-F216</f>
        <v>1018.348</v>
      </c>
      <c r="G217" s="5"/>
      <c r="H217" s="5"/>
      <c r="I217" s="5"/>
      <c r="J217" s="5"/>
      <c r="K217" s="4"/>
      <c r="L217" s="4"/>
      <c r="M217" s="4"/>
      <c r="N217" s="4"/>
    </row>
    <row r="219" spans="1:14">
      <c r="A219" s="11">
        <v>44652</v>
      </c>
    </row>
    <row r="220" spans="1:14">
      <c r="A220" s="3" t="s">
        <v>1</v>
      </c>
      <c r="B220" s="3" t="s">
        <v>2</v>
      </c>
      <c r="C220" s="3" t="s">
        <v>3</v>
      </c>
      <c r="D220" s="3" t="s">
        <v>4</v>
      </c>
      <c r="E220" s="3" t="s">
        <v>5</v>
      </c>
      <c r="F220" s="3" t="s">
        <v>6</v>
      </c>
      <c r="G220" s="3" t="s">
        <v>7</v>
      </c>
      <c r="H220" s="3" t="s">
        <v>8</v>
      </c>
      <c r="I220" s="3" t="s">
        <v>9</v>
      </c>
      <c r="J220" s="3" t="s">
        <v>10</v>
      </c>
      <c r="K220" s="3" t="s">
        <v>11</v>
      </c>
      <c r="L220" s="3" t="s">
        <v>12</v>
      </c>
      <c r="M220" s="3" t="s">
        <v>13</v>
      </c>
      <c r="N220" s="3" t="s">
        <v>14</v>
      </c>
    </row>
    <row r="221" spans="1:14">
      <c r="A221" s="4" t="s">
        <v>15</v>
      </c>
      <c r="B221" s="4">
        <f>C213</f>
        <v>478803</v>
      </c>
      <c r="C221" s="4">
        <v>489971</v>
      </c>
      <c r="D221" s="4">
        <f>C221-B221</f>
        <v>11168</v>
      </c>
      <c r="E221" s="14">
        <v>1474.9</v>
      </c>
      <c r="F221" s="5"/>
      <c r="G221" s="5"/>
      <c r="H221" s="5"/>
      <c r="I221" s="5"/>
      <c r="J221" s="5" t="s">
        <v>18</v>
      </c>
      <c r="K221" s="4" t="s">
        <v>72</v>
      </c>
      <c r="L221" s="4">
        <v>28</v>
      </c>
      <c r="M221" s="4">
        <f>D221/L221</f>
        <v>398.85714285714283</v>
      </c>
      <c r="N221" s="14">
        <f>(F221+E221)/D221</f>
        <v>0.13206482808022924</v>
      </c>
    </row>
    <row r="222" spans="1:14">
      <c r="A222" s="4" t="s">
        <v>17</v>
      </c>
      <c r="B222" s="4">
        <f>C214</f>
        <v>456452</v>
      </c>
      <c r="C222" s="4">
        <v>456452</v>
      </c>
      <c r="D222" s="4">
        <f>C222-B222</f>
        <v>0</v>
      </c>
      <c r="E222" s="4"/>
      <c r="F222" s="5">
        <v>24544.400000000001</v>
      </c>
      <c r="G222" s="5">
        <v>0</v>
      </c>
      <c r="H222" s="5"/>
      <c r="I222" s="5"/>
      <c r="J222" s="5"/>
      <c r="K222" s="4"/>
      <c r="L222" s="4"/>
      <c r="M222" s="4" t="e">
        <f>D222/L222</f>
        <v>#DIV/0!</v>
      </c>
      <c r="N222" s="14" t="e">
        <f>F222/D222</f>
        <v>#DIV/0!</v>
      </c>
    </row>
    <row r="223" spans="1:14">
      <c r="A223" s="4" t="s">
        <v>20</v>
      </c>
      <c r="B223" s="4"/>
      <c r="C223" s="4"/>
      <c r="D223" s="4"/>
      <c r="E223" s="4"/>
      <c r="F223" s="5">
        <f>E221+F221+G221+H221+I221</f>
        <v>1474.9</v>
      </c>
      <c r="G223" s="5"/>
      <c r="H223" s="5"/>
      <c r="I223" s="5"/>
      <c r="J223" s="5"/>
      <c r="K223" s="4"/>
      <c r="L223" s="4"/>
      <c r="M223" s="4"/>
      <c r="N223" s="4"/>
    </row>
    <row r="224" spans="1:14">
      <c r="A224" s="4" t="s">
        <v>21</v>
      </c>
      <c r="B224" s="4"/>
      <c r="C224" s="4"/>
      <c r="D224" s="4"/>
      <c r="E224" s="4"/>
      <c r="F224" s="5">
        <f>F222+G222+H222+I222</f>
        <v>24544.400000000001</v>
      </c>
      <c r="G224" s="5"/>
      <c r="H224" s="5"/>
      <c r="I224" s="5"/>
      <c r="J224" s="5"/>
      <c r="K224" s="4"/>
      <c r="L224" s="4"/>
      <c r="M224" s="4"/>
      <c r="N224" s="4"/>
    </row>
    <row r="225" spans="1:14">
      <c r="A225" s="4" t="s">
        <v>22</v>
      </c>
      <c r="B225" s="4"/>
      <c r="C225" s="4"/>
      <c r="D225" s="4"/>
      <c r="E225" s="4"/>
      <c r="F225" s="5">
        <f>F223-F224</f>
        <v>-23069.5</v>
      </c>
      <c r="G225" s="5"/>
      <c r="H225" s="5"/>
      <c r="I225" s="5"/>
      <c r="J225" s="5"/>
      <c r="K225" s="4"/>
      <c r="L225" s="4"/>
      <c r="M225" s="4"/>
      <c r="N225" s="4"/>
    </row>
    <row r="227" spans="1:14">
      <c r="A227" s="11">
        <v>44682</v>
      </c>
    </row>
    <row r="228" spans="1:14">
      <c r="A228" s="3" t="s">
        <v>1</v>
      </c>
      <c r="B228" s="3" t="s">
        <v>2</v>
      </c>
      <c r="C228" s="3" t="s">
        <v>3</v>
      </c>
      <c r="D228" s="3" t="s">
        <v>4</v>
      </c>
      <c r="E228" s="3" t="s">
        <v>5</v>
      </c>
      <c r="F228" s="3" t="s">
        <v>6</v>
      </c>
      <c r="G228" s="3" t="s">
        <v>7</v>
      </c>
      <c r="H228" s="3" t="s">
        <v>8</v>
      </c>
      <c r="I228" s="3" t="s">
        <v>9</v>
      </c>
      <c r="J228" s="3" t="s">
        <v>10</v>
      </c>
      <c r="K228" s="3" t="s">
        <v>11</v>
      </c>
      <c r="L228" s="3" t="s">
        <v>12</v>
      </c>
      <c r="M228" s="3" t="s">
        <v>13</v>
      </c>
      <c r="N228" s="3" t="s">
        <v>14</v>
      </c>
    </row>
    <row r="229" spans="1:14">
      <c r="A229" s="4" t="s">
        <v>15</v>
      </c>
      <c r="B229" s="4">
        <f>C221</f>
        <v>489971</v>
      </c>
      <c r="C229" s="4">
        <v>507437</v>
      </c>
      <c r="D229" s="4">
        <f>C229-B229</f>
        <v>17466</v>
      </c>
      <c r="E229" s="14">
        <f>562.77*1.15</f>
        <v>647.18549999999993</v>
      </c>
      <c r="F229" s="5">
        <v>34392.42</v>
      </c>
      <c r="G229" s="5"/>
      <c r="H229" s="5"/>
      <c r="I229" s="5"/>
      <c r="J229" s="5" t="s">
        <v>18</v>
      </c>
      <c r="K229" s="4" t="s">
        <v>73</v>
      </c>
      <c r="L229" s="4">
        <v>39</v>
      </c>
      <c r="M229" s="4">
        <f>D229/L229</f>
        <v>447.84615384615387</v>
      </c>
      <c r="N229" s="14">
        <f>(F229+E229)/D229</f>
        <v>2.0061608553761592</v>
      </c>
    </row>
    <row r="230" spans="1:14">
      <c r="A230" s="4" t="s">
        <v>17</v>
      </c>
      <c r="B230" s="4">
        <f>C222</f>
        <v>456452</v>
      </c>
      <c r="C230" s="4">
        <v>456452</v>
      </c>
      <c r="D230" s="4">
        <f>C230-B230</f>
        <v>0</v>
      </c>
      <c r="E230" s="4"/>
      <c r="F230" s="5">
        <v>27197.48</v>
      </c>
      <c r="G230" s="5">
        <v>0</v>
      </c>
      <c r="H230" s="5"/>
      <c r="I230" s="5"/>
      <c r="J230" s="5"/>
      <c r="K230" s="4"/>
      <c r="L230" s="4"/>
      <c r="M230" s="4" t="e">
        <f>D230/L230</f>
        <v>#DIV/0!</v>
      </c>
      <c r="N230" s="14" t="e">
        <f>F230/D230</f>
        <v>#DIV/0!</v>
      </c>
    </row>
    <row r="231" spans="1:14">
      <c r="A231" s="4" t="s">
        <v>20</v>
      </c>
      <c r="B231" s="4"/>
      <c r="C231" s="4"/>
      <c r="D231" s="4"/>
      <c r="E231" s="4"/>
      <c r="F231" s="5">
        <f>E229+F229+G229+H229+I229</f>
        <v>35039.605499999998</v>
      </c>
      <c r="G231" s="5"/>
      <c r="H231" s="5"/>
      <c r="I231" s="5"/>
      <c r="J231" s="5"/>
      <c r="K231" s="4"/>
      <c r="L231" s="4"/>
      <c r="M231" s="4"/>
      <c r="N231" s="4"/>
    </row>
    <row r="232" spans="1:14">
      <c r="A232" s="4" t="s">
        <v>21</v>
      </c>
      <c r="B232" s="4"/>
      <c r="C232" s="4"/>
      <c r="D232" s="4"/>
      <c r="E232" s="4"/>
      <c r="F232" s="5">
        <f>F230+G230+H230+I230</f>
        <v>27197.48</v>
      </c>
      <c r="G232" s="5"/>
      <c r="H232" s="5"/>
      <c r="I232" s="5"/>
      <c r="J232" s="5"/>
      <c r="K232" s="4"/>
      <c r="L232" s="4"/>
      <c r="M232" s="4"/>
      <c r="N232" s="4"/>
    </row>
    <row r="233" spans="1:14">
      <c r="A233" s="4" t="s">
        <v>22</v>
      </c>
      <c r="B233" s="4"/>
      <c r="C233" s="4"/>
      <c r="D233" s="4"/>
      <c r="E233" s="4"/>
      <c r="F233" s="5">
        <f>F231-F232</f>
        <v>7842.1254999999983</v>
      </c>
      <c r="G233" s="5"/>
      <c r="H233" s="5"/>
      <c r="I233" s="5"/>
      <c r="J233" s="5"/>
      <c r="K233" s="4"/>
      <c r="L233" s="4"/>
      <c r="M233" s="4"/>
      <c r="N233" s="4"/>
    </row>
    <row r="235" spans="1:14">
      <c r="A235" s="11">
        <v>44713</v>
      </c>
    </row>
    <row r="236" spans="1:14">
      <c r="A236" s="3" t="s">
        <v>1</v>
      </c>
      <c r="B236" s="3" t="s">
        <v>2</v>
      </c>
      <c r="C236" s="3" t="s">
        <v>3</v>
      </c>
      <c r="D236" s="3" t="s">
        <v>4</v>
      </c>
      <c r="E236" s="3" t="s">
        <v>5</v>
      </c>
      <c r="F236" s="3" t="s">
        <v>6</v>
      </c>
      <c r="G236" s="3" t="s">
        <v>7</v>
      </c>
      <c r="H236" s="3" t="s">
        <v>8</v>
      </c>
      <c r="I236" s="3" t="s">
        <v>9</v>
      </c>
      <c r="J236" s="3" t="s">
        <v>10</v>
      </c>
      <c r="K236" s="3" t="s">
        <v>11</v>
      </c>
      <c r="L236" s="3" t="s">
        <v>12</v>
      </c>
      <c r="M236" s="3" t="s">
        <v>13</v>
      </c>
      <c r="N236" s="3" t="s">
        <v>14</v>
      </c>
    </row>
    <row r="237" spans="1:14">
      <c r="A237" s="4" t="s">
        <v>15</v>
      </c>
      <c r="B237" s="4">
        <f>C229</f>
        <v>507437</v>
      </c>
      <c r="C237" s="4">
        <f>B237+D237</f>
        <v>524839.30000000005</v>
      </c>
      <c r="D237" s="4">
        <v>17402.3</v>
      </c>
      <c r="E237" s="14">
        <f>556.84*1.15</f>
        <v>640.36599999999999</v>
      </c>
      <c r="F237" s="5">
        <v>40434.550000000003</v>
      </c>
      <c r="G237" s="5"/>
      <c r="H237" s="5"/>
      <c r="I237" s="5"/>
      <c r="J237" s="5" t="s">
        <v>18</v>
      </c>
      <c r="K237" s="4" t="s">
        <v>74</v>
      </c>
      <c r="L237" s="4">
        <v>28</v>
      </c>
      <c r="M237" s="4">
        <f>D237/L237</f>
        <v>621.51071428571424</v>
      </c>
      <c r="N237" s="14">
        <f>(F237+E237)/D237</f>
        <v>2.3603153606132525</v>
      </c>
    </row>
    <row r="238" spans="1:14">
      <c r="A238" s="4" t="s">
        <v>17</v>
      </c>
      <c r="B238" s="4">
        <f>C230</f>
        <v>456452</v>
      </c>
      <c r="C238" s="4">
        <v>456452</v>
      </c>
      <c r="D238" s="4">
        <f>C238-B238</f>
        <v>0</v>
      </c>
      <c r="E238" s="4"/>
      <c r="F238" s="5">
        <f>7119.43+25312.28</f>
        <v>32431.71</v>
      </c>
      <c r="G238" s="5">
        <v>0</v>
      </c>
      <c r="H238" s="5"/>
      <c r="I238" s="5"/>
      <c r="J238" s="5"/>
      <c r="K238" s="4"/>
      <c r="L238" s="4"/>
      <c r="M238" s="4" t="e">
        <f>D238/L238</f>
        <v>#DIV/0!</v>
      </c>
      <c r="N238" s="14" t="e">
        <f>F238/D238</f>
        <v>#DIV/0!</v>
      </c>
    </row>
    <row r="239" spans="1:14">
      <c r="A239" s="4" t="s">
        <v>20</v>
      </c>
      <c r="B239" s="4"/>
      <c r="C239" s="4"/>
      <c r="D239" s="4"/>
      <c r="E239" s="4"/>
      <c r="F239" s="5">
        <f>E237+F237+G237+H237+I237</f>
        <v>41074.916000000005</v>
      </c>
      <c r="G239" s="5"/>
      <c r="H239" s="5"/>
      <c r="I239" s="5"/>
      <c r="J239" s="5"/>
      <c r="K239" s="4"/>
      <c r="L239" s="4"/>
      <c r="M239" s="4"/>
      <c r="N239" s="4"/>
    </row>
    <row r="240" spans="1:14">
      <c r="A240" s="4" t="s">
        <v>21</v>
      </c>
      <c r="B240" s="4"/>
      <c r="C240" s="4"/>
      <c r="D240" s="4"/>
      <c r="E240" s="4"/>
      <c r="F240" s="5">
        <f>F238+G238+H238+I238</f>
        <v>32431.71</v>
      </c>
      <c r="G240" s="5"/>
      <c r="H240" s="5"/>
      <c r="I240" s="5"/>
      <c r="J240" s="5"/>
      <c r="K240" s="4"/>
      <c r="L240" s="4"/>
      <c r="M240" s="4"/>
      <c r="N240" s="4"/>
    </row>
    <row r="241" spans="1:14">
      <c r="A241" s="4" t="s">
        <v>22</v>
      </c>
      <c r="B241" s="4"/>
      <c r="C241" s="4"/>
      <c r="D241" s="4"/>
      <c r="E241" s="4"/>
      <c r="F241" s="5">
        <f>F239-F240</f>
        <v>8643.2060000000056</v>
      </c>
      <c r="G241" s="5"/>
      <c r="H241" s="5"/>
      <c r="I241" s="5"/>
      <c r="J241" s="5"/>
      <c r="K241" s="4"/>
      <c r="L241" s="4"/>
      <c r="M241" s="4"/>
      <c r="N241" s="4"/>
    </row>
    <row r="243" spans="1:14">
      <c r="A243" s="11">
        <v>44743</v>
      </c>
    </row>
    <row r="244" spans="1:14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  <c r="F244" s="3" t="s">
        <v>6</v>
      </c>
      <c r="G244" s="3" t="s">
        <v>7</v>
      </c>
      <c r="H244" s="3" t="s">
        <v>8</v>
      </c>
      <c r="I244" s="3" t="s">
        <v>9</v>
      </c>
      <c r="J244" s="3" t="s">
        <v>10</v>
      </c>
      <c r="K244" s="3" t="s">
        <v>11</v>
      </c>
      <c r="L244" s="3" t="s">
        <v>12</v>
      </c>
      <c r="M244" s="3" t="s">
        <v>13</v>
      </c>
      <c r="N244" s="3" t="s">
        <v>14</v>
      </c>
    </row>
    <row r="245" spans="1:14">
      <c r="A245" s="4" t="s">
        <v>15</v>
      </c>
      <c r="B245" s="4">
        <f>C237</f>
        <v>524839.30000000005</v>
      </c>
      <c r="C245" s="4">
        <f>B245+D245</f>
        <v>539645.20000000007</v>
      </c>
      <c r="D245" s="4">
        <v>14805.9</v>
      </c>
      <c r="E245" s="14">
        <f>580.27*1.15</f>
        <v>667.31049999999993</v>
      </c>
      <c r="F245" s="5">
        <v>35628.050000000003</v>
      </c>
      <c r="G245" s="5"/>
      <c r="H245" s="5"/>
      <c r="I245" s="5"/>
      <c r="J245" s="5" t="s">
        <v>18</v>
      </c>
      <c r="K245" s="22" t="s">
        <v>75</v>
      </c>
      <c r="L245" s="4">
        <v>28</v>
      </c>
      <c r="M245" s="4">
        <f>D245/L245</f>
        <v>528.78214285714284</v>
      </c>
      <c r="N245" s="14">
        <f>(F245+E245)/D245</f>
        <v>2.4514119709034916</v>
      </c>
    </row>
    <row r="246" spans="1:14">
      <c r="A246" s="4" t="s">
        <v>17</v>
      </c>
      <c r="B246" s="4">
        <f>C238</f>
        <v>456452</v>
      </c>
      <c r="C246" s="4">
        <v>456452</v>
      </c>
      <c r="D246" s="4">
        <f>C246-B246</f>
        <v>0</v>
      </c>
      <c r="E246" s="4"/>
      <c r="F246" s="5">
        <v>34473.839999999997</v>
      </c>
      <c r="G246" s="5">
        <v>0</v>
      </c>
      <c r="H246" s="5"/>
      <c r="I246" s="5"/>
      <c r="J246" s="5"/>
      <c r="K246" s="4"/>
      <c r="L246" s="4"/>
      <c r="M246" s="4" t="e">
        <f>D246/L246</f>
        <v>#DIV/0!</v>
      </c>
      <c r="N246" s="14" t="e">
        <f>F246/D246</f>
        <v>#DIV/0!</v>
      </c>
    </row>
    <row r="247" spans="1:14">
      <c r="A247" s="4" t="s">
        <v>20</v>
      </c>
      <c r="B247" s="4"/>
      <c r="C247" s="4"/>
      <c r="D247" s="4"/>
      <c r="E247" s="4"/>
      <c r="F247" s="5">
        <f>E245+F245+G245+H245+I245</f>
        <v>36295.360500000003</v>
      </c>
      <c r="G247" s="5"/>
      <c r="H247" s="5"/>
      <c r="I247" s="5"/>
      <c r="J247" s="5"/>
      <c r="K247" s="4"/>
      <c r="L247" s="4"/>
      <c r="M247" s="4"/>
      <c r="N247" s="4"/>
    </row>
    <row r="248" spans="1:14">
      <c r="A248" s="4" t="s">
        <v>21</v>
      </c>
      <c r="B248" s="4"/>
      <c r="C248" s="4"/>
      <c r="D248" s="4"/>
      <c r="E248" s="4"/>
      <c r="F248" s="5">
        <f>F246+G246+H246+I246</f>
        <v>34473.839999999997</v>
      </c>
      <c r="G248" s="5"/>
      <c r="H248" s="5"/>
      <c r="I248" s="5"/>
      <c r="J248" s="5"/>
      <c r="K248" s="4"/>
      <c r="L248" s="4"/>
      <c r="M248" s="4"/>
      <c r="N248" s="4"/>
    </row>
    <row r="249" spans="1:14">
      <c r="A249" s="4" t="s">
        <v>22</v>
      </c>
      <c r="B249" s="4"/>
      <c r="C249" s="4"/>
      <c r="D249" s="4"/>
      <c r="E249" s="4"/>
      <c r="F249" s="5">
        <f>F247-F248</f>
        <v>1821.520500000006</v>
      </c>
      <c r="G249" s="5"/>
      <c r="H249" s="5"/>
      <c r="I249" s="5"/>
      <c r="J249" s="5"/>
      <c r="K249" s="4"/>
      <c r="L249" s="4"/>
      <c r="M249" s="4"/>
      <c r="N249" s="4"/>
    </row>
    <row r="251" spans="1:14">
      <c r="A251" s="11">
        <v>44774</v>
      </c>
    </row>
    <row r="252" spans="1:14">
      <c r="A252" s="3" t="s">
        <v>1</v>
      </c>
      <c r="B252" s="3" t="s">
        <v>2</v>
      </c>
      <c r="C252" s="3" t="s">
        <v>3</v>
      </c>
      <c r="D252" s="3" t="s">
        <v>4</v>
      </c>
      <c r="E252" s="3" t="s">
        <v>5</v>
      </c>
      <c r="F252" s="3" t="s">
        <v>6</v>
      </c>
      <c r="G252" s="3" t="s">
        <v>7</v>
      </c>
      <c r="H252" s="3" t="s">
        <v>8</v>
      </c>
      <c r="I252" s="3" t="s">
        <v>9</v>
      </c>
      <c r="J252" s="3" t="s">
        <v>10</v>
      </c>
      <c r="K252" s="3" t="s">
        <v>11</v>
      </c>
      <c r="L252" s="3" t="s">
        <v>12</v>
      </c>
      <c r="M252" s="3" t="s">
        <v>13</v>
      </c>
      <c r="N252" s="3" t="s">
        <v>14</v>
      </c>
    </row>
    <row r="253" spans="1:14">
      <c r="A253" s="4" t="s">
        <v>15</v>
      </c>
      <c r="B253" s="4">
        <f>C245</f>
        <v>539645.20000000007</v>
      </c>
      <c r="C253" s="4">
        <f>B253+D253</f>
        <v>555381.9</v>
      </c>
      <c r="D253" s="4">
        <v>15736.7</v>
      </c>
      <c r="E253" s="14">
        <f>580.27*1.15</f>
        <v>667.31049999999993</v>
      </c>
      <c r="F253" s="5">
        <v>38357.760000000002</v>
      </c>
      <c r="G253" s="5"/>
      <c r="H253" s="5"/>
      <c r="I253" s="5"/>
      <c r="J253" s="5" t="s">
        <v>18</v>
      </c>
      <c r="K253" s="22" t="s">
        <v>76</v>
      </c>
      <c r="L253" s="4">
        <v>29</v>
      </c>
      <c r="M253" s="4">
        <f>D253/L253</f>
        <v>542.64482758620693</v>
      </c>
      <c r="N253" s="14">
        <f>(F253+E253)/D253</f>
        <v>2.4798763717933241</v>
      </c>
    </row>
    <row r="254" spans="1:14">
      <c r="A254" s="4" t="s">
        <v>17</v>
      </c>
      <c r="B254" s="4">
        <f>C246</f>
        <v>456452</v>
      </c>
      <c r="C254" s="4">
        <v>456452</v>
      </c>
      <c r="D254" s="4">
        <f>C254-B254</f>
        <v>0</v>
      </c>
      <c r="E254" s="4"/>
      <c r="F254" s="5">
        <v>34689.79</v>
      </c>
      <c r="G254" s="5">
        <v>0</v>
      </c>
      <c r="H254" s="5"/>
      <c r="I254" s="5"/>
      <c r="J254" s="5"/>
      <c r="K254" s="4"/>
      <c r="L254" s="4"/>
      <c r="M254" s="4" t="e">
        <f>D254/L254</f>
        <v>#DIV/0!</v>
      </c>
      <c r="N254" s="14" t="e">
        <f>F254/D254</f>
        <v>#DIV/0!</v>
      </c>
    </row>
    <row r="255" spans="1:14">
      <c r="A255" s="4" t="s">
        <v>20</v>
      </c>
      <c r="B255" s="4"/>
      <c r="C255" s="4"/>
      <c r="D255" s="4"/>
      <c r="E255" s="4"/>
      <c r="F255" s="5">
        <f>E253+F253+G253+H253+I253</f>
        <v>39025.070500000002</v>
      </c>
      <c r="G255" s="5"/>
      <c r="H255" s="5"/>
      <c r="I255" s="5"/>
      <c r="J255" s="5"/>
      <c r="K255" s="4"/>
      <c r="L255" s="4"/>
      <c r="M255" s="4"/>
      <c r="N255" s="4"/>
    </row>
    <row r="256" spans="1:14">
      <c r="A256" s="4" t="s">
        <v>21</v>
      </c>
      <c r="B256" s="4"/>
      <c r="C256" s="4"/>
      <c r="D256" s="4"/>
      <c r="E256" s="4"/>
      <c r="F256" s="5">
        <f>F254+G254+H254+I254</f>
        <v>34689.79</v>
      </c>
      <c r="G256" s="5"/>
      <c r="H256" s="5"/>
      <c r="I256" s="5"/>
      <c r="J256" s="5"/>
      <c r="K256" s="4"/>
      <c r="L256" s="4"/>
      <c r="M256" s="4"/>
      <c r="N256" s="4"/>
    </row>
    <row r="257" spans="1:14">
      <c r="A257" s="4" t="s">
        <v>22</v>
      </c>
      <c r="B257" s="4"/>
      <c r="C257" s="4"/>
      <c r="D257" s="4"/>
      <c r="E257" s="4"/>
      <c r="F257" s="5">
        <f>F255-F256</f>
        <v>4335.2805000000008</v>
      </c>
      <c r="G257" s="5"/>
      <c r="H257" s="5"/>
      <c r="I257" s="5"/>
      <c r="J257" s="5"/>
      <c r="K257" s="4"/>
      <c r="L257" s="4"/>
      <c r="M257" s="4"/>
      <c r="N257" s="4"/>
    </row>
    <row r="259" spans="1:14">
      <c r="A259" s="11">
        <v>44805</v>
      </c>
    </row>
    <row r="260" spans="1:14">
      <c r="A260" s="3" t="s">
        <v>1</v>
      </c>
      <c r="B260" s="3" t="s">
        <v>2</v>
      </c>
      <c r="C260" s="3" t="s">
        <v>3</v>
      </c>
      <c r="D260" s="3" t="s">
        <v>4</v>
      </c>
      <c r="E260" s="3" t="s">
        <v>5</v>
      </c>
      <c r="F260" s="3" t="s">
        <v>6</v>
      </c>
      <c r="G260" s="3" t="s">
        <v>7</v>
      </c>
      <c r="H260" s="3" t="s">
        <v>8</v>
      </c>
      <c r="I260" s="3" t="s">
        <v>9</v>
      </c>
      <c r="J260" s="3" t="s">
        <v>10</v>
      </c>
      <c r="K260" s="3" t="s">
        <v>11</v>
      </c>
      <c r="L260" s="3" t="s">
        <v>12</v>
      </c>
      <c r="M260" s="3" t="s">
        <v>13</v>
      </c>
      <c r="N260" s="3" t="s">
        <v>14</v>
      </c>
    </row>
    <row r="261" spans="1:14">
      <c r="A261" s="4" t="s">
        <v>15</v>
      </c>
      <c r="B261" s="4">
        <f>C253</f>
        <v>555381.9</v>
      </c>
      <c r="C261" s="4">
        <f>B261+D261</f>
        <v>567610.9</v>
      </c>
      <c r="D261" s="4">
        <v>12229</v>
      </c>
      <c r="E261" s="14">
        <f>597.45*1.15</f>
        <v>687.0675</v>
      </c>
      <c r="F261" s="5">
        <v>34498.76</v>
      </c>
      <c r="G261" s="5"/>
      <c r="H261" s="5"/>
      <c r="I261" s="5"/>
      <c r="J261" s="5" t="s">
        <v>18</v>
      </c>
      <c r="K261" s="22" t="s">
        <v>77</v>
      </c>
      <c r="L261" s="4">
        <v>26</v>
      </c>
      <c r="M261" s="4">
        <f>D261/L261</f>
        <v>470.34615384615387</v>
      </c>
      <c r="N261" s="14">
        <f>(F261+E261)/D261</f>
        <v>2.8772448687545995</v>
      </c>
    </row>
    <row r="262" spans="1:14">
      <c r="A262" s="4" t="s">
        <v>17</v>
      </c>
      <c r="B262" s="4">
        <f>C254</f>
        <v>456452</v>
      </c>
      <c r="C262" s="4">
        <v>456452</v>
      </c>
      <c r="D262" s="4">
        <f>C262-B262</f>
        <v>0</v>
      </c>
      <c r="E262" s="4"/>
      <c r="F262" s="5">
        <v>34689.79</v>
      </c>
      <c r="G262" s="5">
        <v>0</v>
      </c>
      <c r="H262" s="5"/>
      <c r="I262" s="5"/>
      <c r="J262" s="5"/>
      <c r="K262" s="4"/>
      <c r="L262" s="4"/>
      <c r="M262" s="4" t="e">
        <f>D262/L262</f>
        <v>#DIV/0!</v>
      </c>
      <c r="N262" s="14" t="e">
        <f>F262/D262</f>
        <v>#DIV/0!</v>
      </c>
    </row>
    <row r="263" spans="1:14">
      <c r="A263" s="4" t="s">
        <v>20</v>
      </c>
      <c r="B263" s="4"/>
      <c r="C263" s="4"/>
      <c r="D263" s="4"/>
      <c r="E263" s="4"/>
      <c r="F263" s="5">
        <f>E261+F261+G261+H261+I261</f>
        <v>35185.827499999999</v>
      </c>
      <c r="G263" s="5"/>
      <c r="H263" s="5"/>
      <c r="I263" s="5"/>
      <c r="J263" s="5"/>
      <c r="K263" s="4"/>
      <c r="L263" s="4"/>
      <c r="M263" s="4"/>
      <c r="N263" s="4"/>
    </row>
    <row r="264" spans="1:14">
      <c r="A264" s="4" t="s">
        <v>21</v>
      </c>
      <c r="B264" s="4"/>
      <c r="C264" s="4"/>
      <c r="D264" s="4"/>
      <c r="E264" s="4"/>
      <c r="F264" s="5">
        <f>F262+G262+H262+I262</f>
        <v>34689.79</v>
      </c>
      <c r="G264" s="5"/>
      <c r="H264" s="5"/>
      <c r="I264" s="5"/>
      <c r="J264" s="5"/>
      <c r="K264" s="4"/>
      <c r="L264" s="4"/>
      <c r="M264" s="4"/>
      <c r="N264" s="4"/>
    </row>
    <row r="265" spans="1:14">
      <c r="A265" s="4" t="s">
        <v>22</v>
      </c>
      <c r="B265" s="4"/>
      <c r="C265" s="4"/>
      <c r="D265" s="4"/>
      <c r="E265" s="4"/>
      <c r="F265" s="5">
        <f>F263-F264</f>
        <v>496.03749999999854</v>
      </c>
      <c r="G265" s="5"/>
      <c r="H265" s="5"/>
      <c r="I265" s="5"/>
      <c r="J265" s="5"/>
      <c r="K265" s="4"/>
      <c r="L265" s="4"/>
      <c r="M265" s="4"/>
      <c r="N265" s="4"/>
    </row>
    <row r="267" spans="1:14">
      <c r="A267" s="11">
        <v>44835</v>
      </c>
    </row>
    <row r="268" spans="1:14">
      <c r="A268" s="3" t="s">
        <v>1</v>
      </c>
      <c r="B268" s="3" t="s">
        <v>2</v>
      </c>
      <c r="C268" s="3" t="s">
        <v>3</v>
      </c>
      <c r="D268" s="3" t="s">
        <v>4</v>
      </c>
      <c r="E268" s="3" t="s">
        <v>5</v>
      </c>
      <c r="F268" s="3" t="s">
        <v>6</v>
      </c>
      <c r="G268" s="3" t="s">
        <v>7</v>
      </c>
      <c r="H268" s="3" t="s">
        <v>8</v>
      </c>
      <c r="I268" s="3" t="s">
        <v>9</v>
      </c>
      <c r="J268" s="3" t="s">
        <v>10</v>
      </c>
      <c r="K268" s="3" t="s">
        <v>11</v>
      </c>
      <c r="L268" s="3" t="s">
        <v>12</v>
      </c>
      <c r="M268" s="3" t="s">
        <v>13</v>
      </c>
      <c r="N268" s="3" t="s">
        <v>14</v>
      </c>
    </row>
    <row r="269" spans="1:14">
      <c r="A269" s="4" t="s">
        <v>15</v>
      </c>
      <c r="B269" s="4">
        <f>C261</f>
        <v>567610.9</v>
      </c>
      <c r="C269" s="4">
        <f>B269+D269</f>
        <v>579649.5</v>
      </c>
      <c r="D269" s="4">
        <v>12038.6</v>
      </c>
      <c r="E269" s="14">
        <f>558.18*1.15</f>
        <v>641.90699999999993</v>
      </c>
      <c r="F269" s="5">
        <v>28202.32</v>
      </c>
      <c r="G269" s="5"/>
      <c r="H269" s="5"/>
      <c r="I269" s="5"/>
      <c r="J269" s="5" t="s">
        <v>18</v>
      </c>
      <c r="K269" s="22" t="s">
        <v>78</v>
      </c>
      <c r="L269" s="4">
        <v>26</v>
      </c>
      <c r="M269" s="4">
        <f>D269/L269</f>
        <v>463.02307692307693</v>
      </c>
      <c r="N269" s="14">
        <f>(F269+E269)/D269</f>
        <v>2.395978519096905</v>
      </c>
    </row>
    <row r="270" spans="1:14">
      <c r="A270" s="4" t="s">
        <v>17</v>
      </c>
      <c r="B270" s="4">
        <f>C262</f>
        <v>456452</v>
      </c>
      <c r="C270" s="4">
        <v>456452</v>
      </c>
      <c r="D270" s="4">
        <f>C270-B270</f>
        <v>0</v>
      </c>
      <c r="E270" s="4"/>
      <c r="F270" s="5">
        <v>27224.01</v>
      </c>
      <c r="G270" s="5">
        <v>0</v>
      </c>
      <c r="H270" s="5"/>
      <c r="I270" s="5"/>
      <c r="J270" s="5"/>
      <c r="K270" s="4"/>
      <c r="L270" s="4"/>
      <c r="M270" s="4" t="e">
        <f>D270/L270</f>
        <v>#DIV/0!</v>
      </c>
      <c r="N270" s="14" t="e">
        <f>F270/D270</f>
        <v>#DIV/0!</v>
      </c>
    </row>
    <row r="271" spans="1:14">
      <c r="A271" s="4" t="s">
        <v>20</v>
      </c>
      <c r="B271" s="4"/>
      <c r="C271" s="4"/>
      <c r="D271" s="4"/>
      <c r="E271" s="4"/>
      <c r="F271" s="5">
        <f>E269+F269+G269+H269+I269</f>
        <v>28844.226999999999</v>
      </c>
      <c r="G271" s="5"/>
      <c r="H271" s="5"/>
      <c r="I271" s="5"/>
      <c r="J271" s="5"/>
      <c r="K271" s="4"/>
      <c r="L271" s="4"/>
      <c r="M271" s="4"/>
      <c r="N271" s="4"/>
    </row>
    <row r="272" spans="1:14">
      <c r="A272" s="4" t="s">
        <v>21</v>
      </c>
      <c r="B272" s="4"/>
      <c r="C272" s="4"/>
      <c r="D272" s="4"/>
      <c r="E272" s="4"/>
      <c r="F272" s="5">
        <f>F270+G270+H270+I270</f>
        <v>27224.01</v>
      </c>
      <c r="G272" s="5"/>
      <c r="H272" s="5"/>
      <c r="I272" s="5"/>
      <c r="J272" s="5"/>
      <c r="K272" s="4"/>
      <c r="L272" s="4"/>
      <c r="M272" s="4"/>
      <c r="N272" s="4"/>
    </row>
    <row r="273" spans="1:14">
      <c r="A273" s="4" t="s">
        <v>22</v>
      </c>
      <c r="B273" s="4"/>
      <c r="C273" s="4"/>
      <c r="D273" s="4"/>
      <c r="E273" s="4"/>
      <c r="F273" s="5">
        <f>F271-F272</f>
        <v>1620.2170000000006</v>
      </c>
      <c r="G273" s="5"/>
      <c r="H273" s="5"/>
      <c r="I273" s="5"/>
      <c r="J273" s="5"/>
      <c r="K273" s="4"/>
      <c r="L273" s="4"/>
      <c r="M273" s="4"/>
      <c r="N273" s="4"/>
    </row>
    <row r="275" spans="1:14">
      <c r="A275" s="11">
        <v>44866</v>
      </c>
    </row>
    <row r="276" spans="1:14">
      <c r="A276" s="3" t="s">
        <v>1</v>
      </c>
      <c r="B276" s="3" t="s">
        <v>2</v>
      </c>
      <c r="C276" s="3" t="s">
        <v>3</v>
      </c>
      <c r="D276" s="3" t="s">
        <v>4</v>
      </c>
      <c r="E276" s="3" t="s">
        <v>5</v>
      </c>
      <c r="F276" s="3" t="s">
        <v>6</v>
      </c>
      <c r="G276" s="3" t="s">
        <v>7</v>
      </c>
      <c r="H276" s="3" t="s">
        <v>8</v>
      </c>
      <c r="I276" s="3" t="s">
        <v>9</v>
      </c>
      <c r="J276" s="3" t="s">
        <v>10</v>
      </c>
      <c r="K276" s="3" t="s">
        <v>11</v>
      </c>
      <c r="L276" s="3" t="s">
        <v>12</v>
      </c>
      <c r="M276" s="3" t="s">
        <v>13</v>
      </c>
      <c r="N276" s="3" t="s">
        <v>14</v>
      </c>
    </row>
    <row r="277" spans="1:14">
      <c r="A277" s="4" t="s">
        <v>15</v>
      </c>
      <c r="B277" s="4">
        <f>C269</f>
        <v>579649.5</v>
      </c>
      <c r="C277" s="4">
        <v>522756</v>
      </c>
      <c r="D277" s="4">
        <f>C277-B277</f>
        <v>-56893.5</v>
      </c>
      <c r="E277" s="14">
        <f>565.55*1.15</f>
        <v>650.38249999999994</v>
      </c>
      <c r="F277" s="5"/>
      <c r="G277" s="5"/>
      <c r="H277" s="5"/>
      <c r="I277" s="5"/>
      <c r="J277" s="5" t="s">
        <v>18</v>
      </c>
      <c r="K277" s="22" t="s">
        <v>79</v>
      </c>
      <c r="L277" s="4">
        <v>33</v>
      </c>
      <c r="M277" s="4">
        <f>D277/L277</f>
        <v>-1724.0454545454545</v>
      </c>
      <c r="N277" s="14">
        <f>(F277+E277)/D277</f>
        <v>-1.1431578299805777E-2</v>
      </c>
    </row>
    <row r="278" spans="1:14">
      <c r="A278" s="4" t="s">
        <v>17</v>
      </c>
      <c r="B278" s="4">
        <f>C270</f>
        <v>456452</v>
      </c>
      <c r="C278" s="4">
        <v>456452</v>
      </c>
      <c r="D278" s="4">
        <f>C278-B278</f>
        <v>0</v>
      </c>
      <c r="E278" s="4"/>
      <c r="F278" s="5">
        <v>25666.68</v>
      </c>
      <c r="G278" s="5">
        <v>0</v>
      </c>
      <c r="H278" s="5"/>
      <c r="I278" s="5"/>
      <c r="J278" s="5"/>
      <c r="K278" s="4"/>
      <c r="L278" s="4"/>
      <c r="M278" s="4" t="e">
        <f>D278/L278</f>
        <v>#DIV/0!</v>
      </c>
      <c r="N278" s="14" t="e">
        <f>F278/D278</f>
        <v>#DIV/0!</v>
      </c>
    </row>
    <row r="279" spans="1:14">
      <c r="A279" s="4" t="s">
        <v>20</v>
      </c>
      <c r="B279" s="4"/>
      <c r="C279" s="4"/>
      <c r="D279" s="4"/>
      <c r="E279" s="4"/>
      <c r="F279" s="5">
        <f>E277+F277+G277+H277+I277</f>
        <v>650.38249999999994</v>
      </c>
      <c r="G279" s="5"/>
      <c r="H279" s="5"/>
      <c r="I279" s="5"/>
      <c r="J279" s="5"/>
      <c r="K279" s="4"/>
      <c r="L279" s="4"/>
      <c r="M279" s="4"/>
      <c r="N279" s="4"/>
    </row>
    <row r="280" spans="1:14">
      <c r="A280" s="4" t="s">
        <v>21</v>
      </c>
      <c r="B280" s="4"/>
      <c r="C280" s="4"/>
      <c r="D280" s="4"/>
      <c r="E280" s="4"/>
      <c r="F280" s="5">
        <f>F278+G278+H278+I278</f>
        <v>25666.68</v>
      </c>
      <c r="G280" s="5"/>
      <c r="H280" s="5"/>
      <c r="I280" s="5"/>
      <c r="J280" s="5"/>
      <c r="K280" s="4"/>
      <c r="L280" s="4"/>
      <c r="M280" s="4"/>
      <c r="N280" s="4"/>
    </row>
    <row r="281" spans="1:14">
      <c r="A281" s="4" t="s">
        <v>22</v>
      </c>
      <c r="B281" s="4"/>
      <c r="C281" s="4"/>
      <c r="D281" s="4"/>
      <c r="E281" s="4"/>
      <c r="F281" s="5">
        <f>F279-F280</f>
        <v>-25016.297500000001</v>
      </c>
      <c r="G281" s="5"/>
      <c r="H281" s="5"/>
      <c r="I281" s="5"/>
      <c r="J281" s="5"/>
      <c r="K281" s="4"/>
      <c r="L281" s="4"/>
      <c r="M281" s="4"/>
      <c r="N281" s="4"/>
    </row>
    <row r="283" spans="1:14">
      <c r="A283" s="11">
        <v>44896</v>
      </c>
    </row>
    <row r="284" spans="1:14">
      <c r="A284" s="3" t="s">
        <v>1</v>
      </c>
      <c r="B284" s="3" t="s">
        <v>2</v>
      </c>
      <c r="C284" s="3" t="s">
        <v>3</v>
      </c>
      <c r="D284" s="3" t="s">
        <v>4</v>
      </c>
      <c r="E284" s="3" t="s">
        <v>5</v>
      </c>
      <c r="F284" s="3" t="s">
        <v>6</v>
      </c>
      <c r="G284" s="3" t="s">
        <v>7</v>
      </c>
      <c r="H284" s="3" t="s">
        <v>8</v>
      </c>
      <c r="I284" s="3" t="s">
        <v>9</v>
      </c>
      <c r="J284" s="3" t="s">
        <v>10</v>
      </c>
      <c r="K284" s="3" t="s">
        <v>11</v>
      </c>
      <c r="L284" s="3" t="s">
        <v>12</v>
      </c>
      <c r="M284" s="3" t="s">
        <v>13</v>
      </c>
      <c r="N284" s="3" t="s">
        <v>14</v>
      </c>
    </row>
    <row r="285" spans="1:14">
      <c r="A285" s="4" t="s">
        <v>15</v>
      </c>
      <c r="B285" s="4">
        <f>C277</f>
        <v>522756</v>
      </c>
      <c r="C285" s="4">
        <v>522756</v>
      </c>
      <c r="D285" s="4">
        <f>C285-B285</f>
        <v>0</v>
      </c>
      <c r="E285" s="14">
        <f>494.37*1.15</f>
        <v>568.52549999999997</v>
      </c>
      <c r="F285" s="5"/>
      <c r="G285" s="5"/>
      <c r="H285" s="5"/>
      <c r="I285" s="5"/>
      <c r="J285" s="5" t="s">
        <v>18</v>
      </c>
      <c r="K285" s="22" t="s">
        <v>80</v>
      </c>
      <c r="L285" s="4">
        <v>31</v>
      </c>
      <c r="M285" s="4">
        <f>D285/L285</f>
        <v>0</v>
      </c>
      <c r="N285" s="14" t="e">
        <f>(F285+E285)/D285</f>
        <v>#DIV/0!</v>
      </c>
    </row>
    <row r="286" spans="1:14">
      <c r="A286" s="4" t="s">
        <v>17</v>
      </c>
      <c r="B286" s="4">
        <f>C278</f>
        <v>456452</v>
      </c>
      <c r="C286" s="4">
        <v>456452</v>
      </c>
      <c r="D286" s="4">
        <f>C286-B286</f>
        <v>0</v>
      </c>
      <c r="E286" s="4"/>
      <c r="F286" s="5">
        <v>25666.68</v>
      </c>
      <c r="G286" s="5">
        <v>0</v>
      </c>
      <c r="H286" s="5"/>
      <c r="I286" s="5"/>
      <c r="J286" s="5"/>
      <c r="K286" s="4"/>
      <c r="L286" s="4"/>
      <c r="M286" s="4" t="e">
        <f>D286/L286</f>
        <v>#DIV/0!</v>
      </c>
      <c r="N286" s="14" t="e">
        <f>F286/D286</f>
        <v>#DIV/0!</v>
      </c>
    </row>
    <row r="287" spans="1:14">
      <c r="A287" s="4" t="s">
        <v>20</v>
      </c>
      <c r="B287" s="4"/>
      <c r="C287" s="4"/>
      <c r="D287" s="4"/>
      <c r="E287" s="4"/>
      <c r="F287" s="5">
        <f>E285+F285+G285+H285+I285</f>
        <v>568.52549999999997</v>
      </c>
      <c r="G287" s="5"/>
      <c r="H287" s="5"/>
      <c r="I287" s="5"/>
      <c r="J287" s="5"/>
      <c r="K287" s="4"/>
      <c r="L287" s="4"/>
      <c r="M287" s="4"/>
      <c r="N287" s="4"/>
    </row>
    <row r="288" spans="1:14">
      <c r="A288" s="4" t="s">
        <v>21</v>
      </c>
      <c r="B288" s="4"/>
      <c r="C288" s="4"/>
      <c r="D288" s="4"/>
      <c r="E288" s="4"/>
      <c r="F288" s="5">
        <f>F286+G286+H286+I286</f>
        <v>25666.68</v>
      </c>
      <c r="G288" s="5"/>
      <c r="H288" s="5"/>
      <c r="I288" s="5"/>
      <c r="J288" s="5"/>
      <c r="K288" s="4"/>
      <c r="L288" s="4"/>
      <c r="M288" s="4"/>
      <c r="N288" s="4"/>
    </row>
    <row r="289" spans="1:14">
      <c r="A289" s="4" t="s">
        <v>22</v>
      </c>
      <c r="B289" s="4"/>
      <c r="C289" s="4"/>
      <c r="D289" s="4"/>
      <c r="E289" s="4"/>
      <c r="F289" s="5">
        <f>F287-F288</f>
        <v>-25098.154500000001</v>
      </c>
      <c r="G289" s="5"/>
      <c r="H289" s="5"/>
      <c r="I289" s="5"/>
      <c r="J289" s="5"/>
      <c r="K289" s="4"/>
      <c r="L289" s="4"/>
      <c r="M289" s="4"/>
      <c r="N289" s="4"/>
    </row>
  </sheetData>
  <pageMargins left="0.25" right="0.25" top="0.75" bottom="0.75" header="0.3" footer="0.3"/>
  <pageSetup paperSize="9" scale="77" fitToHeight="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2555-1CC9-4C56-865B-7A28BFCA4E92}">
  <dimension ref="A1:AB16"/>
  <sheetViews>
    <sheetView workbookViewId="0">
      <selection activeCell="AA15" sqref="AA15"/>
    </sheetView>
  </sheetViews>
  <sheetFormatPr defaultRowHeight="15"/>
  <cols>
    <col min="12" max="12" width="9.140625" customWidth="1"/>
    <col min="13" max="14" width="12.5703125" hidden="1" customWidth="1"/>
    <col min="15" max="15" width="17.42578125" hidden="1" customWidth="1"/>
    <col min="16" max="16" width="9.140625" customWidth="1"/>
    <col min="17" max="18" width="12.7109375" hidden="1" customWidth="1"/>
    <col min="19" max="19" width="20" hidden="1" customWidth="1"/>
    <col min="20" max="20" width="7.85546875" bestFit="1" customWidth="1"/>
    <col min="21" max="21" width="13.28515625" hidden="1" customWidth="1"/>
    <col min="22" max="22" width="12.7109375" hidden="1" customWidth="1"/>
    <col min="23" max="24" width="17.42578125" hidden="1" customWidth="1"/>
    <col min="26" max="27" width="13.28515625" bestFit="1" customWidth="1"/>
    <col min="28" max="28" width="17.42578125" bestFit="1" customWidth="1"/>
  </cols>
  <sheetData>
    <row r="1" spans="1:28" ht="18.75">
      <c r="A1" s="1" t="s">
        <v>81</v>
      </c>
    </row>
    <row r="3" spans="1:28">
      <c r="M3" t="s">
        <v>82</v>
      </c>
      <c r="N3" t="s">
        <v>83</v>
      </c>
      <c r="O3" t="s">
        <v>84</v>
      </c>
      <c r="Q3" t="s">
        <v>82</v>
      </c>
      <c r="R3" t="s">
        <v>83</v>
      </c>
      <c r="S3" t="s">
        <v>84</v>
      </c>
      <c r="U3" t="s">
        <v>82</v>
      </c>
      <c r="V3" t="s">
        <v>83</v>
      </c>
      <c r="W3" t="s">
        <v>84</v>
      </c>
      <c r="Z3" t="s">
        <v>82</v>
      </c>
      <c r="AA3" t="s">
        <v>83</v>
      </c>
      <c r="AB3" t="s">
        <v>84</v>
      </c>
    </row>
    <row r="4" spans="1:28">
      <c r="L4" s="2">
        <v>43831</v>
      </c>
      <c r="M4" s="10">
        <v>20436.189999999999</v>
      </c>
      <c r="N4" s="10">
        <v>31790.38</v>
      </c>
      <c r="O4" s="12" t="s">
        <v>85</v>
      </c>
      <c r="P4" s="2">
        <v>43891</v>
      </c>
      <c r="Q4" s="10">
        <v>29218.45</v>
      </c>
      <c r="R4" s="10">
        <v>22803.41</v>
      </c>
      <c r="S4" s="12" t="s">
        <v>85</v>
      </c>
      <c r="T4" s="2">
        <v>44256</v>
      </c>
      <c r="U4" s="10">
        <v>27734.964</v>
      </c>
      <c r="V4" s="10">
        <v>23553.370000000003</v>
      </c>
      <c r="W4" s="12" t="s">
        <v>85</v>
      </c>
      <c r="Y4" s="2">
        <v>44621</v>
      </c>
      <c r="Z4" s="10">
        <v>1018.348</v>
      </c>
      <c r="AA4" s="10"/>
      <c r="AB4" s="20" t="s">
        <v>86</v>
      </c>
    </row>
    <row r="5" spans="1:28">
      <c r="L5" s="2">
        <v>43862</v>
      </c>
      <c r="M5" s="10">
        <v>26743.95</v>
      </c>
      <c r="N5" s="10">
        <v>29119.09</v>
      </c>
      <c r="O5" s="12" t="s">
        <v>85</v>
      </c>
      <c r="P5" s="2">
        <v>43922</v>
      </c>
      <c r="Q5" s="10">
        <v>29026.644</v>
      </c>
      <c r="R5" s="10">
        <v>20131.88</v>
      </c>
      <c r="S5" s="12" t="s">
        <v>85</v>
      </c>
      <c r="T5" s="2">
        <v>44287</v>
      </c>
      <c r="U5" s="15">
        <v>28533.593000000001</v>
      </c>
      <c r="V5" s="10">
        <v>29362.58</v>
      </c>
      <c r="W5" s="12" t="s">
        <v>85</v>
      </c>
      <c r="Y5" s="2">
        <v>44652</v>
      </c>
      <c r="Z5" s="15">
        <v>1474.9</v>
      </c>
      <c r="AA5" s="10">
        <v>24544.400000000001</v>
      </c>
      <c r="AB5" s="12"/>
    </row>
    <row r="6" spans="1:28">
      <c r="L6" s="2"/>
      <c r="M6" s="10"/>
      <c r="N6" s="10"/>
      <c r="O6" s="12"/>
      <c r="P6" s="2">
        <v>43952</v>
      </c>
      <c r="Q6" s="10">
        <v>30838.190000000002</v>
      </c>
      <c r="R6" s="10">
        <v>28139.05</v>
      </c>
      <c r="S6" s="12" t="s">
        <v>85</v>
      </c>
      <c r="T6" s="2">
        <v>44317</v>
      </c>
      <c r="U6" s="10">
        <v>33078.231500000002</v>
      </c>
      <c r="V6" s="10">
        <v>29522.38</v>
      </c>
      <c r="W6" s="12" t="s">
        <v>85</v>
      </c>
      <c r="Y6" s="2">
        <v>44682</v>
      </c>
      <c r="Z6" s="10">
        <v>35039.605499999998</v>
      </c>
      <c r="AA6" s="18">
        <v>27197.48</v>
      </c>
      <c r="AB6" s="21" t="s">
        <v>87</v>
      </c>
    </row>
    <row r="7" spans="1:28">
      <c r="L7" s="2"/>
      <c r="M7" s="10"/>
      <c r="N7" s="10"/>
      <c r="O7" s="12"/>
      <c r="P7" s="17">
        <v>43983</v>
      </c>
      <c r="Q7" s="18">
        <v>35088.294000000002</v>
      </c>
      <c r="R7" s="18">
        <v>29045.879999999997</v>
      </c>
      <c r="S7" s="19" t="s">
        <v>85</v>
      </c>
      <c r="T7" s="17">
        <v>44348</v>
      </c>
      <c r="U7" s="18">
        <v>47152.184999999998</v>
      </c>
      <c r="V7" s="18">
        <v>37850.14</v>
      </c>
      <c r="W7" s="19" t="s">
        <v>85</v>
      </c>
      <c r="X7" s="16" t="s">
        <v>88</v>
      </c>
      <c r="Y7" s="17">
        <v>44713</v>
      </c>
      <c r="Z7" s="18">
        <v>41074.916000000005</v>
      </c>
      <c r="AA7" s="10">
        <v>32431.71</v>
      </c>
      <c r="AB7" s="19"/>
    </row>
    <row r="8" spans="1:28">
      <c r="L8" s="2"/>
      <c r="M8" s="10"/>
      <c r="N8" s="10"/>
      <c r="O8" s="12"/>
      <c r="P8" s="2">
        <v>44013</v>
      </c>
      <c r="Q8" s="10">
        <v>31736.379999999997</v>
      </c>
      <c r="R8" s="10">
        <v>41959.09</v>
      </c>
      <c r="S8" s="12" t="s">
        <v>85</v>
      </c>
      <c r="T8" s="2">
        <v>44378</v>
      </c>
      <c r="U8" s="10">
        <v>52199.368499999997</v>
      </c>
      <c r="V8" s="10">
        <v>41875.97</v>
      </c>
      <c r="W8" s="12" t="s">
        <v>85</v>
      </c>
      <c r="Y8" s="2">
        <v>44743</v>
      </c>
      <c r="Z8" s="10">
        <v>36295.360500000003</v>
      </c>
      <c r="AA8" s="10">
        <v>34473.839999999997</v>
      </c>
      <c r="AB8" s="12"/>
    </row>
    <row r="9" spans="1:28">
      <c r="L9" s="17"/>
      <c r="M9" s="18"/>
      <c r="N9" s="18"/>
      <c r="O9" s="19"/>
      <c r="P9" s="2">
        <v>44044</v>
      </c>
      <c r="Q9" s="10">
        <v>34311.870000000003</v>
      </c>
      <c r="R9" s="10">
        <v>35485.199999999997</v>
      </c>
      <c r="S9" s="12" t="s">
        <v>89</v>
      </c>
      <c r="T9" s="2">
        <v>44409</v>
      </c>
      <c r="U9" s="10">
        <v>28872.0465</v>
      </c>
      <c r="V9" s="10">
        <v>40585.46</v>
      </c>
      <c r="W9" s="12" t="s">
        <v>85</v>
      </c>
      <c r="Y9" s="2">
        <v>44774</v>
      </c>
      <c r="Z9" s="10">
        <v>39025.070500000002</v>
      </c>
      <c r="AA9" s="10">
        <v>34689.79</v>
      </c>
      <c r="AB9" s="12"/>
    </row>
    <row r="10" spans="1:28">
      <c r="L10" s="2"/>
      <c r="M10" s="10"/>
      <c r="N10" s="10"/>
      <c r="O10" s="12"/>
      <c r="P10" s="2">
        <v>44075</v>
      </c>
      <c r="Q10" s="10">
        <v>29745.361499999999</v>
      </c>
      <c r="R10" s="10">
        <v>32011.070000000003</v>
      </c>
      <c r="S10" s="12" t="s">
        <v>85</v>
      </c>
      <c r="T10" s="2">
        <v>44440</v>
      </c>
      <c r="U10" s="10">
        <v>34711.3505</v>
      </c>
      <c r="V10" s="10">
        <v>35201.67</v>
      </c>
      <c r="W10" s="12" t="s">
        <v>85</v>
      </c>
      <c r="Y10" s="2">
        <v>44805</v>
      </c>
      <c r="Z10" s="10">
        <v>35185.827499999999</v>
      </c>
      <c r="AA10" s="10">
        <v>34689.79</v>
      </c>
      <c r="AB10" s="12"/>
    </row>
    <row r="11" spans="1:28">
      <c r="L11" s="2"/>
      <c r="M11" s="10"/>
      <c r="N11" s="10"/>
      <c r="O11" s="12"/>
      <c r="P11" s="2">
        <v>44105</v>
      </c>
      <c r="Q11" s="10">
        <v>29569.788999999997</v>
      </c>
      <c r="R11" s="10">
        <v>28320.59</v>
      </c>
      <c r="S11" s="12" t="s">
        <v>85</v>
      </c>
      <c r="T11" s="2">
        <v>44470</v>
      </c>
      <c r="U11" s="10">
        <v>31091.071</v>
      </c>
      <c r="V11" s="10">
        <v>28892.31</v>
      </c>
      <c r="W11" s="12" t="s">
        <v>85</v>
      </c>
      <c r="Y11" s="2">
        <v>44835</v>
      </c>
      <c r="Z11" s="10">
        <v>28844.226999999999</v>
      </c>
      <c r="AA11" s="10">
        <v>27224.01</v>
      </c>
      <c r="AB11" s="12"/>
    </row>
    <row r="12" spans="1:28">
      <c r="L12" s="2"/>
      <c r="M12" s="10"/>
      <c r="N12" s="10"/>
      <c r="O12" s="12"/>
      <c r="P12" s="2">
        <v>44136</v>
      </c>
      <c r="Q12" s="10">
        <v>26760.641500000002</v>
      </c>
      <c r="R12" s="10"/>
      <c r="T12" s="2">
        <v>44501</v>
      </c>
      <c r="U12" s="10">
        <v>28402.948499999999</v>
      </c>
      <c r="V12" s="10">
        <v>27439.88</v>
      </c>
      <c r="W12" s="12" t="s">
        <v>85</v>
      </c>
      <c r="Y12" s="2">
        <v>44866</v>
      </c>
      <c r="Z12" s="10"/>
      <c r="AA12" s="10">
        <v>25666.68</v>
      </c>
      <c r="AB12" s="12"/>
    </row>
    <row r="13" spans="1:28">
      <c r="L13" s="2"/>
      <c r="M13" s="10"/>
      <c r="N13" s="10"/>
      <c r="O13" s="12"/>
      <c r="P13" s="2">
        <v>44166</v>
      </c>
      <c r="Q13" s="10">
        <v>26823.9715</v>
      </c>
      <c r="R13" s="10"/>
      <c r="T13" s="2">
        <v>44531</v>
      </c>
      <c r="U13" s="10"/>
      <c r="V13" s="10">
        <v>32501.45</v>
      </c>
      <c r="W13" s="12" t="s">
        <v>85</v>
      </c>
      <c r="Y13" s="2">
        <v>44896</v>
      </c>
      <c r="Z13" s="10"/>
      <c r="AA13" s="10">
        <v>24841.52</v>
      </c>
      <c r="AB13" s="12"/>
    </row>
    <row r="14" spans="1:28">
      <c r="L14" s="2"/>
      <c r="M14" s="10"/>
      <c r="N14" s="10"/>
      <c r="P14" s="2">
        <v>44197</v>
      </c>
      <c r="Q14" s="10">
        <v>31787.5615</v>
      </c>
      <c r="R14" s="10">
        <v>5942.7800000000007</v>
      </c>
      <c r="S14" s="12" t="s">
        <v>90</v>
      </c>
      <c r="T14" s="2">
        <v>44562</v>
      </c>
      <c r="U14" s="10">
        <v>31869.555</v>
      </c>
      <c r="V14" s="10">
        <v>28107.759999999998</v>
      </c>
      <c r="W14" s="12" t="s">
        <v>85</v>
      </c>
      <c r="Y14" s="2">
        <v>44927</v>
      </c>
      <c r="Z14" s="10"/>
      <c r="AA14" s="10">
        <v>21995.74</v>
      </c>
      <c r="AB14" s="12"/>
    </row>
    <row r="15" spans="1:28">
      <c r="L15" s="2"/>
      <c r="M15" s="10"/>
      <c r="N15" s="10"/>
      <c r="P15" s="2">
        <v>44228</v>
      </c>
      <c r="Q15" s="10">
        <v>18770.031500000001</v>
      </c>
      <c r="R15" s="10">
        <v>23958.13</v>
      </c>
      <c r="S15" s="12" t="s">
        <v>85</v>
      </c>
      <c r="T15" s="2">
        <v>44593</v>
      </c>
      <c r="U15" s="10">
        <v>29732.236999999997</v>
      </c>
      <c r="V15" s="10">
        <v>3536.26</v>
      </c>
      <c r="W15" s="12" t="s">
        <v>85</v>
      </c>
      <c r="Y15" s="2">
        <v>44958</v>
      </c>
      <c r="Z15" s="10"/>
      <c r="AA15" s="10"/>
      <c r="AB15" s="12"/>
    </row>
    <row r="16" spans="1:28">
      <c r="M16" s="9">
        <f>SUM(M4:M15)</f>
        <v>47180.14</v>
      </c>
      <c r="N16" s="9">
        <f>SUM(N4:N15)</f>
        <v>60909.47</v>
      </c>
      <c r="O16" s="9">
        <f>M16-N16</f>
        <v>-13729.330000000002</v>
      </c>
      <c r="Q16" s="9">
        <f>SUM(Q4:Q15)</f>
        <v>353677.18449999997</v>
      </c>
      <c r="R16" s="9">
        <f>SUM(R4:R15)</f>
        <v>267797.08</v>
      </c>
      <c r="S16" s="9">
        <f>Q16-R16</f>
        <v>85880.104499999958</v>
      </c>
      <c r="U16" s="9">
        <f>SUM(U4:U15)</f>
        <v>373377.55050000001</v>
      </c>
      <c r="V16" s="9">
        <f>SUM(V4:V15)</f>
        <v>358429.23000000004</v>
      </c>
      <c r="W16" s="9">
        <f>U16-V16</f>
        <v>14948.320499999973</v>
      </c>
      <c r="Z16" s="9">
        <f>SUM(Z4:Z15)</f>
        <v>217958.255</v>
      </c>
      <c r="AA16" s="9">
        <f>SUM(AA4:AA15)</f>
        <v>287754.96000000002</v>
      </c>
      <c r="AB16" s="9">
        <f>Z16-AA16</f>
        <v>-69796.705000000016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25F3-38C4-4FBF-99B0-BAFA94EFB035}">
  <dimension ref="A1:W36"/>
  <sheetViews>
    <sheetView workbookViewId="0">
      <selection activeCell="V32" sqref="V32"/>
    </sheetView>
  </sheetViews>
  <sheetFormatPr defaultRowHeight="15"/>
  <cols>
    <col min="13" max="14" width="9.140625" hidden="1" customWidth="1"/>
    <col min="16" max="17" width="9.140625" hidden="1" customWidth="1"/>
    <col min="19" max="20" width="0" hidden="1" customWidth="1"/>
  </cols>
  <sheetData>
    <row r="1" spans="1:23" ht="18.75">
      <c r="A1" s="1" t="s">
        <v>91</v>
      </c>
    </row>
    <row r="3" spans="1:23">
      <c r="M3" t="s">
        <v>82</v>
      </c>
      <c r="N3" t="s">
        <v>83</v>
      </c>
      <c r="P3" t="s">
        <v>82</v>
      </c>
      <c r="Q3" t="s">
        <v>83</v>
      </c>
      <c r="S3" t="s">
        <v>82</v>
      </c>
      <c r="T3" t="s">
        <v>83</v>
      </c>
      <c r="V3" t="s">
        <v>82</v>
      </c>
      <c r="W3" t="s">
        <v>83</v>
      </c>
    </row>
    <row r="4" spans="1:23">
      <c r="L4" s="2">
        <v>43831</v>
      </c>
      <c r="M4" s="6">
        <v>0</v>
      </c>
      <c r="N4" s="6">
        <v>38627</v>
      </c>
      <c r="O4" s="2">
        <v>43891</v>
      </c>
      <c r="P4">
        <v>11953</v>
      </c>
      <c r="Q4" s="6">
        <v>12018</v>
      </c>
      <c r="R4" s="2">
        <v>44256</v>
      </c>
      <c r="S4">
        <v>11694</v>
      </c>
      <c r="T4">
        <v>11675</v>
      </c>
      <c r="U4" s="2">
        <v>44621</v>
      </c>
      <c r="V4">
        <v>11770</v>
      </c>
    </row>
    <row r="5" spans="1:23">
      <c r="L5" s="2">
        <v>43862</v>
      </c>
      <c r="M5">
        <v>12972</v>
      </c>
      <c r="N5" s="6">
        <v>54077</v>
      </c>
      <c r="O5" s="2">
        <v>43922</v>
      </c>
      <c r="P5">
        <v>11953</v>
      </c>
      <c r="Q5">
        <v>38033</v>
      </c>
      <c r="R5" s="2">
        <v>44287</v>
      </c>
      <c r="S5">
        <v>12665</v>
      </c>
      <c r="T5">
        <v>14649</v>
      </c>
      <c r="U5" s="2">
        <v>44652</v>
      </c>
      <c r="V5">
        <v>11168</v>
      </c>
    </row>
    <row r="6" spans="1:23">
      <c r="O6" s="2">
        <v>43952</v>
      </c>
      <c r="P6" s="6">
        <v>12617</v>
      </c>
      <c r="Q6" s="6">
        <v>14918</v>
      </c>
      <c r="R6" s="2">
        <v>44317</v>
      </c>
      <c r="S6">
        <v>13040</v>
      </c>
      <c r="T6">
        <v>14730</v>
      </c>
      <c r="U6" s="2">
        <v>44682</v>
      </c>
      <c r="V6">
        <v>17466</v>
      </c>
    </row>
    <row r="7" spans="1:23">
      <c r="O7" s="2">
        <v>43983</v>
      </c>
      <c r="P7">
        <v>10059</v>
      </c>
      <c r="Q7">
        <v>15411</v>
      </c>
      <c r="R7" s="2">
        <v>44348</v>
      </c>
      <c r="S7">
        <v>23469</v>
      </c>
      <c r="T7">
        <v>18992</v>
      </c>
      <c r="U7" s="2">
        <v>44713</v>
      </c>
      <c r="V7">
        <v>17402.3</v>
      </c>
    </row>
    <row r="8" spans="1:23">
      <c r="O8" s="2">
        <v>44013</v>
      </c>
      <c r="P8" s="6">
        <v>34011</v>
      </c>
      <c r="Q8" s="6">
        <v>21338</v>
      </c>
      <c r="R8" s="2">
        <v>44378</v>
      </c>
      <c r="S8">
        <v>19738</v>
      </c>
      <c r="T8">
        <v>18486</v>
      </c>
      <c r="U8" s="2">
        <v>44743</v>
      </c>
      <c r="V8">
        <v>14805.9</v>
      </c>
    </row>
    <row r="9" spans="1:23">
      <c r="O9" s="2">
        <v>44044</v>
      </c>
      <c r="P9">
        <v>11645</v>
      </c>
      <c r="Q9" s="6">
        <v>17782</v>
      </c>
      <c r="R9" s="2">
        <v>44409</v>
      </c>
      <c r="S9">
        <v>17393</v>
      </c>
      <c r="T9">
        <v>17747</v>
      </c>
      <c r="U9" s="2">
        <v>44774</v>
      </c>
      <c r="V9">
        <v>15736.7</v>
      </c>
    </row>
    <row r="10" spans="1:23">
      <c r="O10" s="2">
        <v>44075</v>
      </c>
      <c r="P10">
        <v>17160</v>
      </c>
      <c r="Q10" s="6">
        <v>15994</v>
      </c>
      <c r="R10" s="2">
        <v>44440</v>
      </c>
      <c r="S10">
        <v>13800</v>
      </c>
      <c r="T10">
        <v>15343</v>
      </c>
      <c r="U10" s="2">
        <v>44805</v>
      </c>
      <c r="V10">
        <v>12229</v>
      </c>
    </row>
    <row r="11" spans="1:23">
      <c r="O11" s="2">
        <v>44105</v>
      </c>
      <c r="P11">
        <v>17083</v>
      </c>
      <c r="Q11">
        <v>14115</v>
      </c>
      <c r="R11" s="2">
        <v>44470</v>
      </c>
      <c r="S11">
        <v>11900</v>
      </c>
      <c r="T11">
        <v>12525</v>
      </c>
      <c r="U11" s="2">
        <v>44835</v>
      </c>
      <c r="V11">
        <v>12038.6</v>
      </c>
    </row>
    <row r="12" spans="1:23">
      <c r="O12" s="2">
        <v>44136</v>
      </c>
      <c r="P12" s="6">
        <v>14378</v>
      </c>
      <c r="Q12" s="6"/>
      <c r="R12" s="2">
        <v>44501</v>
      </c>
      <c r="S12">
        <v>14147</v>
      </c>
      <c r="T12">
        <v>11876</v>
      </c>
      <c r="U12" s="2">
        <v>44866</v>
      </c>
    </row>
    <row r="13" spans="1:23">
      <c r="O13" s="2">
        <v>44166</v>
      </c>
      <c r="P13" s="6">
        <v>23431</v>
      </c>
      <c r="R13" s="2">
        <v>44531</v>
      </c>
      <c r="T13">
        <v>14137</v>
      </c>
      <c r="U13" s="2">
        <v>44896</v>
      </c>
    </row>
    <row r="14" spans="1:23">
      <c r="O14" s="2">
        <v>44197</v>
      </c>
      <c r="P14">
        <v>12602</v>
      </c>
      <c r="Q14">
        <v>1902</v>
      </c>
      <c r="R14" s="2">
        <v>44562</v>
      </c>
      <c r="S14">
        <v>22674</v>
      </c>
      <c r="T14">
        <v>12174</v>
      </c>
      <c r="U14" s="2">
        <v>44927</v>
      </c>
    </row>
    <row r="15" spans="1:23">
      <c r="O15" s="2">
        <v>44228</v>
      </c>
      <c r="P15">
        <v>8048</v>
      </c>
      <c r="Q15">
        <v>11882</v>
      </c>
      <c r="R15" s="2">
        <v>44593</v>
      </c>
      <c r="S15">
        <v>13549</v>
      </c>
      <c r="T15">
        <v>1579</v>
      </c>
      <c r="U15" s="2">
        <v>44958</v>
      </c>
    </row>
    <row r="23" spans="12:23">
      <c r="L23" s="13" t="s">
        <v>92</v>
      </c>
    </row>
    <row r="24" spans="12:23">
      <c r="M24" t="s">
        <v>82</v>
      </c>
      <c r="N24" t="s">
        <v>83</v>
      </c>
      <c r="P24" t="s">
        <v>82</v>
      </c>
      <c r="Q24" t="s">
        <v>83</v>
      </c>
      <c r="S24" t="s">
        <v>82</v>
      </c>
      <c r="T24" t="s">
        <v>83</v>
      </c>
      <c r="V24" t="s">
        <v>82</v>
      </c>
      <c r="W24" t="s">
        <v>83</v>
      </c>
    </row>
    <row r="25" spans="12:23">
      <c r="L25" s="2">
        <v>43831</v>
      </c>
      <c r="M25" s="6">
        <v>0</v>
      </c>
      <c r="N25" s="6">
        <v>429</v>
      </c>
      <c r="O25" s="2">
        <v>43891</v>
      </c>
      <c r="P25" s="6">
        <v>412.17241379310343</v>
      </c>
      <c r="Q25" s="6">
        <v>429.21428571428572</v>
      </c>
      <c r="R25" s="2">
        <v>44256</v>
      </c>
      <c r="S25" s="6">
        <v>354.36363636363637</v>
      </c>
      <c r="T25" s="6">
        <v>402.58620689655174</v>
      </c>
      <c r="U25" s="2">
        <v>44621</v>
      </c>
      <c r="V25" s="6">
        <v>346</v>
      </c>
      <c r="W25" s="6"/>
    </row>
    <row r="26" spans="12:23">
      <c r="L26" s="2">
        <v>43862</v>
      </c>
      <c r="M26" s="6">
        <v>480.44444444444446</v>
      </c>
      <c r="N26" s="6">
        <v>1590.5</v>
      </c>
      <c r="O26" s="2">
        <v>43922</v>
      </c>
      <c r="P26" s="6">
        <v>352</v>
      </c>
      <c r="Q26" s="6">
        <v>409</v>
      </c>
      <c r="R26" s="2">
        <v>44287</v>
      </c>
      <c r="S26" s="6">
        <v>436.72413793103448</v>
      </c>
      <c r="T26" s="6">
        <v>430.85294117647061</v>
      </c>
      <c r="U26" s="2">
        <v>44652</v>
      </c>
      <c r="V26" s="6">
        <v>398.85714285714283</v>
      </c>
      <c r="W26" s="6"/>
    </row>
    <row r="27" spans="12:23">
      <c r="O27" s="2">
        <v>43952</v>
      </c>
      <c r="P27" s="6">
        <v>435.06896551724139</v>
      </c>
      <c r="Q27" s="6">
        <v>438.76470588235293</v>
      </c>
      <c r="R27" s="2">
        <v>44317</v>
      </c>
      <c r="S27" s="6">
        <v>465.71428571428572</v>
      </c>
      <c r="T27" s="6">
        <v>526.07142857142856</v>
      </c>
      <c r="U27" s="2">
        <v>44682</v>
      </c>
      <c r="V27" s="6">
        <v>447.84615384615387</v>
      </c>
      <c r="W27" s="6"/>
    </row>
    <row r="28" spans="12:23">
      <c r="O28" s="2">
        <v>43983</v>
      </c>
      <c r="P28" s="6">
        <v>324.48387096774195</v>
      </c>
      <c r="Q28" s="6">
        <v>593</v>
      </c>
      <c r="R28" s="2">
        <v>44348</v>
      </c>
      <c r="S28" s="6">
        <v>617.60526315789468</v>
      </c>
      <c r="T28" s="6">
        <v>593.5</v>
      </c>
      <c r="U28" s="2">
        <v>44713</v>
      </c>
      <c r="V28" s="6">
        <v>621.51071428571424</v>
      </c>
      <c r="W28" s="6"/>
    </row>
    <row r="29" spans="12:23">
      <c r="O29" s="2">
        <v>44013</v>
      </c>
      <c r="P29" s="6">
        <v>1097.1290322580646</v>
      </c>
      <c r="Q29" s="6">
        <v>496.23255813953489</v>
      </c>
      <c r="R29" s="2">
        <v>44378</v>
      </c>
      <c r="S29" s="6">
        <v>704.92857142857144</v>
      </c>
      <c r="T29" s="6">
        <v>660.21428571428567</v>
      </c>
      <c r="U29" s="2">
        <v>44743</v>
      </c>
      <c r="V29" s="6">
        <v>528.78214285714284</v>
      </c>
      <c r="W29" s="6"/>
    </row>
    <row r="30" spans="12:23">
      <c r="O30" s="2">
        <v>44044</v>
      </c>
      <c r="P30" s="6">
        <v>375.64516129032256</v>
      </c>
      <c r="Q30" s="6">
        <v>592.73333333333335</v>
      </c>
      <c r="R30" s="2">
        <v>44409</v>
      </c>
      <c r="S30" s="6">
        <v>579.76666666666665</v>
      </c>
      <c r="T30" s="6">
        <v>572.48387096774195</v>
      </c>
      <c r="U30" s="2">
        <v>44774</v>
      </c>
      <c r="V30" s="6">
        <v>542.64482758620693</v>
      </c>
      <c r="W30" s="6"/>
    </row>
    <row r="31" spans="12:23">
      <c r="O31" s="2">
        <v>44075</v>
      </c>
      <c r="P31">
        <v>572</v>
      </c>
      <c r="Q31" s="6">
        <v>533.13333333333333</v>
      </c>
      <c r="R31" s="2">
        <v>44440</v>
      </c>
      <c r="S31" s="6">
        <v>511.11111111111109</v>
      </c>
      <c r="T31" s="6">
        <v>479.46875</v>
      </c>
      <c r="U31" s="2">
        <v>44805</v>
      </c>
      <c r="V31" s="6">
        <v>470.34615384615387</v>
      </c>
      <c r="W31" s="6"/>
    </row>
    <row r="32" spans="12:23">
      <c r="O32" s="2">
        <v>44105</v>
      </c>
      <c r="P32" s="6">
        <v>551</v>
      </c>
      <c r="Q32" s="6">
        <v>471</v>
      </c>
      <c r="R32" s="2">
        <v>44470</v>
      </c>
      <c r="S32" s="6">
        <v>410.34482758620692</v>
      </c>
      <c r="T32" s="6">
        <v>431.89655172413791</v>
      </c>
      <c r="U32" s="2">
        <v>44835</v>
      </c>
      <c r="V32" s="6">
        <v>463.02307692307693</v>
      </c>
      <c r="W32" s="6"/>
    </row>
    <row r="33" spans="15:23">
      <c r="O33" s="2">
        <v>44136</v>
      </c>
      <c r="P33" s="6">
        <v>575</v>
      </c>
      <c r="Q33" s="6"/>
      <c r="R33" s="2">
        <v>44501</v>
      </c>
      <c r="S33" s="6">
        <v>416.08823529411762</v>
      </c>
      <c r="T33" s="6">
        <v>409.51724137931035</v>
      </c>
      <c r="U33" s="2">
        <v>44866</v>
      </c>
      <c r="V33" s="6"/>
      <c r="W33" s="6"/>
    </row>
    <row r="34" spans="15:23">
      <c r="O34" s="2">
        <v>44166</v>
      </c>
      <c r="P34" s="6">
        <v>571</v>
      </c>
      <c r="R34" s="2">
        <v>44531</v>
      </c>
      <c r="S34" s="6"/>
      <c r="T34" s="6">
        <v>416</v>
      </c>
      <c r="U34" s="2">
        <v>44896</v>
      </c>
      <c r="V34" s="6"/>
      <c r="W34" s="6"/>
    </row>
    <row r="35" spans="15:23">
      <c r="O35" s="2">
        <v>44197</v>
      </c>
      <c r="P35" s="6">
        <v>466.74074074074076</v>
      </c>
      <c r="Q35" s="6">
        <v>20.451612903225808</v>
      </c>
      <c r="R35" s="2">
        <v>44562</v>
      </c>
      <c r="S35" s="6">
        <v>944.75</v>
      </c>
      <c r="T35" s="6">
        <v>419.79310344827587</v>
      </c>
      <c r="U35" s="2">
        <v>44927</v>
      </c>
    </row>
    <row r="36" spans="15:23">
      <c r="O36" s="2">
        <v>44228</v>
      </c>
      <c r="P36" s="6">
        <v>321.92</v>
      </c>
      <c r="Q36" s="6">
        <v>424.35714285714283</v>
      </c>
      <c r="R36" s="2">
        <v>44593</v>
      </c>
      <c r="S36" s="6">
        <v>467</v>
      </c>
      <c r="T36" s="6">
        <v>395</v>
      </c>
      <c r="U36" s="2">
        <v>44958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4C99-DA24-4375-A138-94EE7D3608E5}">
  <dimension ref="A1:U17"/>
  <sheetViews>
    <sheetView topLeftCell="B2" workbookViewId="0">
      <selection activeCell="T14" sqref="T14"/>
    </sheetView>
  </sheetViews>
  <sheetFormatPr defaultRowHeight="15"/>
  <cols>
    <col min="11" max="12" width="9.140625" hidden="1" customWidth="1"/>
    <col min="14" max="15" width="9.140625" hidden="1" customWidth="1"/>
    <col min="17" max="18" width="0" hidden="1" customWidth="1"/>
  </cols>
  <sheetData>
    <row r="1" spans="1:21" ht="18.75">
      <c r="A1" s="1" t="s">
        <v>93</v>
      </c>
    </row>
    <row r="2" spans="1:21" ht="21">
      <c r="J2" s="7"/>
    </row>
    <row r="5" spans="1:21">
      <c r="K5" t="s">
        <v>82</v>
      </c>
      <c r="L5" t="s">
        <v>83</v>
      </c>
      <c r="N5" t="s">
        <v>82</v>
      </c>
      <c r="O5" t="s">
        <v>83</v>
      </c>
      <c r="Q5" t="s">
        <v>82</v>
      </c>
      <c r="R5" t="s">
        <v>83</v>
      </c>
      <c r="T5" t="s">
        <v>82</v>
      </c>
      <c r="U5" t="s">
        <v>83</v>
      </c>
    </row>
    <row r="6" spans="1:21">
      <c r="J6" s="2">
        <v>43831</v>
      </c>
      <c r="K6" s="8">
        <v>0</v>
      </c>
      <c r="L6" s="8">
        <v>0.82300929401713829</v>
      </c>
      <c r="M6" s="2">
        <v>43891</v>
      </c>
      <c r="N6" s="8">
        <v>2.045581862293985</v>
      </c>
      <c r="O6" s="10">
        <v>1.8974380096521883</v>
      </c>
      <c r="P6" s="2">
        <v>44256</v>
      </c>
      <c r="Q6" s="10">
        <v>2.2679014879425345</v>
      </c>
      <c r="R6" s="10">
        <v>2.0174192719486084</v>
      </c>
      <c r="S6" s="2">
        <v>44621</v>
      </c>
      <c r="T6" s="15">
        <v>0.01</v>
      </c>
      <c r="U6" s="15"/>
    </row>
    <row r="7" spans="1:21">
      <c r="J7" s="2">
        <v>43862</v>
      </c>
      <c r="K7" s="10">
        <v>1.6219148936170213</v>
      </c>
      <c r="L7" s="8">
        <v>0.53847458253971192</v>
      </c>
      <c r="M7" s="2">
        <v>43922</v>
      </c>
      <c r="N7" s="8">
        <v>2.21</v>
      </c>
      <c r="O7" s="8">
        <v>0.53</v>
      </c>
      <c r="P7" s="2">
        <v>44287</v>
      </c>
      <c r="Q7" s="10">
        <v>1.8837081721279116</v>
      </c>
      <c r="R7" s="10">
        <v>2.0044084920472387</v>
      </c>
      <c r="S7" s="2">
        <v>44652</v>
      </c>
      <c r="T7" s="15">
        <v>0.13</v>
      </c>
      <c r="U7" s="15"/>
    </row>
    <row r="8" spans="1:21">
      <c r="M8" s="2">
        <v>43952</v>
      </c>
      <c r="N8" s="8">
        <v>2.115905524292621</v>
      </c>
      <c r="O8" s="8">
        <v>1.8862481565893552</v>
      </c>
      <c r="P8" s="2">
        <v>44317</v>
      </c>
      <c r="Q8" s="10">
        <v>2.4</v>
      </c>
      <c r="R8" s="10">
        <v>2.0044084920472387</v>
      </c>
      <c r="S8" s="2">
        <v>44682</v>
      </c>
      <c r="T8" s="15">
        <v>2.0099999999999998</v>
      </c>
      <c r="U8" s="15"/>
    </row>
    <row r="9" spans="1:21">
      <c r="M9" s="2">
        <v>43983</v>
      </c>
      <c r="N9" s="8">
        <v>3.44</v>
      </c>
      <c r="O9" s="8">
        <v>1.88</v>
      </c>
      <c r="P9" s="2">
        <v>44348</v>
      </c>
      <c r="Q9" s="10">
        <v>1.8547360347692703</v>
      </c>
      <c r="R9" s="10">
        <v>1.9929517691659646</v>
      </c>
      <c r="S9" s="2">
        <v>44713</v>
      </c>
      <c r="T9" s="15">
        <v>2.36</v>
      </c>
      <c r="U9" s="15"/>
    </row>
    <row r="10" spans="1:21">
      <c r="M10" s="2">
        <v>44013</v>
      </c>
      <c r="N10" s="8">
        <v>0.92535591426303254</v>
      </c>
      <c r="O10" s="8">
        <v>1.966402193270222</v>
      </c>
      <c r="P10" s="2">
        <v>44378</v>
      </c>
      <c r="Q10" s="10">
        <v>2.3359813557604618</v>
      </c>
      <c r="R10" s="10">
        <v>2.2652802120523639</v>
      </c>
      <c r="S10" s="2">
        <v>44743</v>
      </c>
      <c r="T10" s="15">
        <v>2.4500000000000002</v>
      </c>
      <c r="U10" s="15"/>
    </row>
    <row r="11" spans="1:21">
      <c r="M11" s="2">
        <v>44044</v>
      </c>
      <c r="N11" s="10">
        <v>2.6855783598110778</v>
      </c>
      <c r="O11" s="8">
        <v>1.9955685524687885</v>
      </c>
      <c r="P11" s="2">
        <v>44409</v>
      </c>
      <c r="Q11" s="10">
        <v>1.6110861553498534</v>
      </c>
      <c r="R11" s="10">
        <v>2.238981799740801</v>
      </c>
      <c r="S11" s="2">
        <v>44774</v>
      </c>
      <c r="T11" s="15">
        <v>2.48</v>
      </c>
      <c r="U11" s="15"/>
    </row>
    <row r="12" spans="1:21">
      <c r="M12" s="2">
        <v>44075</v>
      </c>
      <c r="N12" s="10">
        <v>1.51</v>
      </c>
      <c r="O12" s="8">
        <v>2</v>
      </c>
      <c r="P12" s="2">
        <v>44440</v>
      </c>
      <c r="Q12" s="10">
        <v>2.4536902536231882</v>
      </c>
      <c r="R12" s="10">
        <v>2.2388985204979468</v>
      </c>
      <c r="S12" s="2">
        <v>44805</v>
      </c>
      <c r="T12" s="15">
        <v>2.88</v>
      </c>
      <c r="U12" s="15"/>
    </row>
    <row r="13" spans="1:21">
      <c r="M13" s="2">
        <v>44105</v>
      </c>
      <c r="N13" s="8">
        <v>1.57</v>
      </c>
      <c r="O13" s="8">
        <v>2.0099999999999998</v>
      </c>
      <c r="P13" s="2">
        <v>44470</v>
      </c>
      <c r="Q13" s="15">
        <v>2.5412307563025212</v>
      </c>
      <c r="R13" s="10">
        <v>2.2388870259481037</v>
      </c>
      <c r="S13" s="2">
        <v>44835</v>
      </c>
      <c r="T13" s="15">
        <v>2.4</v>
      </c>
      <c r="U13" s="15"/>
    </row>
    <row r="14" spans="1:21">
      <c r="M14" s="2">
        <v>44136</v>
      </c>
      <c r="N14" s="8">
        <v>1.71</v>
      </c>
      <c r="O14" s="8"/>
      <c r="P14" s="2">
        <v>44501</v>
      </c>
      <c r="Q14" s="10">
        <v>1.9475877217784689</v>
      </c>
      <c r="R14" s="10">
        <v>2.2389381946783429</v>
      </c>
      <c r="S14" s="2">
        <v>44866</v>
      </c>
      <c r="T14" s="15"/>
      <c r="U14" s="15"/>
    </row>
    <row r="15" spans="1:21">
      <c r="M15" s="2">
        <v>44166</v>
      </c>
      <c r="N15" s="8">
        <v>1.06</v>
      </c>
      <c r="O15" s="8"/>
      <c r="P15" s="2">
        <v>44531</v>
      </c>
      <c r="Q15" s="10"/>
      <c r="R15" s="10">
        <v>2.2389381946783429</v>
      </c>
      <c r="S15" s="2">
        <v>44896</v>
      </c>
      <c r="T15" s="15"/>
      <c r="U15" s="15"/>
    </row>
    <row r="16" spans="1:21">
      <c r="M16" s="2">
        <v>44197</v>
      </c>
      <c r="N16" s="10">
        <v>1.9360958578003491</v>
      </c>
      <c r="O16" s="10">
        <v>3.1244900105152476</v>
      </c>
      <c r="P16" s="2">
        <v>44562</v>
      </c>
      <c r="Q16" s="15">
        <v>1.3680484255093941</v>
      </c>
      <c r="R16" s="15">
        <v>2.2389937571874485</v>
      </c>
      <c r="S16" s="2">
        <v>44927</v>
      </c>
    </row>
    <row r="17" spans="13:19">
      <c r="M17" s="2">
        <v>44228</v>
      </c>
      <c r="N17" s="10">
        <v>2.2400646123260439</v>
      </c>
      <c r="O17" s="10">
        <v>2.0163381585591651</v>
      </c>
      <c r="P17" s="2">
        <v>44593</v>
      </c>
      <c r="Q17" s="15">
        <v>2.1316563584028341</v>
      </c>
      <c r="R17" s="15">
        <v>2.2400000000000002</v>
      </c>
      <c r="S17" s="2">
        <v>44958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Props1.xml><?xml version="1.0" encoding="utf-8"?>
<ds:datastoreItem xmlns:ds="http://schemas.openxmlformats.org/officeDocument/2006/customXml" ds:itemID="{99CB40FF-28D8-4B0E-99DE-AEC8B0348A32}"/>
</file>

<file path=customXml/itemProps2.xml><?xml version="1.0" encoding="utf-8"?>
<ds:datastoreItem xmlns:ds="http://schemas.openxmlformats.org/officeDocument/2006/customXml" ds:itemID="{4F785871-A683-440C-80AC-41A2E0F5845B}"/>
</file>

<file path=customXml/itemProps3.xml><?xml version="1.0" encoding="utf-8"?>
<ds:datastoreItem xmlns:ds="http://schemas.openxmlformats.org/officeDocument/2006/customXml" ds:itemID="{CBD3EADE-FEF2-41F7-97FD-2489049CB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2019-06-11T08:25:27Z</dcterms:created>
  <dcterms:modified xsi:type="dcterms:W3CDTF">2023-01-24T09:42:57Z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