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VG\Utilities Back Date\"/>
    </mc:Choice>
  </mc:AlternateContent>
  <xr:revisionPtr revIDLastSave="361" documentId="13_ncr:1_{9541E623-1DF7-40DA-9E6E-1D0C35F9A71A}" xr6:coauthVersionLast="47" xr6:coauthVersionMax="47" xr10:uidLastSave="{E681AEC9-DB69-41AA-8E3F-B4A91D59197C}"/>
  <bookViews>
    <workbookView xWindow="-28920" yWindow="-3765" windowWidth="29040" windowHeight="15840" firstSheet="1" activeTab="1" xr2:uid="{1F2DFE20-BF80-4663-983E-B934B10454F1}"/>
  </bookViews>
  <sheets>
    <sheet name="Data" sheetId="1" r:id="rId1"/>
    <sheet name="Collected Graph" sheetId="3" r:id="rId2"/>
    <sheet name="Cons Graph" sheetId="4" r:id="rId3"/>
    <sheet name="Rates Graph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5" i="1" l="1"/>
  <c r="E599" i="1"/>
  <c r="E579" i="1"/>
  <c r="E589" i="1"/>
  <c r="E595" i="1"/>
  <c r="E600" i="1"/>
  <c r="B598" i="1"/>
  <c r="D598" i="1" s="1"/>
  <c r="B597" i="1"/>
  <c r="D597" i="1" s="1"/>
  <c r="D600" i="1" s="1"/>
  <c r="B596" i="1"/>
  <c r="D596" i="1" s="1"/>
  <c r="F595" i="1"/>
  <c r="B595" i="1"/>
  <c r="D595" i="1" s="1"/>
  <c r="D599" i="1" s="1"/>
  <c r="J595" i="1" s="1"/>
  <c r="E585" i="1"/>
  <c r="E590" i="1"/>
  <c r="B588" i="1"/>
  <c r="D588" i="1" s="1"/>
  <c r="B587" i="1"/>
  <c r="D587" i="1" s="1"/>
  <c r="D590" i="1" s="1"/>
  <c r="B586" i="1"/>
  <c r="D586" i="1" s="1"/>
  <c r="F585" i="1"/>
  <c r="B585" i="1"/>
  <c r="D585" i="1" s="1"/>
  <c r="D589" i="1" s="1"/>
  <c r="J585" i="1" s="1"/>
  <c r="F575" i="1"/>
  <c r="E575" i="1"/>
  <c r="E580" i="1"/>
  <c r="B578" i="1"/>
  <c r="D578" i="1" s="1"/>
  <c r="B577" i="1"/>
  <c r="D577" i="1" s="1"/>
  <c r="D580" i="1" s="1"/>
  <c r="B576" i="1"/>
  <c r="D576" i="1" s="1"/>
  <c r="B575" i="1"/>
  <c r="D575" i="1" s="1"/>
  <c r="D579" i="1" s="1"/>
  <c r="J575" i="1" s="1"/>
  <c r="E570" i="1"/>
  <c r="B568" i="1"/>
  <c r="D568" i="1" s="1"/>
  <c r="B567" i="1"/>
  <c r="D567" i="1" s="1"/>
  <c r="D570" i="1" s="1"/>
  <c r="B566" i="1"/>
  <c r="D566" i="1" s="1"/>
  <c r="E565" i="1"/>
  <c r="B565" i="1"/>
  <c r="D565" i="1" s="1"/>
  <c r="D569" i="1" s="1"/>
  <c r="J565" i="1" s="1"/>
  <c r="E548" i="1"/>
  <c r="E560" i="1"/>
  <c r="B558" i="1"/>
  <c r="D558" i="1" s="1"/>
  <c r="B557" i="1"/>
  <c r="D557" i="1" s="1"/>
  <c r="D560" i="1" s="1"/>
  <c r="B556" i="1"/>
  <c r="D556" i="1" s="1"/>
  <c r="E555" i="1"/>
  <c r="B555" i="1"/>
  <c r="D555" i="1" s="1"/>
  <c r="D559" i="1" s="1"/>
  <c r="J555" i="1" s="1"/>
  <c r="E550" i="1"/>
  <c r="B548" i="1"/>
  <c r="D548" i="1" s="1"/>
  <c r="B547" i="1"/>
  <c r="D547" i="1" s="1"/>
  <c r="D550" i="1" s="1"/>
  <c r="B546" i="1"/>
  <c r="D546" i="1" s="1"/>
  <c r="E545" i="1"/>
  <c r="B545" i="1"/>
  <c r="D545" i="1" s="1"/>
  <c r="D549" i="1" s="1"/>
  <c r="J545" i="1" s="1"/>
  <c r="E540" i="1"/>
  <c r="B538" i="1"/>
  <c r="D538" i="1" s="1"/>
  <c r="B537" i="1"/>
  <c r="D537" i="1" s="1"/>
  <c r="D540" i="1" s="1"/>
  <c r="B536" i="1"/>
  <c r="D536" i="1" s="1"/>
  <c r="E535" i="1"/>
  <c r="B535" i="1"/>
  <c r="D535" i="1" s="1"/>
  <c r="D539" i="1" s="1"/>
  <c r="J535" i="1" s="1"/>
  <c r="F528" i="1"/>
  <c r="B528" i="1"/>
  <c r="B527" i="1"/>
  <c r="D525" i="1"/>
  <c r="E525" i="1"/>
  <c r="D526" i="1"/>
  <c r="D527" i="1"/>
  <c r="D528" i="1"/>
  <c r="D529" i="1"/>
  <c r="E529" i="1"/>
  <c r="D530" i="1"/>
  <c r="E530" i="1"/>
  <c r="E531" i="1"/>
  <c r="B526" i="1"/>
  <c r="B525" i="1"/>
  <c r="AB17" i="3"/>
  <c r="AB18" i="3" s="1"/>
  <c r="E520" i="1"/>
  <c r="D518" i="1"/>
  <c r="D517" i="1"/>
  <c r="D520" i="1" s="1"/>
  <c r="B516" i="1"/>
  <c r="D516" i="1" s="1"/>
  <c r="E515" i="1"/>
  <c r="B515" i="1"/>
  <c r="D515" i="1" s="1"/>
  <c r="D519" i="1" s="1"/>
  <c r="J515" i="1" s="1"/>
  <c r="E510" i="1"/>
  <c r="D508" i="1"/>
  <c r="D507" i="1"/>
  <c r="D510" i="1" s="1"/>
  <c r="B506" i="1"/>
  <c r="D506" i="1" s="1"/>
  <c r="E505" i="1"/>
  <c r="B505" i="1"/>
  <c r="D505" i="1" s="1"/>
  <c r="D509" i="1" s="1"/>
  <c r="J505" i="1" s="1"/>
  <c r="B498" i="1"/>
  <c r="B497" i="1"/>
  <c r="D498" i="1"/>
  <c r="D497" i="1"/>
  <c r="D500" i="1" s="1"/>
  <c r="J498" i="1" s="1"/>
  <c r="B496" i="1"/>
  <c r="D496" i="1" s="1"/>
  <c r="E495" i="1"/>
  <c r="B495" i="1"/>
  <c r="D495" i="1" s="1"/>
  <c r="D499" i="1" s="1"/>
  <c r="J495" i="1" s="1"/>
  <c r="T15" i="3"/>
  <c r="S15" i="3"/>
  <c r="U15" i="3" s="1"/>
  <c r="AF15" i="3"/>
  <c r="AE15" i="3"/>
  <c r="E488" i="1"/>
  <c r="E490" i="1" s="1"/>
  <c r="D488" i="1"/>
  <c r="D487" i="1"/>
  <c r="B486" i="1"/>
  <c r="D486" i="1" s="1"/>
  <c r="E485" i="1"/>
  <c r="B485" i="1"/>
  <c r="D485" i="1" s="1"/>
  <c r="B478" i="1"/>
  <c r="B477" i="1"/>
  <c r="E480" i="1"/>
  <c r="E479" i="1"/>
  <c r="D478" i="1"/>
  <c r="D477" i="1"/>
  <c r="B476" i="1"/>
  <c r="D476" i="1" s="1"/>
  <c r="E475" i="1"/>
  <c r="B475" i="1"/>
  <c r="D475" i="1" s="1"/>
  <c r="D479" i="1" s="1"/>
  <c r="E470" i="1"/>
  <c r="D468" i="1"/>
  <c r="D467" i="1"/>
  <c r="D466" i="1"/>
  <c r="B466" i="1"/>
  <c r="E465" i="1"/>
  <c r="B465" i="1"/>
  <c r="D465" i="1" s="1"/>
  <c r="E459" i="1"/>
  <c r="E460" i="1"/>
  <c r="B458" i="1"/>
  <c r="D458" i="1" s="1"/>
  <c r="B457" i="1"/>
  <c r="D457" i="1" s="1"/>
  <c r="B456" i="1"/>
  <c r="D456" i="1" s="1"/>
  <c r="E455" i="1"/>
  <c r="B455" i="1"/>
  <c r="D455" i="1" s="1"/>
  <c r="E450" i="1"/>
  <c r="E448" i="1"/>
  <c r="B448" i="1"/>
  <c r="D448" i="1" s="1"/>
  <c r="B447" i="1"/>
  <c r="D447" i="1" s="1"/>
  <c r="B446" i="1"/>
  <c r="D446" i="1" s="1"/>
  <c r="E445" i="1"/>
  <c r="E449" i="1" s="1"/>
  <c r="B445" i="1"/>
  <c r="D445" i="1" s="1"/>
  <c r="J368" i="1"/>
  <c r="E440" i="1"/>
  <c r="E439" i="1"/>
  <c r="E441" i="1" s="1"/>
  <c r="B438" i="1"/>
  <c r="D438" i="1" s="1"/>
  <c r="B437" i="1"/>
  <c r="D437" i="1" s="1"/>
  <c r="B436" i="1"/>
  <c r="D436" i="1" s="1"/>
  <c r="E435" i="1"/>
  <c r="B435" i="1"/>
  <c r="D435" i="1" s="1"/>
  <c r="E429" i="1"/>
  <c r="E430" i="1"/>
  <c r="D428" i="1"/>
  <c r="B428" i="1"/>
  <c r="B427" i="1"/>
  <c r="D427" i="1" s="1"/>
  <c r="B426" i="1"/>
  <c r="D426" i="1" s="1"/>
  <c r="E425" i="1"/>
  <c r="B425" i="1"/>
  <c r="D425" i="1" s="1"/>
  <c r="E419" i="1"/>
  <c r="E418" i="1"/>
  <c r="E420" i="1" s="1"/>
  <c r="E415" i="1"/>
  <c r="B418" i="1"/>
  <c r="D418" i="1" s="1"/>
  <c r="B417" i="1"/>
  <c r="D417" i="1" s="1"/>
  <c r="B416" i="1"/>
  <c r="D416" i="1" s="1"/>
  <c r="B415" i="1"/>
  <c r="D415" i="1" s="1"/>
  <c r="E408" i="1"/>
  <c r="E410" i="1" s="1"/>
  <c r="E411" i="1" s="1"/>
  <c r="B408" i="1"/>
  <c r="D408" i="1" s="1"/>
  <c r="D407" i="1"/>
  <c r="B407" i="1"/>
  <c r="B406" i="1"/>
  <c r="D406" i="1" s="1"/>
  <c r="B405" i="1"/>
  <c r="D405" i="1" s="1"/>
  <c r="D409" i="1" s="1"/>
  <c r="E398" i="1"/>
  <c r="E400" i="1" s="1"/>
  <c r="E401" i="1" s="1"/>
  <c r="B398" i="1"/>
  <c r="D398" i="1" s="1"/>
  <c r="B397" i="1"/>
  <c r="D397" i="1" s="1"/>
  <c r="D400" i="1" s="1"/>
  <c r="I398" i="1" s="1"/>
  <c r="B396" i="1"/>
  <c r="D396" i="1" s="1"/>
  <c r="B395" i="1"/>
  <c r="D395" i="1" s="1"/>
  <c r="E388" i="1"/>
  <c r="E390" i="1" s="1"/>
  <c r="E391" i="1" s="1"/>
  <c r="B388" i="1"/>
  <c r="D388" i="1" s="1"/>
  <c r="B387" i="1"/>
  <c r="D387" i="1" s="1"/>
  <c r="D386" i="1"/>
  <c r="B386" i="1"/>
  <c r="B385" i="1"/>
  <c r="D385" i="1" s="1"/>
  <c r="E380" i="1"/>
  <c r="E381" i="1" s="1"/>
  <c r="AB15" i="3"/>
  <c r="AA15" i="3"/>
  <c r="I368" i="1"/>
  <c r="E378" i="1"/>
  <c r="B376" i="1"/>
  <c r="D376" i="1" s="1"/>
  <c r="B377" i="1"/>
  <c r="D377" i="1" s="1"/>
  <c r="B378" i="1"/>
  <c r="D378" i="1" s="1"/>
  <c r="B375" i="1"/>
  <c r="D375" i="1" s="1"/>
  <c r="E601" i="1" l="1"/>
  <c r="K598" i="1"/>
  <c r="J598" i="1"/>
  <c r="E591" i="1"/>
  <c r="K585" i="1"/>
  <c r="K588" i="1"/>
  <c r="J588" i="1"/>
  <c r="E581" i="1"/>
  <c r="K575" i="1"/>
  <c r="K578" i="1"/>
  <c r="J578" i="1"/>
  <c r="E569" i="1"/>
  <c r="E571" i="1" s="1"/>
  <c r="K565" i="1"/>
  <c r="K568" i="1"/>
  <c r="J568" i="1"/>
  <c r="E559" i="1"/>
  <c r="E561" i="1" s="1"/>
  <c r="K555" i="1"/>
  <c r="K558" i="1"/>
  <c r="J558" i="1"/>
  <c r="E549" i="1"/>
  <c r="E551" i="1" s="1"/>
  <c r="K545" i="1"/>
  <c r="K548" i="1"/>
  <c r="J548" i="1"/>
  <c r="E539" i="1"/>
  <c r="E541" i="1" s="1"/>
  <c r="K535" i="1"/>
  <c r="K538" i="1"/>
  <c r="J538" i="1"/>
  <c r="J528" i="1"/>
  <c r="K528" i="1"/>
  <c r="J525" i="1"/>
  <c r="K525" i="1"/>
  <c r="E519" i="1"/>
  <c r="E521" i="1" s="1"/>
  <c r="K515" i="1"/>
  <c r="K518" i="1"/>
  <c r="J518" i="1"/>
  <c r="E509" i="1"/>
  <c r="E511" i="1" s="1"/>
  <c r="K505" i="1"/>
  <c r="K508" i="1"/>
  <c r="J508" i="1"/>
  <c r="E499" i="1"/>
  <c r="K495" i="1"/>
  <c r="E500" i="1"/>
  <c r="K498" i="1"/>
  <c r="AG15" i="3"/>
  <c r="D490" i="1"/>
  <c r="D379" i="1"/>
  <c r="D390" i="1"/>
  <c r="D389" i="1"/>
  <c r="D459" i="1"/>
  <c r="J455" i="1" s="1"/>
  <c r="D469" i="1"/>
  <c r="J465" i="1" s="1"/>
  <c r="J398" i="1"/>
  <c r="K488" i="1"/>
  <c r="J488" i="1"/>
  <c r="D489" i="1"/>
  <c r="J485" i="1" s="1"/>
  <c r="K485" i="1"/>
  <c r="E489" i="1"/>
  <c r="E491" i="1" s="1"/>
  <c r="E481" i="1"/>
  <c r="D480" i="1"/>
  <c r="J475" i="1"/>
  <c r="K475" i="1"/>
  <c r="K478" i="1"/>
  <c r="J478" i="1"/>
  <c r="D470" i="1"/>
  <c r="J468" i="1" s="1"/>
  <c r="K465" i="1"/>
  <c r="K468" i="1"/>
  <c r="E469" i="1"/>
  <c r="E471" i="1" s="1"/>
  <c r="D460" i="1"/>
  <c r="J458" i="1" s="1"/>
  <c r="K455" i="1"/>
  <c r="E461" i="1"/>
  <c r="K458" i="1"/>
  <c r="E451" i="1"/>
  <c r="D450" i="1"/>
  <c r="D449" i="1"/>
  <c r="D439" i="1"/>
  <c r="D440" i="1"/>
  <c r="D429" i="1"/>
  <c r="D430" i="1"/>
  <c r="E431" i="1"/>
  <c r="E421" i="1"/>
  <c r="D420" i="1"/>
  <c r="D419" i="1"/>
  <c r="D410" i="1"/>
  <c r="D399" i="1"/>
  <c r="AC15" i="3"/>
  <c r="D380" i="1"/>
  <c r="B345" i="1"/>
  <c r="E350" i="1"/>
  <c r="B348" i="1"/>
  <c r="D348" i="1" s="1"/>
  <c r="B347" i="1"/>
  <c r="D347" i="1" s="1"/>
  <c r="D346" i="1"/>
  <c r="E345" i="1"/>
  <c r="E349" i="1" s="1"/>
  <c r="D345" i="1"/>
  <c r="E339" i="1"/>
  <c r="E340" i="1"/>
  <c r="B338" i="1"/>
  <c r="D338" i="1" s="1"/>
  <c r="B337" i="1"/>
  <c r="D337" i="1" s="1"/>
  <c r="D336" i="1"/>
  <c r="E335" i="1"/>
  <c r="D335" i="1"/>
  <c r="D339" i="1" s="1"/>
  <c r="I335" i="1" s="1"/>
  <c r="E501" i="1" l="1"/>
  <c r="I438" i="1"/>
  <c r="J438" i="1"/>
  <c r="I408" i="1"/>
  <c r="J408" i="1"/>
  <c r="I378" i="1"/>
  <c r="J378" i="1"/>
  <c r="I428" i="1"/>
  <c r="J428" i="1"/>
  <c r="J445" i="1"/>
  <c r="K445" i="1"/>
  <c r="I388" i="1"/>
  <c r="J388" i="1"/>
  <c r="I418" i="1"/>
  <c r="J418" i="1"/>
  <c r="J448" i="1"/>
  <c r="K448" i="1"/>
  <c r="D350" i="1"/>
  <c r="D349" i="1"/>
  <c r="I345" i="1" s="1"/>
  <c r="I348" i="1"/>
  <c r="J348" i="1"/>
  <c r="E351" i="1"/>
  <c r="D340" i="1"/>
  <c r="I338" i="1" s="1"/>
  <c r="E341" i="1"/>
  <c r="J335" i="1"/>
  <c r="E328" i="1"/>
  <c r="E330" i="1"/>
  <c r="B328" i="1"/>
  <c r="D328" i="1" s="1"/>
  <c r="B327" i="1"/>
  <c r="D327" i="1" s="1"/>
  <c r="D326" i="1"/>
  <c r="B326" i="1"/>
  <c r="E325" i="1"/>
  <c r="E329" i="1" s="1"/>
  <c r="B325" i="1"/>
  <c r="D325" i="1" s="1"/>
  <c r="D330" i="1" l="1"/>
  <c r="J338" i="1"/>
  <c r="J345" i="1"/>
  <c r="D329" i="1"/>
  <c r="I325" i="1" s="1"/>
  <c r="J328" i="1"/>
  <c r="I328" i="1"/>
  <c r="E331" i="1"/>
  <c r="J325" i="1"/>
  <c r="E320" i="1"/>
  <c r="B318" i="1"/>
  <c r="D318" i="1" s="1"/>
  <c r="D317" i="1"/>
  <c r="B317" i="1"/>
  <c r="B316" i="1"/>
  <c r="D316" i="1" s="1"/>
  <c r="E315" i="1"/>
  <c r="E319" i="1" s="1"/>
  <c r="B315" i="1"/>
  <c r="D315" i="1" s="1"/>
  <c r="D319" i="1" l="1"/>
  <c r="I315" i="1" s="1"/>
  <c r="D320" i="1"/>
  <c r="J318" i="1" s="1"/>
  <c r="E321" i="1"/>
  <c r="J315" i="1"/>
  <c r="I318" i="1"/>
  <c r="E308" i="1"/>
  <c r="H308" i="1"/>
  <c r="E310" i="1"/>
  <c r="B308" i="1"/>
  <c r="B307" i="1"/>
  <c r="D307" i="1" s="1"/>
  <c r="D308" i="1"/>
  <c r="B306" i="1"/>
  <c r="D306" i="1" s="1"/>
  <c r="E305" i="1"/>
  <c r="E309" i="1" s="1"/>
  <c r="B305" i="1"/>
  <c r="D305" i="1" s="1"/>
  <c r="E298" i="1"/>
  <c r="D310" i="1" l="1"/>
  <c r="I308" i="1" s="1"/>
  <c r="D309" i="1"/>
  <c r="I305" i="1" s="1"/>
  <c r="E311" i="1"/>
  <c r="J305" i="1"/>
  <c r="E300" i="1"/>
  <c r="D298" i="1"/>
  <c r="D297" i="1"/>
  <c r="D296" i="1"/>
  <c r="B296" i="1"/>
  <c r="E295" i="1"/>
  <c r="E299" i="1" s="1"/>
  <c r="B295" i="1"/>
  <c r="D295" i="1" s="1"/>
  <c r="D299" i="1" l="1"/>
  <c r="I295" i="1" s="1"/>
  <c r="J308" i="1"/>
  <c r="D300" i="1"/>
  <c r="J298" i="1" s="1"/>
  <c r="E301" i="1"/>
  <c r="J295" i="1"/>
  <c r="E278" i="1"/>
  <c r="E290" i="1"/>
  <c r="B288" i="1"/>
  <c r="D288" i="1" s="1"/>
  <c r="B287" i="1"/>
  <c r="D287" i="1" s="1"/>
  <c r="D286" i="1"/>
  <c r="B286" i="1"/>
  <c r="E285" i="1"/>
  <c r="E289" i="1" s="1"/>
  <c r="B285" i="1"/>
  <c r="D285" i="1" s="1"/>
  <c r="D289" i="1" l="1"/>
  <c r="I285" i="1" s="1"/>
  <c r="I298" i="1"/>
  <c r="D290" i="1"/>
  <c r="J288" i="1" s="1"/>
  <c r="E291" i="1"/>
  <c r="J285" i="1"/>
  <c r="E280" i="1"/>
  <c r="B278" i="1"/>
  <c r="D278" i="1" s="1"/>
  <c r="B277" i="1"/>
  <c r="D277" i="1" s="1"/>
  <c r="D276" i="1"/>
  <c r="B276" i="1"/>
  <c r="E275" i="1"/>
  <c r="E279" i="1" s="1"/>
  <c r="B275" i="1"/>
  <c r="D275" i="1" s="1"/>
  <c r="D279" i="1" l="1"/>
  <c r="I275" i="1" s="1"/>
  <c r="I288" i="1"/>
  <c r="D280" i="1"/>
  <c r="J278" i="1" s="1"/>
  <c r="E281" i="1"/>
  <c r="J275" i="1"/>
  <c r="B267" i="1"/>
  <c r="E270" i="1"/>
  <c r="E271" i="1" s="1"/>
  <c r="E269" i="1"/>
  <c r="B268" i="1"/>
  <c r="D268" i="1" s="1"/>
  <c r="D267" i="1"/>
  <c r="B266" i="1"/>
  <c r="D266" i="1" s="1"/>
  <c r="E265" i="1"/>
  <c r="B265" i="1"/>
  <c r="D265" i="1" s="1"/>
  <c r="B258" i="1"/>
  <c r="D258" i="1" s="1"/>
  <c r="E259" i="1"/>
  <c r="E260" i="1"/>
  <c r="D257" i="1"/>
  <c r="B256" i="1"/>
  <c r="D256" i="1" s="1"/>
  <c r="E255" i="1"/>
  <c r="B255" i="1"/>
  <c r="D255" i="1" s="1"/>
  <c r="D259" i="1" s="1"/>
  <c r="I255" i="1" s="1"/>
  <c r="D269" i="1" l="1"/>
  <c r="I278" i="1"/>
  <c r="D270" i="1"/>
  <c r="I268" i="1" s="1"/>
  <c r="J265" i="1"/>
  <c r="I265" i="1"/>
  <c r="J268" i="1"/>
  <c r="D260" i="1"/>
  <c r="I258" i="1" s="1"/>
  <c r="E261" i="1"/>
  <c r="J255" i="1"/>
  <c r="X15" i="3"/>
  <c r="W15" i="3"/>
  <c r="E248" i="1"/>
  <c r="E250" i="1" s="1"/>
  <c r="D248" i="1"/>
  <c r="D247" i="1"/>
  <c r="B246" i="1"/>
  <c r="D246" i="1" s="1"/>
  <c r="E245" i="1"/>
  <c r="E249" i="1" s="1"/>
  <c r="B245" i="1"/>
  <c r="D245" i="1" s="1"/>
  <c r="J258" i="1" l="1"/>
  <c r="D249" i="1"/>
  <c r="I245" i="1" s="1"/>
  <c r="Y15" i="3"/>
  <c r="D250" i="1"/>
  <c r="J248" i="1" s="1"/>
  <c r="E251" i="1"/>
  <c r="J245" i="1"/>
  <c r="E240" i="1"/>
  <c r="E238" i="1"/>
  <c r="B238" i="1"/>
  <c r="D238" i="1" s="1"/>
  <c r="B237" i="1"/>
  <c r="D237" i="1" s="1"/>
  <c r="E239" i="1"/>
  <c r="B236" i="1"/>
  <c r="D236" i="1" s="1"/>
  <c r="E235" i="1"/>
  <c r="B235" i="1"/>
  <c r="D235" i="1" s="1"/>
  <c r="I248" i="1" l="1"/>
  <c r="E241" i="1"/>
  <c r="D240" i="1"/>
  <c r="I238" i="1" s="1"/>
  <c r="J238" i="1"/>
  <c r="D239" i="1"/>
  <c r="D228" i="1"/>
  <c r="D227" i="1"/>
  <c r="B226" i="1"/>
  <c r="D226" i="1" s="1"/>
  <c r="E225" i="1"/>
  <c r="E229" i="1" s="1"/>
  <c r="B225" i="1"/>
  <c r="D225" i="1" s="1"/>
  <c r="I235" i="1" l="1"/>
  <c r="J235" i="1"/>
  <c r="D230" i="1"/>
  <c r="E231" i="1"/>
  <c r="D229" i="1"/>
  <c r="I225" i="1" s="1"/>
  <c r="B218" i="1"/>
  <c r="B217" i="1"/>
  <c r="B216" i="1"/>
  <c r="D216" i="1" s="1"/>
  <c r="E215" i="1"/>
  <c r="E219" i="1" s="1"/>
  <c r="B215" i="1"/>
  <c r="D215" i="1" s="1"/>
  <c r="C218" i="1" l="1"/>
  <c r="D218" i="1" s="1"/>
  <c r="C217" i="1"/>
  <c r="D217" i="1" s="1"/>
  <c r="D220" i="1" s="1"/>
  <c r="J228" i="1"/>
  <c r="I228" i="1"/>
  <c r="J225" i="1"/>
  <c r="D219" i="1"/>
  <c r="I215" i="1" s="1"/>
  <c r="E221" i="1"/>
  <c r="P15" i="3"/>
  <c r="O15" i="3"/>
  <c r="E205" i="1"/>
  <c r="E209" i="1" s="1"/>
  <c r="E211" i="1" s="1"/>
  <c r="B208" i="1"/>
  <c r="D208" i="1" s="1"/>
  <c r="D207" i="1"/>
  <c r="I208" i="1" s="1"/>
  <c r="B207" i="1"/>
  <c r="B206" i="1"/>
  <c r="D206" i="1" s="1"/>
  <c r="B205" i="1"/>
  <c r="D205" i="1" s="1"/>
  <c r="D210" i="1" l="1"/>
  <c r="J215" i="1"/>
  <c r="D209" i="1"/>
  <c r="J205" i="1" s="1"/>
  <c r="Q15" i="3"/>
  <c r="E169" i="1"/>
  <c r="E179" i="1"/>
  <c r="E189" i="1"/>
  <c r="E191" i="1" s="1"/>
  <c r="E199" i="1"/>
  <c r="E201" i="1" s="1"/>
  <c r="E190" i="1"/>
  <c r="E200" i="1"/>
  <c r="E177" i="1"/>
  <c r="E180" i="1" s="1"/>
  <c r="E181" i="1" s="1"/>
  <c r="E170" i="1"/>
  <c r="B198" i="1"/>
  <c r="D198" i="1" s="1"/>
  <c r="B197" i="1"/>
  <c r="D197" i="1" s="1"/>
  <c r="B196" i="1"/>
  <c r="D196" i="1" s="1"/>
  <c r="B195" i="1"/>
  <c r="D195" i="1" s="1"/>
  <c r="B188" i="1"/>
  <c r="D188" i="1" s="1"/>
  <c r="B187" i="1"/>
  <c r="D187" i="1" s="1"/>
  <c r="B186" i="1"/>
  <c r="D186" i="1" s="1"/>
  <c r="B185" i="1"/>
  <c r="D185" i="1" s="1"/>
  <c r="B176" i="1"/>
  <c r="D176" i="1" s="1"/>
  <c r="B177" i="1"/>
  <c r="D177" i="1" s="1"/>
  <c r="B178" i="1"/>
  <c r="D178" i="1" s="1"/>
  <c r="B175" i="1"/>
  <c r="D175" i="1" s="1"/>
  <c r="D166" i="1"/>
  <c r="D165" i="1"/>
  <c r="D168" i="1"/>
  <c r="D167" i="1"/>
  <c r="D158" i="1"/>
  <c r="D157" i="1"/>
  <c r="E171" i="1" l="1"/>
  <c r="I205" i="1"/>
  <c r="D199" i="1"/>
  <c r="I195" i="1" s="1"/>
  <c r="D200" i="1"/>
  <c r="J197" i="1" s="1"/>
  <c r="D190" i="1"/>
  <c r="I187" i="1" s="1"/>
  <c r="D180" i="1"/>
  <c r="J177" i="1" s="1"/>
  <c r="D170" i="1"/>
  <c r="I167" i="1" s="1"/>
  <c r="D189" i="1"/>
  <c r="D179" i="1"/>
  <c r="I175" i="1" s="1"/>
  <c r="D169" i="1"/>
  <c r="J165" i="1" s="1"/>
  <c r="D128" i="1"/>
  <c r="D127" i="1"/>
  <c r="D138" i="1"/>
  <c r="D137" i="1"/>
  <c r="D160" i="1"/>
  <c r="D159" i="1"/>
  <c r="D150" i="1"/>
  <c r="D149" i="1"/>
  <c r="D139" i="1"/>
  <c r="D129" i="1"/>
  <c r="J167" i="1" l="1"/>
  <c r="J155" i="1"/>
  <c r="I155" i="1"/>
  <c r="J145" i="1"/>
  <c r="I145" i="1"/>
  <c r="J147" i="1"/>
  <c r="I147" i="1"/>
  <c r="J125" i="1"/>
  <c r="I125" i="1"/>
  <c r="J135" i="1"/>
  <c r="I135" i="1"/>
  <c r="J157" i="1"/>
  <c r="I157" i="1"/>
  <c r="I197" i="1"/>
  <c r="J195" i="1"/>
  <c r="J175" i="1"/>
  <c r="J187" i="1"/>
  <c r="I177" i="1"/>
  <c r="J185" i="1"/>
  <c r="I185" i="1"/>
  <c r="I165" i="1"/>
  <c r="D130" i="1"/>
  <c r="D140" i="1"/>
  <c r="J137" i="1" l="1"/>
  <c r="I137" i="1"/>
  <c r="J127" i="1"/>
  <c r="I127" i="1"/>
</calcChain>
</file>

<file path=xl/sharedStrings.xml><?xml version="1.0" encoding="utf-8"?>
<sst xmlns="http://schemas.openxmlformats.org/spreadsheetml/2006/main" count="1248" uniqueCount="128">
  <si>
    <t>Villino Glen Water Back Date Summary 2018 - Apr2019</t>
  </si>
  <si>
    <t>Unit No.</t>
  </si>
  <si>
    <t>Opening Reading</t>
  </si>
  <si>
    <t>Closing Reading</t>
  </si>
  <si>
    <t>Cons</t>
  </si>
  <si>
    <t>Water Amount</t>
  </si>
  <si>
    <t>BC Bulk 01</t>
  </si>
  <si>
    <t>BC Bulk 02</t>
  </si>
  <si>
    <t>Council Bulk 01</t>
  </si>
  <si>
    <t>Council Bulk 02</t>
  </si>
  <si>
    <t>BC Total</t>
  </si>
  <si>
    <t>Council Total</t>
  </si>
  <si>
    <t>Difference</t>
  </si>
  <si>
    <t>Estimated?</t>
  </si>
  <si>
    <t>Reading Dates</t>
  </si>
  <si>
    <t>Days</t>
  </si>
  <si>
    <t>KL p/day</t>
  </si>
  <si>
    <t>Rates</t>
  </si>
  <si>
    <t>Actual</t>
  </si>
  <si>
    <t>8Jan - 31Jan 2019</t>
  </si>
  <si>
    <t>31Jan - 28Feb 2019</t>
  </si>
  <si>
    <t>27Feb - 19Mar 2019</t>
  </si>
  <si>
    <t>28Feb - 30Mar 2019</t>
  </si>
  <si>
    <t>26Mar -19Apr 2019</t>
  </si>
  <si>
    <t>30Mar - 2May 2019</t>
  </si>
  <si>
    <t>19Apr - 19May 2019</t>
  </si>
  <si>
    <t>2May - 31May 2019</t>
  </si>
  <si>
    <t>19May - 19Jun 2019</t>
  </si>
  <si>
    <t>31May - 28Jun 2019</t>
  </si>
  <si>
    <t>Actaul</t>
  </si>
  <si>
    <t>19Jun - 23Jul 2019</t>
  </si>
  <si>
    <t>28Jun - 1Aug 2019</t>
  </si>
  <si>
    <t>19Jul - 23Aug 2019</t>
  </si>
  <si>
    <t>1Aug - 3Sept 2019</t>
  </si>
  <si>
    <t>19Aug - 19Sept 2019</t>
  </si>
  <si>
    <t>3Sep - 26Sep 2019</t>
  </si>
  <si>
    <t>19Aug - 19Oct 2019</t>
  </si>
  <si>
    <t>26Sep - 31Oct 2019</t>
  </si>
  <si>
    <t>19Oct - 25Oct 2019</t>
  </si>
  <si>
    <t>31Oct - 29Nov 2019</t>
  </si>
  <si>
    <t>25Oct - 25Nov 2019</t>
  </si>
  <si>
    <t>29Nov - 6Jan 2020</t>
  </si>
  <si>
    <t>Estimated</t>
  </si>
  <si>
    <t>26Nov - 19Dec 2019</t>
  </si>
  <si>
    <t>6Jan - 31Jan 2020</t>
  </si>
  <si>
    <t>26Nov - 20Jan 2020</t>
  </si>
  <si>
    <t>31Jan - 27Feb 2020</t>
  </si>
  <si>
    <t>23Jan - 26Feb 2020</t>
  </si>
  <si>
    <t>27 Feb - 25Mar 2020</t>
  </si>
  <si>
    <t xml:space="preserve">27Feb - </t>
  </si>
  <si>
    <t>25Mar - 30Apr 2020</t>
  </si>
  <si>
    <t>20Mar - 20Apr2020</t>
  </si>
  <si>
    <t>30Apr - 30May 2020</t>
  </si>
  <si>
    <t>20Apr - 20May 2020</t>
  </si>
  <si>
    <t>30May - 30Jun 2020</t>
  </si>
  <si>
    <t>23Jan - 23Jun 2020</t>
  </si>
  <si>
    <t>Acual</t>
  </si>
  <si>
    <t>30Jun - 31Jul 2020</t>
  </si>
  <si>
    <t>24Jun - 29Jul 2020</t>
  </si>
  <si>
    <t>31Jul - 31Aug 2020</t>
  </si>
  <si>
    <t>estimated</t>
  </si>
  <si>
    <t>30Jul - 28Aug 2020</t>
  </si>
  <si>
    <t>30Sept - 31Oct 2020</t>
  </si>
  <si>
    <t>30Jul - 28Sept 2020</t>
  </si>
  <si>
    <t>29Sept - 27Oct 2020</t>
  </si>
  <si>
    <t>31Oct - 25Nov 2020</t>
  </si>
  <si>
    <t>25Nov 2020 - 5Jan 2021</t>
  </si>
  <si>
    <t>5Jan - 1Feb 2021</t>
  </si>
  <si>
    <t>28Oct 2020 - 28Jan 2021</t>
  </si>
  <si>
    <t>1Feb - 26Feb 2021</t>
  </si>
  <si>
    <t>28Oct 2020 - 23Feb 2021</t>
  </si>
  <si>
    <t>26Feb - 31Mar 2021</t>
  </si>
  <si>
    <t>24Feb - 25Mar 2021</t>
  </si>
  <si>
    <t>31Mar - 29Apr 2021</t>
  </si>
  <si>
    <t>26Mar - 28Apr 2021</t>
  </si>
  <si>
    <t>29Apr - 27May 2021</t>
  </si>
  <si>
    <t>29Apr - 21May 2021</t>
  </si>
  <si>
    <t>27May - 5Jul 2021</t>
  </si>
  <si>
    <t>21May - 21Jun 2021</t>
  </si>
  <si>
    <t>5Jul - 2Aug 2021</t>
  </si>
  <si>
    <t>26Jun - 26Jul 2021</t>
  </si>
  <si>
    <t>2Aug - 2Sept 2021</t>
  </si>
  <si>
    <t>21Jul - 26Aug 2021</t>
  </si>
  <si>
    <t>Network Charge</t>
  </si>
  <si>
    <t>2Sept - 30Sept 2021</t>
  </si>
  <si>
    <t>30Sept - 29Oct 2021</t>
  </si>
  <si>
    <t>Esimated</t>
  </si>
  <si>
    <t>23Sept - 27Oct2021</t>
  </si>
  <si>
    <t>29Oct - 2Dec 2021</t>
  </si>
  <si>
    <t>21Sept - 24Nov 2021</t>
  </si>
  <si>
    <t>25Nov - 29Dec 2021</t>
  </si>
  <si>
    <t>4Jan - 27Jan 2022</t>
  </si>
  <si>
    <t>25Nov 2021 - 21Jan 2022</t>
  </si>
  <si>
    <t>27Jan - 25Feb 2022</t>
  </si>
  <si>
    <t>22Jan - 22Feb 2022</t>
  </si>
  <si>
    <t>25Feb - 31Mar 2022</t>
  </si>
  <si>
    <t>31Mar - 28Apr 2022</t>
  </si>
  <si>
    <t>26Mar - 27Apr 2022</t>
  </si>
  <si>
    <t>28Apr - 7Jun 2022</t>
  </si>
  <si>
    <t>28Apr - 25May 2022</t>
  </si>
  <si>
    <t>7Jun - 5Jul 2022</t>
  </si>
  <si>
    <t>26May - 23Jun 2022</t>
  </si>
  <si>
    <t>5Jul - 2Aug 2022</t>
  </si>
  <si>
    <t>24Jun - 22Jul 2022</t>
  </si>
  <si>
    <t>2Aug - 31Aug 2022</t>
  </si>
  <si>
    <t>23Jul - 23Aug 2022</t>
  </si>
  <si>
    <t>31Aug - 26Sept 2022</t>
  </si>
  <si>
    <t>24Aug - 23Sept 2022</t>
  </si>
  <si>
    <t>26Sept - 28Oct 2022</t>
  </si>
  <si>
    <t>24Sept - 27Oct 2022</t>
  </si>
  <si>
    <t>28Oct - 30Nov 2022</t>
  </si>
  <si>
    <t>28Oct - 22Nov 2022</t>
  </si>
  <si>
    <t>30Nov - 31Dec 2022</t>
  </si>
  <si>
    <t>23Nov - 29Dec 2022</t>
  </si>
  <si>
    <t>VG Water Collected BC vs Council</t>
  </si>
  <si>
    <t>BC</t>
  </si>
  <si>
    <t>Council</t>
  </si>
  <si>
    <t>Estimated / Actual</t>
  </si>
  <si>
    <t>A</t>
  </si>
  <si>
    <t>E</t>
  </si>
  <si>
    <t>COJ Back Dated</t>
  </si>
  <si>
    <t>VG Water Council Billing is CORRECT</t>
  </si>
  <si>
    <t>Council charges according to Step Rates.</t>
  </si>
  <si>
    <t>STS charges according to budgeted amount.</t>
  </si>
  <si>
    <t>Consumption readings are in line.</t>
  </si>
  <si>
    <t>VG Water Cons BC vs Council</t>
  </si>
  <si>
    <t>KL PER DAY</t>
  </si>
  <si>
    <t>VG Water Rates BC vs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</si>
</sst>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8">
    <xf numFmtId="0" fontId="0" fillId="0" borderId="0" xfId="0"/>
    <xf numFmtId="17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1" fillId="2" borderId="0" xfId="0" applyNumberFormat="1" applyFont="1" applyFill="1"/>
    <xf numFmtId="0" fontId="5" fillId="0" borderId="0" xfId="0" applyFont="1"/>
    <xf numFmtId="164" fontId="0" fillId="0" borderId="0" xfId="1" applyFont="1"/>
    <xf numFmtId="4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Graph'!$AE$2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'Collected Graph'!$AE$3:$AE$14</c:f>
              <c:numCache>
                <c:formatCode>_-"R"* #,##0.00_-;\-"R"* #,##0.00_-;_-"R"* "-"??_-;_-@_-</c:formatCode>
                <c:ptCount val="12"/>
                <c:pt idx="0">
                  <c:v>16319.166999999999</c:v>
                </c:pt>
                <c:pt idx="1">
                  <c:v>16319.166999999999</c:v>
                </c:pt>
                <c:pt idx="2">
                  <c:v>16319.166999999999</c:v>
                </c:pt>
                <c:pt idx="3">
                  <c:v>16319.166999999999</c:v>
                </c:pt>
                <c:pt idx="4">
                  <c:v>16319.166999999999</c:v>
                </c:pt>
                <c:pt idx="5">
                  <c:v>16319.166999999999</c:v>
                </c:pt>
                <c:pt idx="6">
                  <c:v>16319.166999999999</c:v>
                </c:pt>
                <c:pt idx="7">
                  <c:v>14883.000999999998</c:v>
                </c:pt>
                <c:pt idx="8">
                  <c:v>8872.9629999999997</c:v>
                </c:pt>
                <c:pt idx="9">
                  <c:v>11588.848999999998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4-4BE8-9F14-1F13A202B6E4}"/>
            </c:ext>
          </c:extLst>
        </c:ser>
        <c:ser>
          <c:idx val="1"/>
          <c:order val="1"/>
          <c:tx>
            <c:strRef>
              <c:f>'Collected Graph'!$AF$2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'Collected Graph'!$AF$3:$AF$14</c:f>
              <c:numCache>
                <c:formatCode>_-"R"* #,##0.00_-;\-"R"* #,##0.00_-;_-"R"* "-"??_-;_-@_-</c:formatCode>
                <c:ptCount val="12"/>
                <c:pt idx="0">
                  <c:v>0</c:v>
                </c:pt>
                <c:pt idx="1">
                  <c:v>11793.48</c:v>
                </c:pt>
                <c:pt idx="2">
                  <c:v>5846.01</c:v>
                </c:pt>
                <c:pt idx="3">
                  <c:v>11078.3</c:v>
                </c:pt>
                <c:pt idx="4">
                  <c:v>14857.51</c:v>
                </c:pt>
                <c:pt idx="5">
                  <c:v>14993.849999999999</c:v>
                </c:pt>
                <c:pt idx="6">
                  <c:v>18614.29</c:v>
                </c:pt>
                <c:pt idx="7">
                  <c:v>11321.77</c:v>
                </c:pt>
                <c:pt idx="8">
                  <c:v>5412.74</c:v>
                </c:pt>
                <c:pt idx="9">
                  <c:v>20466.5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64-4BE8-9F14-1F13A202B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430727"/>
        <c:axId val="1133996487"/>
      </c:barChart>
      <c:catAx>
        <c:axId val="258430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96487"/>
        <c:crosses val="autoZero"/>
        <c:auto val="1"/>
        <c:lblAlgn val="ctr"/>
        <c:lblOffset val="100"/>
        <c:noMultiLvlLbl val="0"/>
      </c:catAx>
      <c:valAx>
        <c:axId val="1133996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3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Graph'!$X$2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Graph'!$W$3:$W$14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Graph'!$X$3:$X$14</c:f>
              <c:numCache>
                <c:formatCode>General</c:formatCode>
                <c:ptCount val="12"/>
                <c:pt idx="0">
                  <c:v>736</c:v>
                </c:pt>
                <c:pt idx="1">
                  <c:v>418</c:v>
                </c:pt>
                <c:pt idx="2">
                  <c:v>652</c:v>
                </c:pt>
                <c:pt idx="3">
                  <c:v>423</c:v>
                </c:pt>
                <c:pt idx="4">
                  <c:v>599</c:v>
                </c:pt>
                <c:pt idx="5">
                  <c:v>780</c:v>
                </c:pt>
                <c:pt idx="6">
                  <c:v>593</c:v>
                </c:pt>
                <c:pt idx="7">
                  <c:v>484</c:v>
                </c:pt>
                <c:pt idx="8">
                  <c:v>350</c:v>
                </c:pt>
                <c:pt idx="9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5-4709-AC2A-FE3F98FF23E3}"/>
            </c:ext>
          </c:extLst>
        </c:ser>
        <c:ser>
          <c:idx val="1"/>
          <c:order val="1"/>
          <c:tx>
            <c:strRef>
              <c:f>'Cons Graph'!$Y$2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Graph'!$W$3:$W$14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Graph'!$Y$3:$Y$14</c:f>
              <c:numCache>
                <c:formatCode>General</c:formatCode>
                <c:ptCount val="12"/>
                <c:pt idx="0">
                  <c:v>703</c:v>
                </c:pt>
                <c:pt idx="1">
                  <c:v>586</c:v>
                </c:pt>
                <c:pt idx="2">
                  <c:v>360</c:v>
                </c:pt>
                <c:pt idx="3">
                  <c:v>542</c:v>
                </c:pt>
                <c:pt idx="4">
                  <c:v>649</c:v>
                </c:pt>
                <c:pt idx="5">
                  <c:v>656</c:v>
                </c:pt>
                <c:pt idx="6">
                  <c:v>759</c:v>
                </c:pt>
                <c:pt idx="7">
                  <c:v>537</c:v>
                </c:pt>
                <c:pt idx="8">
                  <c:v>298</c:v>
                </c:pt>
                <c:pt idx="9">
                  <c:v>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5-4709-AC2A-FE3F98FF2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488807"/>
        <c:axId val="1021087463"/>
      </c:barChart>
      <c:dateAx>
        <c:axId val="1246488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87463"/>
        <c:crosses val="autoZero"/>
        <c:auto val="1"/>
        <c:lblOffset val="100"/>
        <c:baseTimeUnit val="months"/>
      </c:dateAx>
      <c:valAx>
        <c:axId val="102108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8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Graph'!$X$24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Graph'!$W$25:$W$36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Graph'!$X$25:$X$36</c:f>
              <c:numCache>
                <c:formatCode>General</c:formatCode>
                <c:ptCount val="12"/>
                <c:pt idx="0">
                  <c:v>22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22</c:v>
                </c:pt>
                <c:pt idx="5">
                  <c:v>27</c:v>
                </c:pt>
                <c:pt idx="6">
                  <c:v>23</c:v>
                </c:pt>
                <c:pt idx="7">
                  <c:v>15</c:v>
                </c:pt>
                <c:pt idx="8">
                  <c:v>11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A-47DB-83B6-177463F55218}"/>
            </c:ext>
          </c:extLst>
        </c:ser>
        <c:ser>
          <c:idx val="1"/>
          <c:order val="1"/>
          <c:tx>
            <c:strRef>
              <c:f>'Cons Graph'!$Y$24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Graph'!$W$25:$W$36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Graph'!$Y$25:$Y$36</c:f>
              <c:numCache>
                <c:formatCode>General</c:formatCode>
                <c:ptCount val="12"/>
                <c:pt idx="0">
                  <c:v>22</c:v>
                </c:pt>
                <c:pt idx="1">
                  <c:v>18</c:v>
                </c:pt>
                <c:pt idx="2">
                  <c:v>13</c:v>
                </c:pt>
                <c:pt idx="3">
                  <c:v>19</c:v>
                </c:pt>
                <c:pt idx="4">
                  <c:v>23</c:v>
                </c:pt>
                <c:pt idx="5">
                  <c:v>21</c:v>
                </c:pt>
                <c:pt idx="6">
                  <c:v>24</c:v>
                </c:pt>
                <c:pt idx="7">
                  <c:v>16</c:v>
                </c:pt>
                <c:pt idx="8">
                  <c:v>12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9A-47DB-83B6-177463F55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519047"/>
        <c:axId val="1021603351"/>
      </c:barChart>
      <c:dateAx>
        <c:axId val="6695190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03351"/>
        <c:crosses val="autoZero"/>
        <c:auto val="1"/>
        <c:lblOffset val="100"/>
        <c:baseTimeUnit val="months"/>
      </c:dateAx>
      <c:valAx>
        <c:axId val="1021603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1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Graph'!$W$3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Graph'!$W$4:$W$15</c:f>
              <c:numCache>
                <c:formatCode>_-"R"* #,##0.00_-;\-"R"* #,##0.00_-;_-"R"* "-"??_-;_-@_-</c:formatCode>
                <c:ptCount val="12"/>
                <c:pt idx="0">
                  <c:v>22.17278125</c:v>
                </c:pt>
                <c:pt idx="1">
                  <c:v>39.041069377990432</c:v>
                </c:pt>
                <c:pt idx="2">
                  <c:v>25.029397239263801</c:v>
                </c:pt>
                <c:pt idx="3">
                  <c:v>38.579591016548463</c:v>
                </c:pt>
                <c:pt idx="4">
                  <c:v>27.244018363939897</c:v>
                </c:pt>
                <c:pt idx="5">
                  <c:v>20.922008974358974</c:v>
                </c:pt>
                <c:pt idx="6">
                  <c:v>27.519674536256321</c:v>
                </c:pt>
                <c:pt idx="7">
                  <c:v>17.956014462809915</c:v>
                </c:pt>
                <c:pt idx="8">
                  <c:v>7.66</c:v>
                </c:pt>
                <c:pt idx="9">
                  <c:v>11.706201735357917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A09-B0C0-E888FC8F87B6}"/>
            </c:ext>
          </c:extLst>
        </c:ser>
        <c:ser>
          <c:idx val="1"/>
          <c:order val="1"/>
          <c:tx>
            <c:strRef>
              <c:f>'Rates Graph'!$X$3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Graph'!$X$4:$X$15</c:f>
              <c:numCache>
                <c:formatCode>_-"R"* #,##0.00_-;\-"R"* #,##0.00_-;_-"R"* "-"??_-;_-@_-</c:formatCode>
                <c:ptCount val="12"/>
                <c:pt idx="0">
                  <c:v>0</c:v>
                </c:pt>
                <c:pt idx="1">
                  <c:v>10.88</c:v>
                </c:pt>
                <c:pt idx="2">
                  <c:v>13.15</c:v>
                </c:pt>
                <c:pt idx="3">
                  <c:v>10.30750922509225</c:v>
                </c:pt>
                <c:pt idx="4">
                  <c:v>13.853497688751926</c:v>
                </c:pt>
                <c:pt idx="5">
                  <c:v>12.787713414634146</c:v>
                </c:pt>
                <c:pt idx="6">
                  <c:v>16.09</c:v>
                </c:pt>
                <c:pt idx="7">
                  <c:v>8.01</c:v>
                </c:pt>
                <c:pt idx="8">
                  <c:v>0.15</c:v>
                </c:pt>
                <c:pt idx="9">
                  <c:v>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8-4A09-B0C0-E888FC8F8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513207"/>
        <c:axId val="2110231495"/>
      </c:barChart>
      <c:dateAx>
        <c:axId val="7705132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31495"/>
        <c:crosses val="autoZero"/>
        <c:auto val="1"/>
        <c:lblOffset val="100"/>
        <c:baseTimeUnit val="months"/>
      </c:dateAx>
      <c:valAx>
        <c:axId val="2110231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1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114300</xdr:rowOff>
    </xdr:from>
    <xdr:to>
      <xdr:col>10</xdr:col>
      <xdr:colOff>123825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4EE44-A243-9D9B-5C9C-8E03F2486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76200</xdr:rowOff>
    </xdr:from>
    <xdr:to>
      <xdr:col>8</xdr:col>
      <xdr:colOff>361950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12F50-715C-89A8-5DA7-6B03DB27C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19</xdr:row>
      <xdr:rowOff>104775</xdr:rowOff>
    </xdr:from>
    <xdr:to>
      <xdr:col>8</xdr:col>
      <xdr:colOff>514350</xdr:colOff>
      <xdr:row>33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E817B5-B13D-6FD0-612C-7C6425C1A47B}"/>
            </a:ext>
            <a:ext uri="{147F2762-F138-4A5C-976F-8EAC2B608ADB}">
              <a16:predDERef xmlns:a16="http://schemas.microsoft.com/office/drawing/2014/main" pred="{48412F50-715C-89A8-5DA7-6B03DB27C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171450</xdr:rowOff>
    </xdr:from>
    <xdr:to>
      <xdr:col>8</xdr:col>
      <xdr:colOff>476250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C7036-297B-3A1A-23B9-A4E5D72D5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D579-0224-4F5D-B9BF-611CE03A9AF6}">
  <sheetPr>
    <pageSetUpPr fitToPage="1"/>
  </sheetPr>
  <dimension ref="A1:L601"/>
  <sheetViews>
    <sheetView topLeftCell="A572" workbookViewId="0">
      <selection activeCell="K595" sqref="K595"/>
    </sheetView>
  </sheetViews>
  <sheetFormatPr defaultRowHeight="15"/>
  <cols>
    <col min="1" max="1" width="14.5703125" customWidth="1"/>
    <col min="2" max="2" width="16.28515625" bestFit="1" customWidth="1"/>
    <col min="3" max="3" width="15.140625" bestFit="1" customWidth="1"/>
    <col min="5" max="5" width="14.28515625" bestFit="1" customWidth="1"/>
    <col min="6" max="6" width="16.42578125" customWidth="1"/>
    <col min="7" max="7" width="20.7109375" customWidth="1"/>
    <col min="8" max="8" width="22.28515625" bestFit="1" customWidth="1"/>
  </cols>
  <sheetData>
    <row r="1" spans="1:5" ht="18.75">
      <c r="A1" s="4" t="s">
        <v>0</v>
      </c>
    </row>
    <row r="3" spans="1:5">
      <c r="A3" s="14">
        <v>43101</v>
      </c>
      <c r="B3" s="2"/>
      <c r="C3" s="2"/>
      <c r="D3" s="2"/>
      <c r="E3" s="2"/>
    </row>
    <row r="4" spans="1:5" hidden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idden="1">
      <c r="A5" s="6" t="s">
        <v>6</v>
      </c>
      <c r="B5" s="6">
        <v>41938</v>
      </c>
      <c r="C5" s="6">
        <v>41938</v>
      </c>
      <c r="D5" s="6">
        <v>0</v>
      </c>
      <c r="E5" s="7"/>
    </row>
    <row r="6" spans="1:5" hidden="1">
      <c r="A6" s="6" t="s">
        <v>7</v>
      </c>
      <c r="B6" s="6">
        <v>35145</v>
      </c>
      <c r="C6" s="6">
        <v>35432</v>
      </c>
      <c r="D6" s="6">
        <v>287</v>
      </c>
      <c r="E6" s="7"/>
    </row>
    <row r="7" spans="1:5" hidden="1">
      <c r="A7" s="6" t="s">
        <v>8</v>
      </c>
      <c r="B7" s="6">
        <v>35044</v>
      </c>
      <c r="C7" s="6">
        <v>35398</v>
      </c>
      <c r="D7" s="6">
        <v>354</v>
      </c>
      <c r="E7" s="7">
        <v>4329.9593999999997</v>
      </c>
    </row>
    <row r="8" spans="1:5" hidden="1">
      <c r="A8" s="6" t="s">
        <v>9</v>
      </c>
      <c r="B8" s="6">
        <v>41938</v>
      </c>
      <c r="C8" s="6">
        <v>41938</v>
      </c>
      <c r="D8" s="6">
        <v>0</v>
      </c>
      <c r="E8" s="7">
        <v>0</v>
      </c>
    </row>
    <row r="9" spans="1:5" hidden="1">
      <c r="A9" s="6" t="s">
        <v>10</v>
      </c>
      <c r="B9" s="6"/>
      <c r="C9" s="6"/>
      <c r="D9" s="6"/>
      <c r="E9" s="7">
        <v>10123.200000000001</v>
      </c>
    </row>
    <row r="10" spans="1:5" hidden="1">
      <c r="A10" s="6" t="s">
        <v>11</v>
      </c>
      <c r="B10" s="6"/>
      <c r="C10" s="6"/>
      <c r="D10" s="6"/>
      <c r="E10" s="7">
        <v>5706.52</v>
      </c>
    </row>
    <row r="11" spans="1:5" hidden="1">
      <c r="A11" s="6" t="s">
        <v>12</v>
      </c>
      <c r="B11" s="6"/>
      <c r="C11" s="6"/>
      <c r="D11" s="6"/>
      <c r="E11" s="7">
        <v>4416.68</v>
      </c>
    </row>
    <row r="12" spans="1:5" hidden="1">
      <c r="E12" s="5"/>
    </row>
    <row r="13" spans="1:5" hidden="1">
      <c r="A13" s="1">
        <v>43132</v>
      </c>
      <c r="B13" s="2"/>
      <c r="C13" s="2"/>
      <c r="D13" s="2"/>
      <c r="E13" s="2"/>
    </row>
    <row r="14" spans="1:5" hidden="1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5" hidden="1">
      <c r="A15" s="6" t="s">
        <v>6</v>
      </c>
      <c r="B15" s="6">
        <v>41938</v>
      </c>
      <c r="C15" s="6">
        <v>42013</v>
      </c>
      <c r="D15" s="6">
        <v>75</v>
      </c>
      <c r="E15" s="7"/>
    </row>
    <row r="16" spans="1:5" hidden="1">
      <c r="A16" s="6" t="s">
        <v>7</v>
      </c>
      <c r="B16" s="6">
        <v>35432</v>
      </c>
      <c r="C16" s="6">
        <v>35740</v>
      </c>
      <c r="D16" s="6">
        <v>308</v>
      </c>
      <c r="E16" s="7"/>
    </row>
    <row r="17" spans="1:5" hidden="1">
      <c r="A17" s="6" t="s">
        <v>8</v>
      </c>
      <c r="B17" s="6">
        <v>35398</v>
      </c>
      <c r="C17" s="6">
        <v>35984</v>
      </c>
      <c r="D17" s="6">
        <v>586</v>
      </c>
      <c r="E17" s="7">
        <v>4009.8473999999997</v>
      </c>
    </row>
    <row r="18" spans="1:5" hidden="1">
      <c r="A18" s="6" t="s">
        <v>9</v>
      </c>
      <c r="B18" s="6">
        <v>42007</v>
      </c>
      <c r="C18" s="6">
        <v>42007</v>
      </c>
      <c r="D18" s="6">
        <v>0</v>
      </c>
      <c r="E18" s="7">
        <v>0</v>
      </c>
    </row>
    <row r="19" spans="1:5" hidden="1">
      <c r="A19" s="6" t="s">
        <v>10</v>
      </c>
      <c r="B19" s="6"/>
      <c r="C19" s="6"/>
      <c r="D19" s="6"/>
      <c r="E19" s="7">
        <v>10123.200000000001</v>
      </c>
    </row>
    <row r="20" spans="1:5" hidden="1">
      <c r="A20" s="6" t="s">
        <v>11</v>
      </c>
      <c r="B20" s="6"/>
      <c r="C20" s="6"/>
      <c r="D20" s="6"/>
      <c r="E20" s="7">
        <v>4009.8473999999997</v>
      </c>
    </row>
    <row r="21" spans="1:5" hidden="1">
      <c r="A21" s="6" t="s">
        <v>12</v>
      </c>
      <c r="B21" s="6"/>
      <c r="C21" s="6"/>
      <c r="D21" s="6"/>
      <c r="E21" s="7">
        <v>6113.3526000000011</v>
      </c>
    </row>
    <row r="22" spans="1:5" hidden="1">
      <c r="E22" s="5"/>
    </row>
    <row r="23" spans="1:5" hidden="1">
      <c r="A23" s="1">
        <v>43160</v>
      </c>
      <c r="B23" s="2"/>
      <c r="C23" s="2"/>
      <c r="D23" s="2"/>
      <c r="E23" s="2"/>
    </row>
    <row r="24" spans="1:5" hidden="1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</row>
    <row r="25" spans="1:5" hidden="1">
      <c r="A25" s="6" t="s">
        <v>6</v>
      </c>
      <c r="B25" s="6">
        <v>42013</v>
      </c>
      <c r="C25" s="6">
        <v>42181</v>
      </c>
      <c r="D25" s="6">
        <v>168</v>
      </c>
      <c r="E25" s="7"/>
    </row>
    <row r="26" spans="1:5" hidden="1">
      <c r="A26" s="6" t="s">
        <v>7</v>
      </c>
      <c r="B26" s="6">
        <v>35740</v>
      </c>
      <c r="C26" s="6">
        <v>36103</v>
      </c>
      <c r="D26" s="6">
        <v>363</v>
      </c>
      <c r="E26" s="7"/>
    </row>
    <row r="27" spans="1:5" hidden="1">
      <c r="A27" s="6" t="s">
        <v>8</v>
      </c>
      <c r="B27" s="6">
        <v>35984</v>
      </c>
      <c r="C27" s="6">
        <v>36011</v>
      </c>
      <c r="D27" s="6">
        <v>27</v>
      </c>
      <c r="E27" s="7">
        <v>3756.0954999999999</v>
      </c>
    </row>
    <row r="28" spans="1:5" hidden="1">
      <c r="A28" s="6" t="s">
        <v>9</v>
      </c>
      <c r="B28" s="6">
        <v>42077</v>
      </c>
      <c r="C28" s="6">
        <v>42084</v>
      </c>
      <c r="D28" s="6">
        <v>7</v>
      </c>
      <c r="E28" s="7">
        <v>425.5575</v>
      </c>
    </row>
    <row r="29" spans="1:5" hidden="1">
      <c r="A29" s="6" t="s">
        <v>10</v>
      </c>
      <c r="B29" s="6"/>
      <c r="C29" s="6"/>
      <c r="D29" s="6"/>
      <c r="E29" s="7">
        <v>10123.200000000001</v>
      </c>
    </row>
    <row r="30" spans="1:5" hidden="1">
      <c r="A30" s="6" t="s">
        <v>11</v>
      </c>
      <c r="B30" s="6"/>
      <c r="C30" s="6"/>
      <c r="D30" s="6"/>
      <c r="E30" s="7">
        <v>4181.6530000000002</v>
      </c>
    </row>
    <row r="31" spans="1:5" hidden="1">
      <c r="A31" s="6" t="s">
        <v>12</v>
      </c>
      <c r="B31" s="6"/>
      <c r="C31" s="6"/>
      <c r="D31" s="6"/>
      <c r="E31" s="7">
        <v>5941.5470000000005</v>
      </c>
    </row>
    <row r="32" spans="1:5" hidden="1">
      <c r="E32" s="5"/>
    </row>
    <row r="33" spans="1:5" hidden="1">
      <c r="A33" s="1">
        <v>43191</v>
      </c>
      <c r="B33" s="2"/>
      <c r="C33" s="2"/>
      <c r="D33" s="2"/>
      <c r="E33" s="2"/>
    </row>
    <row r="34" spans="1:5" hidden="1">
      <c r="A34" s="3" t="s">
        <v>1</v>
      </c>
      <c r="B34" s="3" t="s">
        <v>2</v>
      </c>
      <c r="C34" s="3" t="s">
        <v>3</v>
      </c>
      <c r="D34" s="3" t="s">
        <v>4</v>
      </c>
      <c r="E34" s="3" t="s">
        <v>5</v>
      </c>
    </row>
    <row r="35" spans="1:5" hidden="1">
      <c r="A35" s="6" t="s">
        <v>6</v>
      </c>
      <c r="B35" s="6">
        <v>42181</v>
      </c>
      <c r="C35" s="6">
        <v>42392</v>
      </c>
      <c r="D35" s="6">
        <v>211</v>
      </c>
      <c r="E35" s="7"/>
    </row>
    <row r="36" spans="1:5" hidden="1">
      <c r="A36" s="6" t="s">
        <v>7</v>
      </c>
      <c r="B36" s="6">
        <v>36103</v>
      </c>
      <c r="C36" s="6">
        <v>36620</v>
      </c>
      <c r="D36" s="6">
        <v>517</v>
      </c>
      <c r="E36" s="7"/>
    </row>
    <row r="37" spans="1:5" hidden="1">
      <c r="A37" s="6" t="s">
        <v>8</v>
      </c>
      <c r="B37" s="6">
        <v>36011</v>
      </c>
      <c r="C37" s="6">
        <v>36145</v>
      </c>
      <c r="D37" s="6">
        <v>134</v>
      </c>
      <c r="E37" s="7">
        <v>18063.2225</v>
      </c>
    </row>
    <row r="38" spans="1:5" hidden="1">
      <c r="A38" s="6" t="s">
        <v>9</v>
      </c>
      <c r="B38" s="6">
        <v>42084</v>
      </c>
      <c r="C38" s="6">
        <v>42205</v>
      </c>
      <c r="D38" s="6">
        <v>121</v>
      </c>
      <c r="E38" s="7"/>
    </row>
    <row r="39" spans="1:5" hidden="1">
      <c r="A39" s="6" t="s">
        <v>10</v>
      </c>
      <c r="B39" s="6"/>
      <c r="C39" s="6"/>
      <c r="D39" s="6"/>
      <c r="E39" s="7">
        <v>9876.14</v>
      </c>
    </row>
    <row r="40" spans="1:5" hidden="1">
      <c r="A40" s="6" t="s">
        <v>11</v>
      </c>
      <c r="B40" s="6"/>
      <c r="C40" s="6"/>
      <c r="D40" s="6"/>
      <c r="E40" s="7">
        <v>18063.2225</v>
      </c>
    </row>
    <row r="41" spans="1:5" hidden="1">
      <c r="A41" s="6" t="s">
        <v>12</v>
      </c>
      <c r="B41" s="6"/>
      <c r="C41" s="6"/>
      <c r="D41" s="6"/>
      <c r="E41" s="7">
        <v>-8187.0825000000004</v>
      </c>
    </row>
    <row r="42" spans="1:5" hidden="1">
      <c r="E42" s="5"/>
    </row>
    <row r="43" spans="1:5" hidden="1">
      <c r="A43" s="1">
        <v>43221</v>
      </c>
      <c r="B43" s="2"/>
      <c r="C43" s="2"/>
      <c r="D43" s="2"/>
      <c r="E43" s="2"/>
    </row>
    <row r="44" spans="1:5" hidden="1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</row>
    <row r="45" spans="1:5" hidden="1">
      <c r="A45" s="6" t="s">
        <v>6</v>
      </c>
      <c r="B45" s="6">
        <v>42392</v>
      </c>
      <c r="C45" s="6">
        <v>42592</v>
      </c>
      <c r="D45" s="6">
        <v>200</v>
      </c>
      <c r="E45" s="7">
        <v>10370.26</v>
      </c>
    </row>
    <row r="46" spans="1:5" hidden="1">
      <c r="A46" s="6" t="s">
        <v>7</v>
      </c>
      <c r="B46" s="6">
        <v>36620</v>
      </c>
      <c r="C46" s="6">
        <v>36960</v>
      </c>
      <c r="D46" s="6">
        <v>340</v>
      </c>
      <c r="E46" s="7"/>
    </row>
    <row r="47" spans="1:5" hidden="1">
      <c r="A47" s="6" t="s">
        <v>8</v>
      </c>
      <c r="B47" s="6">
        <v>36145</v>
      </c>
      <c r="C47" s="6">
        <v>37367</v>
      </c>
      <c r="D47" s="6">
        <v>1222</v>
      </c>
      <c r="E47" s="7">
        <v>10063.810999999998</v>
      </c>
    </row>
    <row r="48" spans="1:5" hidden="1">
      <c r="A48" s="6" t="s">
        <v>9</v>
      </c>
      <c r="B48" s="6">
        <v>42205</v>
      </c>
      <c r="C48" s="6">
        <v>42777</v>
      </c>
      <c r="D48" s="6">
        <v>572</v>
      </c>
      <c r="E48" s="7"/>
    </row>
    <row r="49" spans="1:5" hidden="1">
      <c r="A49" s="6" t="s">
        <v>10</v>
      </c>
      <c r="B49" s="6"/>
      <c r="C49" s="6"/>
      <c r="D49" s="6"/>
      <c r="E49" s="7">
        <v>10370.26</v>
      </c>
    </row>
    <row r="50" spans="1:5" hidden="1">
      <c r="A50" s="6" t="s">
        <v>11</v>
      </c>
      <c r="B50" s="6"/>
      <c r="C50" s="6"/>
      <c r="D50" s="6"/>
      <c r="E50" s="7">
        <v>10063.810999999998</v>
      </c>
    </row>
    <row r="51" spans="1:5" hidden="1">
      <c r="A51" s="6" t="s">
        <v>12</v>
      </c>
      <c r="B51" s="6"/>
      <c r="C51" s="6"/>
      <c r="D51" s="6"/>
      <c r="E51" s="7">
        <v>306.44900000000234</v>
      </c>
    </row>
    <row r="52" spans="1:5" hidden="1">
      <c r="E52" s="5"/>
    </row>
    <row r="53" spans="1:5" hidden="1">
      <c r="A53" s="1">
        <v>43252</v>
      </c>
      <c r="B53" s="2"/>
      <c r="C53" s="2"/>
      <c r="D53" s="2"/>
      <c r="E53" s="2"/>
    </row>
    <row r="54" spans="1:5" hidden="1">
      <c r="A54" s="3" t="s">
        <v>1</v>
      </c>
      <c r="B54" s="3" t="s">
        <v>2</v>
      </c>
      <c r="C54" s="3" t="s">
        <v>3</v>
      </c>
      <c r="D54" s="3" t="s">
        <v>4</v>
      </c>
      <c r="E54" s="3" t="s">
        <v>5</v>
      </c>
    </row>
    <row r="55" spans="1:5" hidden="1">
      <c r="A55" s="6" t="s">
        <v>6</v>
      </c>
      <c r="B55" s="6">
        <v>42592</v>
      </c>
      <c r="C55" s="6">
        <v>42846</v>
      </c>
      <c r="D55" s="6">
        <v>254</v>
      </c>
      <c r="E55" s="7">
        <v>10123.200000000001</v>
      </c>
    </row>
    <row r="56" spans="1:5" hidden="1">
      <c r="A56" s="6" t="s">
        <v>7</v>
      </c>
      <c r="B56" s="6">
        <v>36960</v>
      </c>
      <c r="C56" s="6">
        <v>37352</v>
      </c>
      <c r="D56" s="6">
        <v>392</v>
      </c>
      <c r="E56" s="7"/>
    </row>
    <row r="57" spans="1:5" hidden="1">
      <c r="A57" s="6" t="s">
        <v>8</v>
      </c>
      <c r="B57" s="6">
        <v>37367</v>
      </c>
      <c r="C57" s="6">
        <v>37367</v>
      </c>
      <c r="D57" s="6">
        <v>0</v>
      </c>
      <c r="E57" s="7">
        <v>10132.546499999999</v>
      </c>
    </row>
    <row r="58" spans="1:5" hidden="1">
      <c r="A58" s="6" t="s">
        <v>9</v>
      </c>
      <c r="B58" s="6">
        <v>42777</v>
      </c>
      <c r="C58" s="6">
        <v>42777</v>
      </c>
      <c r="D58" s="6">
        <v>0</v>
      </c>
      <c r="E58" s="7">
        <v>1204.6709999999998</v>
      </c>
    </row>
    <row r="59" spans="1:5" hidden="1">
      <c r="A59" s="6" t="s">
        <v>10</v>
      </c>
      <c r="B59" s="6"/>
      <c r="C59" s="6"/>
      <c r="D59" s="6"/>
      <c r="E59" s="7">
        <v>10123.200000000001</v>
      </c>
    </row>
    <row r="60" spans="1:5" hidden="1">
      <c r="A60" s="6" t="s">
        <v>11</v>
      </c>
      <c r="B60" s="6"/>
      <c r="C60" s="6"/>
      <c r="D60" s="6"/>
      <c r="E60" s="7">
        <v>11180.08</v>
      </c>
    </row>
    <row r="61" spans="1:5" hidden="1">
      <c r="A61" s="6" t="s">
        <v>12</v>
      </c>
      <c r="B61" s="6"/>
      <c r="C61" s="6"/>
      <c r="D61" s="6"/>
      <c r="E61" s="7">
        <v>-1056.8799999999992</v>
      </c>
    </row>
    <row r="62" spans="1:5" hidden="1">
      <c r="E62" s="5"/>
    </row>
    <row r="63" spans="1:5" hidden="1">
      <c r="A63" s="1">
        <v>43282</v>
      </c>
      <c r="B63" s="2"/>
      <c r="C63" s="2"/>
      <c r="D63" s="2"/>
      <c r="E63" s="2"/>
    </row>
    <row r="64" spans="1:5" hidden="1">
      <c r="A64" s="3" t="s">
        <v>1</v>
      </c>
      <c r="B64" s="3" t="s">
        <v>2</v>
      </c>
      <c r="C64" s="3" t="s">
        <v>3</v>
      </c>
      <c r="D64" s="3" t="s">
        <v>4</v>
      </c>
      <c r="E64" s="3" t="s">
        <v>5</v>
      </c>
    </row>
    <row r="65" spans="1:5" hidden="1">
      <c r="A65" s="6" t="s">
        <v>6</v>
      </c>
      <c r="B65" s="6">
        <v>42846</v>
      </c>
      <c r="C65" s="6">
        <v>43147</v>
      </c>
      <c r="D65" s="6">
        <v>301</v>
      </c>
      <c r="E65" s="7">
        <v>13177.96</v>
      </c>
    </row>
    <row r="66" spans="1:5" hidden="1">
      <c r="A66" s="6" t="s">
        <v>7</v>
      </c>
      <c r="B66" s="6">
        <v>37352</v>
      </c>
      <c r="C66" s="6">
        <v>37780</v>
      </c>
      <c r="D66" s="6">
        <v>428</v>
      </c>
      <c r="E66" s="7"/>
    </row>
    <row r="67" spans="1:5" hidden="1">
      <c r="A67" s="6" t="s">
        <v>8</v>
      </c>
      <c r="B67" s="6">
        <v>37367</v>
      </c>
      <c r="C67" s="6">
        <v>38172</v>
      </c>
      <c r="D67" s="6">
        <v>805</v>
      </c>
      <c r="E67" s="7">
        <v>8878.6094999999987</v>
      </c>
    </row>
    <row r="68" spans="1:5" hidden="1">
      <c r="A68" s="6" t="s">
        <v>9</v>
      </c>
      <c r="B68" s="6">
        <v>42777</v>
      </c>
      <c r="C68" s="6">
        <v>43186</v>
      </c>
      <c r="D68" s="6">
        <v>409</v>
      </c>
      <c r="E68" s="7">
        <v>0</v>
      </c>
    </row>
    <row r="69" spans="1:5" hidden="1">
      <c r="A69" s="6" t="s">
        <v>10</v>
      </c>
      <c r="B69" s="6"/>
      <c r="C69" s="6"/>
      <c r="D69" s="6"/>
      <c r="E69" s="7">
        <v>13177.96</v>
      </c>
    </row>
    <row r="70" spans="1:5" hidden="1">
      <c r="A70" s="6" t="s">
        <v>11</v>
      </c>
      <c r="B70" s="6"/>
      <c r="C70" s="6"/>
      <c r="D70" s="6"/>
      <c r="E70" s="7">
        <v>8878.6094999999987</v>
      </c>
    </row>
    <row r="71" spans="1:5" hidden="1">
      <c r="A71" s="6" t="s">
        <v>12</v>
      </c>
      <c r="B71" s="6"/>
      <c r="C71" s="6"/>
      <c r="D71" s="6"/>
      <c r="E71" s="7">
        <v>4299.3505000000005</v>
      </c>
    </row>
    <row r="72" spans="1:5" hidden="1">
      <c r="E72" s="5"/>
    </row>
    <row r="73" spans="1:5" hidden="1">
      <c r="A73" s="1">
        <v>43313</v>
      </c>
      <c r="B73" s="2"/>
      <c r="C73" s="2"/>
      <c r="D73" s="2"/>
      <c r="E73" s="2"/>
    </row>
    <row r="74" spans="1:5" hidden="1">
      <c r="A74" s="3" t="s">
        <v>1</v>
      </c>
      <c r="B74" s="3" t="s">
        <v>2</v>
      </c>
      <c r="C74" s="3" t="s">
        <v>3</v>
      </c>
      <c r="D74" s="3" t="s">
        <v>4</v>
      </c>
      <c r="E74" s="3" t="s">
        <v>5</v>
      </c>
    </row>
    <row r="75" spans="1:5" hidden="1">
      <c r="A75" s="6" t="s">
        <v>6</v>
      </c>
      <c r="B75" s="6">
        <v>42846</v>
      </c>
      <c r="C75" s="6">
        <v>43438</v>
      </c>
      <c r="D75" s="6">
        <v>592</v>
      </c>
      <c r="E75" s="7">
        <v>13177.96</v>
      </c>
    </row>
    <row r="76" spans="1:5" hidden="1">
      <c r="A76" s="6" t="s">
        <v>7</v>
      </c>
      <c r="B76" s="6">
        <v>37352</v>
      </c>
      <c r="C76" s="6">
        <v>38193</v>
      </c>
      <c r="D76" s="6">
        <v>841</v>
      </c>
      <c r="E76" s="7"/>
    </row>
    <row r="77" spans="1:5" hidden="1">
      <c r="A77" s="6" t="s">
        <v>8</v>
      </c>
      <c r="B77" s="6">
        <v>37367</v>
      </c>
      <c r="C77" s="6">
        <v>38172</v>
      </c>
      <c r="D77" s="6">
        <v>805</v>
      </c>
      <c r="E77" s="7">
        <v>20865.427499999998</v>
      </c>
    </row>
    <row r="78" spans="1:5" hidden="1">
      <c r="A78" s="6" t="s">
        <v>9</v>
      </c>
      <c r="B78" s="6">
        <v>42777</v>
      </c>
      <c r="C78" s="6">
        <v>43827</v>
      </c>
      <c r="D78" s="6">
        <v>1050</v>
      </c>
      <c r="E78" s="7">
        <v>0</v>
      </c>
    </row>
    <row r="79" spans="1:5" hidden="1">
      <c r="A79" s="6" t="s">
        <v>10</v>
      </c>
      <c r="B79" s="6"/>
      <c r="C79" s="6"/>
      <c r="D79" s="6"/>
      <c r="E79" s="7">
        <v>13177.96</v>
      </c>
    </row>
    <row r="80" spans="1:5" hidden="1">
      <c r="A80" s="6" t="s">
        <v>11</v>
      </c>
      <c r="B80" s="6"/>
      <c r="C80" s="6"/>
      <c r="D80" s="6"/>
      <c r="E80" s="7">
        <v>20865.427499999998</v>
      </c>
    </row>
    <row r="81" spans="1:5" hidden="1">
      <c r="A81" s="6" t="s">
        <v>12</v>
      </c>
      <c r="B81" s="6"/>
      <c r="C81" s="6"/>
      <c r="D81" s="6"/>
      <c r="E81" s="7">
        <v>-7687.4674999999988</v>
      </c>
    </row>
    <row r="82" spans="1:5" hidden="1">
      <c r="E82" s="5"/>
    </row>
    <row r="83" spans="1:5" hidden="1">
      <c r="A83" s="1">
        <v>43344</v>
      </c>
      <c r="B83" s="2"/>
      <c r="C83" s="2"/>
      <c r="D83" s="2"/>
      <c r="E83" s="2"/>
    </row>
    <row r="84" spans="1:5" hidden="1">
      <c r="A84" s="3" t="s">
        <v>1</v>
      </c>
      <c r="B84" s="3" t="s">
        <v>2</v>
      </c>
      <c r="C84" s="3" t="s">
        <v>3</v>
      </c>
      <c r="D84" s="3" t="s">
        <v>4</v>
      </c>
      <c r="E84" s="3" t="s">
        <v>5</v>
      </c>
    </row>
    <row r="85" spans="1:5" hidden="1">
      <c r="A85" s="6" t="s">
        <v>6</v>
      </c>
      <c r="B85" s="6">
        <v>42846</v>
      </c>
      <c r="C85" s="6">
        <v>43895</v>
      </c>
      <c r="D85" s="6">
        <v>1049</v>
      </c>
      <c r="E85" s="7">
        <v>13177.96</v>
      </c>
    </row>
    <row r="86" spans="1:5" hidden="1">
      <c r="A86" s="6" t="s">
        <v>7</v>
      </c>
      <c r="B86" s="6">
        <v>37352</v>
      </c>
      <c r="C86" s="6">
        <v>38662</v>
      </c>
      <c r="D86" s="6">
        <v>1310</v>
      </c>
      <c r="E86" s="7"/>
    </row>
    <row r="87" spans="1:5" hidden="1">
      <c r="A87" s="6" t="s">
        <v>8</v>
      </c>
      <c r="B87" s="6">
        <v>38172</v>
      </c>
      <c r="C87" s="6">
        <v>39010</v>
      </c>
      <c r="D87" s="6">
        <v>838</v>
      </c>
      <c r="E87" s="7">
        <v>14038.084499999999</v>
      </c>
    </row>
    <row r="88" spans="1:5" hidden="1">
      <c r="A88" s="6" t="s">
        <v>9</v>
      </c>
      <c r="B88" s="6">
        <v>43827</v>
      </c>
      <c r="C88" s="6">
        <v>44166</v>
      </c>
      <c r="D88" s="6">
        <v>339</v>
      </c>
      <c r="E88" s="7">
        <v>0</v>
      </c>
    </row>
    <row r="89" spans="1:5" hidden="1">
      <c r="A89" s="6" t="s">
        <v>10</v>
      </c>
      <c r="B89" s="6"/>
      <c r="C89" s="6"/>
      <c r="D89" s="6"/>
      <c r="E89" s="7">
        <v>13177.96</v>
      </c>
    </row>
    <row r="90" spans="1:5" hidden="1">
      <c r="A90" s="6" t="s">
        <v>11</v>
      </c>
      <c r="B90" s="6"/>
      <c r="C90" s="6"/>
      <c r="D90" s="6"/>
      <c r="E90" s="7">
        <v>14038.084499999999</v>
      </c>
    </row>
    <row r="91" spans="1:5" hidden="1">
      <c r="A91" s="6" t="s">
        <v>12</v>
      </c>
      <c r="B91" s="6"/>
      <c r="C91" s="6"/>
      <c r="D91" s="6"/>
      <c r="E91" s="7">
        <v>-860.1244999999999</v>
      </c>
    </row>
    <row r="92" spans="1:5" hidden="1">
      <c r="E92" s="5"/>
    </row>
    <row r="93" spans="1:5" hidden="1">
      <c r="A93" s="1">
        <v>43374</v>
      </c>
      <c r="B93" s="2"/>
      <c r="C93" s="2"/>
      <c r="D93" s="2"/>
      <c r="E93" s="2"/>
    </row>
    <row r="94" spans="1:5" hidden="1">
      <c r="A94" s="3" t="s">
        <v>1</v>
      </c>
      <c r="B94" s="3" t="s">
        <v>2</v>
      </c>
      <c r="C94" s="3" t="s">
        <v>3</v>
      </c>
      <c r="D94" s="3" t="s">
        <v>4</v>
      </c>
      <c r="E94" s="3" t="s">
        <v>5</v>
      </c>
    </row>
    <row r="95" spans="1:5" hidden="1">
      <c r="A95" s="6" t="s">
        <v>6</v>
      </c>
      <c r="B95" s="6">
        <v>43895</v>
      </c>
      <c r="C95" s="6">
        <v>44273</v>
      </c>
      <c r="D95" s="6">
        <v>378</v>
      </c>
      <c r="E95" s="7">
        <v>13177.96</v>
      </c>
    </row>
    <row r="96" spans="1:5" hidden="1">
      <c r="A96" s="6" t="s">
        <v>7</v>
      </c>
      <c r="B96" s="6">
        <v>38662</v>
      </c>
      <c r="C96" s="6">
        <v>39102</v>
      </c>
      <c r="D96" s="6">
        <v>440</v>
      </c>
      <c r="E96" s="7"/>
    </row>
    <row r="97" spans="1:5" hidden="1">
      <c r="A97" s="6" t="s">
        <v>8</v>
      </c>
      <c r="B97" s="6">
        <v>39010</v>
      </c>
      <c r="C97" s="6">
        <v>39478</v>
      </c>
      <c r="D97" s="6">
        <v>468</v>
      </c>
      <c r="E97" s="7">
        <v>18327.906499999997</v>
      </c>
    </row>
    <row r="98" spans="1:5" hidden="1">
      <c r="A98" s="6" t="s">
        <v>9</v>
      </c>
      <c r="B98" s="6">
        <v>44166</v>
      </c>
      <c r="C98" s="6">
        <v>44642</v>
      </c>
      <c r="D98" s="6">
        <v>476</v>
      </c>
      <c r="E98" s="7">
        <v>0</v>
      </c>
    </row>
    <row r="99" spans="1:5" hidden="1">
      <c r="A99" s="6" t="s">
        <v>10</v>
      </c>
      <c r="B99" s="6"/>
      <c r="C99" s="6"/>
      <c r="D99" s="6"/>
      <c r="E99" s="7">
        <v>13177.96</v>
      </c>
    </row>
    <row r="100" spans="1:5" hidden="1">
      <c r="A100" s="6" t="s">
        <v>11</v>
      </c>
      <c r="B100" s="6"/>
      <c r="C100" s="6"/>
      <c r="D100" s="6"/>
      <c r="E100" s="7">
        <v>18327.906499999997</v>
      </c>
    </row>
    <row r="101" spans="1:5" hidden="1">
      <c r="A101" s="6" t="s">
        <v>12</v>
      </c>
      <c r="B101" s="6"/>
      <c r="C101" s="6"/>
      <c r="D101" s="6"/>
      <c r="E101" s="7">
        <v>-5149.9464999999982</v>
      </c>
    </row>
    <row r="102" spans="1:5" hidden="1">
      <c r="E102" s="5"/>
    </row>
    <row r="103" spans="1:5" hidden="1">
      <c r="A103" s="1">
        <v>43405</v>
      </c>
      <c r="B103" s="2"/>
      <c r="C103" s="2"/>
      <c r="D103" s="2"/>
      <c r="E103" s="2"/>
    </row>
    <row r="104" spans="1:5" hidden="1">
      <c r="A104" s="3" t="s">
        <v>1</v>
      </c>
      <c r="B104" s="3" t="s">
        <v>2</v>
      </c>
      <c r="C104" s="3" t="s">
        <v>3</v>
      </c>
      <c r="D104" s="3" t="s">
        <v>4</v>
      </c>
      <c r="E104" s="3" t="s">
        <v>5</v>
      </c>
    </row>
    <row r="105" spans="1:5" hidden="1">
      <c r="A105" s="6" t="s">
        <v>6</v>
      </c>
      <c r="B105" s="6">
        <v>44273</v>
      </c>
      <c r="C105" s="6">
        <v>44687</v>
      </c>
      <c r="D105" s="6">
        <v>414</v>
      </c>
      <c r="E105" s="7">
        <v>13177.96</v>
      </c>
    </row>
    <row r="106" spans="1:5" hidden="1">
      <c r="A106" s="6" t="s">
        <v>7</v>
      </c>
      <c r="B106" s="6">
        <v>39102</v>
      </c>
      <c r="C106" s="6">
        <v>39534</v>
      </c>
      <c r="D106" s="6">
        <v>432</v>
      </c>
      <c r="E106" s="7"/>
    </row>
    <row r="107" spans="1:5" hidden="1">
      <c r="A107" s="6" t="s">
        <v>8</v>
      </c>
      <c r="B107" s="6">
        <v>39478</v>
      </c>
      <c r="C107" s="6">
        <v>39837</v>
      </c>
      <c r="D107" s="6">
        <v>359</v>
      </c>
      <c r="E107" s="7">
        <v>12693.9185</v>
      </c>
    </row>
    <row r="108" spans="1:5" hidden="1">
      <c r="A108" s="6" t="s">
        <v>9</v>
      </c>
      <c r="B108" s="6">
        <v>44642</v>
      </c>
      <c r="C108" s="6">
        <v>44951</v>
      </c>
      <c r="D108" s="6">
        <v>309</v>
      </c>
      <c r="E108" s="7">
        <v>0</v>
      </c>
    </row>
    <row r="109" spans="1:5" hidden="1">
      <c r="A109" s="6" t="s">
        <v>10</v>
      </c>
      <c r="B109" s="6"/>
      <c r="C109" s="6"/>
      <c r="D109" s="6"/>
      <c r="E109" s="7">
        <v>13177.96</v>
      </c>
    </row>
    <row r="110" spans="1:5" hidden="1">
      <c r="A110" s="6" t="s">
        <v>11</v>
      </c>
      <c r="B110" s="6"/>
      <c r="C110" s="6"/>
      <c r="D110" s="6"/>
      <c r="E110" s="7">
        <v>12693.9185</v>
      </c>
    </row>
    <row r="111" spans="1:5" hidden="1">
      <c r="A111" s="6" t="s">
        <v>12</v>
      </c>
      <c r="B111" s="6"/>
      <c r="C111" s="6"/>
      <c r="D111" s="6"/>
      <c r="E111" s="7">
        <v>484.04149999999936</v>
      </c>
    </row>
    <row r="112" spans="1:5" hidden="1">
      <c r="E112" s="5"/>
    </row>
    <row r="113" spans="1:10" hidden="1">
      <c r="A113" s="1">
        <v>43435</v>
      </c>
      <c r="B113" s="2"/>
      <c r="C113" s="2"/>
      <c r="D113" s="2"/>
      <c r="E113" s="2"/>
    </row>
    <row r="114" spans="1:10" hidden="1">
      <c r="A114" s="3" t="s">
        <v>1</v>
      </c>
      <c r="B114" s="3" t="s">
        <v>2</v>
      </c>
      <c r="C114" s="3" t="s">
        <v>3</v>
      </c>
      <c r="D114" s="3" t="s">
        <v>4</v>
      </c>
      <c r="E114" s="3" t="s">
        <v>5</v>
      </c>
    </row>
    <row r="115" spans="1:10" hidden="1">
      <c r="A115" s="6" t="s">
        <v>6</v>
      </c>
      <c r="B115" s="6">
        <v>44687</v>
      </c>
      <c r="C115" s="6">
        <v>45125</v>
      </c>
      <c r="D115" s="6">
        <v>438</v>
      </c>
      <c r="E115" s="7">
        <v>13177.96</v>
      </c>
    </row>
    <row r="116" spans="1:10" hidden="1">
      <c r="A116" s="6" t="s">
        <v>7</v>
      </c>
      <c r="B116" s="6">
        <v>39534</v>
      </c>
      <c r="C116" s="6">
        <v>40134</v>
      </c>
      <c r="D116" s="6">
        <v>600</v>
      </c>
      <c r="E116" s="7"/>
    </row>
    <row r="117" spans="1:10" hidden="1">
      <c r="A117" s="6" t="s">
        <v>8</v>
      </c>
      <c r="B117" s="6">
        <v>39837</v>
      </c>
      <c r="C117" s="6">
        <v>40387</v>
      </c>
      <c r="D117" s="6">
        <v>550</v>
      </c>
      <c r="E117" s="7">
        <v>15753.297999999999</v>
      </c>
    </row>
    <row r="118" spans="1:10" hidden="1">
      <c r="A118" s="6" t="s">
        <v>9</v>
      </c>
      <c r="B118" s="6">
        <v>44951</v>
      </c>
      <c r="C118" s="6">
        <v>45278</v>
      </c>
      <c r="D118" s="6">
        <v>327</v>
      </c>
      <c r="E118" s="7">
        <v>0</v>
      </c>
    </row>
    <row r="119" spans="1:10" hidden="1">
      <c r="A119" s="6" t="s">
        <v>10</v>
      </c>
      <c r="B119" s="6"/>
      <c r="C119" s="6"/>
      <c r="D119" s="6"/>
      <c r="E119" s="7">
        <v>13177.96</v>
      </c>
    </row>
    <row r="120" spans="1:10" hidden="1">
      <c r="A120" s="6" t="s">
        <v>11</v>
      </c>
      <c r="B120" s="6"/>
      <c r="C120" s="6"/>
      <c r="D120" s="6"/>
      <c r="E120" s="7">
        <v>15753.297999999999</v>
      </c>
    </row>
    <row r="121" spans="1:10" hidden="1">
      <c r="A121" s="6" t="s">
        <v>12</v>
      </c>
      <c r="B121" s="6"/>
      <c r="C121" s="6"/>
      <c r="D121" s="6"/>
      <c r="E121" s="7">
        <v>-2575.3379999999997</v>
      </c>
    </row>
    <row r="122" spans="1:10">
      <c r="E122" s="5"/>
    </row>
    <row r="123" spans="1:10">
      <c r="A123" s="14">
        <v>43466</v>
      </c>
      <c r="B123" s="2"/>
      <c r="C123" s="2"/>
      <c r="D123" s="2"/>
      <c r="E123" s="2"/>
    </row>
    <row r="124" spans="1:10" hidden="1">
      <c r="A124" s="3" t="s">
        <v>1</v>
      </c>
      <c r="B124" s="3" t="s">
        <v>2</v>
      </c>
      <c r="C124" s="3" t="s">
        <v>3</v>
      </c>
      <c r="D124" s="3" t="s">
        <v>4</v>
      </c>
      <c r="E124" s="3" t="s">
        <v>5</v>
      </c>
      <c r="F124" s="3" t="s">
        <v>13</v>
      </c>
      <c r="G124" s="3" t="s">
        <v>14</v>
      </c>
      <c r="H124" s="3" t="s">
        <v>15</v>
      </c>
      <c r="I124" s="3" t="s">
        <v>16</v>
      </c>
      <c r="J124" s="3" t="s">
        <v>17</v>
      </c>
    </row>
    <row r="125" spans="1:10" hidden="1">
      <c r="A125" s="6" t="s">
        <v>6</v>
      </c>
      <c r="B125" s="6">
        <v>45125</v>
      </c>
      <c r="C125" s="6">
        <v>45325</v>
      </c>
      <c r="D125" s="6">
        <v>200</v>
      </c>
      <c r="E125" s="7">
        <v>13177.96</v>
      </c>
      <c r="F125" s="6" t="s">
        <v>18</v>
      </c>
      <c r="G125" s="6" t="s">
        <v>19</v>
      </c>
      <c r="H125" s="6">
        <v>23</v>
      </c>
      <c r="I125" s="6">
        <f>D129/H125</f>
        <v>23.347826086956523</v>
      </c>
      <c r="J125" s="7">
        <f>E129/D129</f>
        <v>24.539962756052141</v>
      </c>
    </row>
    <row r="126" spans="1:10" hidden="1">
      <c r="A126" s="6" t="s">
        <v>7</v>
      </c>
      <c r="B126" s="6">
        <v>40134</v>
      </c>
      <c r="C126" s="6">
        <v>40471</v>
      </c>
      <c r="D126" s="6">
        <v>337</v>
      </c>
      <c r="E126" s="7"/>
      <c r="F126" s="6"/>
      <c r="G126" s="6"/>
      <c r="H126" s="6"/>
      <c r="I126" s="6"/>
      <c r="J126" s="6"/>
    </row>
    <row r="127" spans="1:10" hidden="1">
      <c r="A127" s="6" t="s">
        <v>8</v>
      </c>
      <c r="B127" s="6">
        <v>40387</v>
      </c>
      <c r="C127" s="6">
        <v>40859</v>
      </c>
      <c r="D127" s="6">
        <f>C127-B127</f>
        <v>472</v>
      </c>
      <c r="E127" s="7">
        <v>15753.297999999999</v>
      </c>
      <c r="F127" s="6"/>
      <c r="G127" s="6"/>
      <c r="H127" s="6">
        <v>27</v>
      </c>
      <c r="I127" s="6">
        <f>D130/H127</f>
        <v>26.925925925925927</v>
      </c>
      <c r="J127" s="7">
        <f>E130/D130</f>
        <v>21.6689105914718</v>
      </c>
    </row>
    <row r="128" spans="1:10" hidden="1">
      <c r="A128" s="6" t="s">
        <v>9</v>
      </c>
      <c r="B128" s="6">
        <v>45278</v>
      </c>
      <c r="C128" s="6">
        <v>45533</v>
      </c>
      <c r="D128" s="6">
        <f>C128-B128</f>
        <v>255</v>
      </c>
      <c r="E128" s="7">
        <v>0</v>
      </c>
      <c r="F128" s="6"/>
      <c r="G128" s="6"/>
      <c r="H128" s="6"/>
      <c r="I128" s="6"/>
      <c r="J128" s="6"/>
    </row>
    <row r="129" spans="1:10" hidden="1">
      <c r="A129" s="6" t="s">
        <v>10</v>
      </c>
      <c r="B129" s="6"/>
      <c r="C129" s="6"/>
      <c r="D129" s="6">
        <f>D125+D126</f>
        <v>537</v>
      </c>
      <c r="E129" s="7">
        <v>13177.96</v>
      </c>
      <c r="F129" s="6"/>
      <c r="G129" s="6"/>
      <c r="H129" s="6"/>
      <c r="I129" s="6"/>
      <c r="J129" s="6"/>
    </row>
    <row r="130" spans="1:10" hidden="1">
      <c r="A130" s="6" t="s">
        <v>11</v>
      </c>
      <c r="B130" s="6"/>
      <c r="C130" s="6"/>
      <c r="D130" s="6">
        <f>D127+D128</f>
        <v>727</v>
      </c>
      <c r="E130" s="7">
        <v>15753.297999999999</v>
      </c>
      <c r="F130" s="6"/>
      <c r="G130" s="6"/>
      <c r="H130" s="6"/>
      <c r="I130" s="6"/>
      <c r="J130" s="6"/>
    </row>
    <row r="131" spans="1:10" hidden="1">
      <c r="A131" s="6" t="s">
        <v>12</v>
      </c>
      <c r="B131" s="6"/>
      <c r="C131" s="6"/>
      <c r="D131" s="6"/>
      <c r="E131" s="7">
        <v>-2575.3379999999997</v>
      </c>
      <c r="F131" s="6"/>
      <c r="G131" s="6"/>
      <c r="H131" s="6"/>
      <c r="I131" s="6"/>
      <c r="J131" s="6"/>
    </row>
    <row r="132" spans="1:10" hidden="1">
      <c r="E132" s="5"/>
    </row>
    <row r="133" spans="1:10" hidden="1">
      <c r="A133" s="1">
        <v>43497</v>
      </c>
      <c r="B133" s="2"/>
      <c r="C133" s="2"/>
      <c r="D133" s="2"/>
      <c r="E133" s="2"/>
    </row>
    <row r="134" spans="1:10" hidden="1">
      <c r="A134" s="3" t="s">
        <v>1</v>
      </c>
      <c r="B134" s="3" t="s">
        <v>2</v>
      </c>
      <c r="C134" s="3" t="s">
        <v>3</v>
      </c>
      <c r="D134" s="3" t="s">
        <v>4</v>
      </c>
      <c r="E134" s="3" t="s">
        <v>5</v>
      </c>
      <c r="F134" s="3" t="s">
        <v>13</v>
      </c>
      <c r="G134" s="3" t="s">
        <v>14</v>
      </c>
      <c r="H134" s="3" t="s">
        <v>15</v>
      </c>
      <c r="I134" s="3" t="s">
        <v>16</v>
      </c>
      <c r="J134" s="3" t="s">
        <v>17</v>
      </c>
    </row>
    <row r="135" spans="1:10" hidden="1">
      <c r="A135" s="6" t="s">
        <v>6</v>
      </c>
      <c r="B135" s="6">
        <v>45325</v>
      </c>
      <c r="C135" s="6">
        <v>45550</v>
      </c>
      <c r="D135" s="6">
        <v>225</v>
      </c>
      <c r="E135" s="7">
        <v>13177.96</v>
      </c>
      <c r="F135" s="6" t="s">
        <v>18</v>
      </c>
      <c r="G135" s="6" t="s">
        <v>20</v>
      </c>
      <c r="H135" s="6">
        <v>28</v>
      </c>
      <c r="I135" s="6">
        <f>D139/H135</f>
        <v>23.107142857142858</v>
      </c>
      <c r="J135" s="7">
        <f>E139/D139</f>
        <v>20.367789799072643</v>
      </c>
    </row>
    <row r="136" spans="1:10" hidden="1">
      <c r="A136" s="6" t="s">
        <v>7</v>
      </c>
      <c r="B136" s="6">
        <v>40471</v>
      </c>
      <c r="C136" s="6">
        <v>40893</v>
      </c>
      <c r="D136" s="6">
        <v>422</v>
      </c>
      <c r="E136" s="7"/>
      <c r="F136" s="6"/>
      <c r="G136" s="6"/>
      <c r="H136" s="6"/>
      <c r="I136" s="6"/>
      <c r="J136" s="6"/>
    </row>
    <row r="137" spans="1:10" hidden="1">
      <c r="A137" s="6" t="s">
        <v>8</v>
      </c>
      <c r="B137" s="6">
        <v>40859</v>
      </c>
      <c r="C137" s="6">
        <v>41249</v>
      </c>
      <c r="D137" s="6">
        <f>C137-B137</f>
        <v>390</v>
      </c>
      <c r="E137" s="7">
        <v>11716.349499999998</v>
      </c>
      <c r="F137" s="6" t="s">
        <v>18</v>
      </c>
      <c r="G137" s="6" t="s">
        <v>21</v>
      </c>
      <c r="H137" s="6">
        <v>27</v>
      </c>
      <c r="I137" s="6">
        <f>D140/H137</f>
        <v>24.222222222222221</v>
      </c>
      <c r="J137" s="7">
        <f>E140/D140</f>
        <v>17.914907492354736</v>
      </c>
    </row>
    <row r="138" spans="1:10" hidden="1">
      <c r="A138" s="6" t="s">
        <v>9</v>
      </c>
      <c r="B138" s="6">
        <v>45533</v>
      </c>
      <c r="C138" s="6">
        <v>45797</v>
      </c>
      <c r="D138" s="6">
        <f>C138-B138</f>
        <v>264</v>
      </c>
      <c r="E138" s="7">
        <v>0</v>
      </c>
      <c r="F138" s="6"/>
      <c r="G138" s="6"/>
      <c r="H138" s="6"/>
      <c r="I138" s="6"/>
      <c r="J138" s="6"/>
    </row>
    <row r="139" spans="1:10" hidden="1">
      <c r="A139" s="6" t="s">
        <v>10</v>
      </c>
      <c r="B139" s="6"/>
      <c r="C139" s="6"/>
      <c r="D139" s="6">
        <f>D135+D136</f>
        <v>647</v>
      </c>
      <c r="E139" s="7">
        <v>13177.96</v>
      </c>
      <c r="F139" s="6"/>
      <c r="G139" s="6"/>
      <c r="H139" s="6"/>
      <c r="I139" s="6"/>
      <c r="J139" s="6"/>
    </row>
    <row r="140" spans="1:10" hidden="1">
      <c r="A140" s="6" t="s">
        <v>11</v>
      </c>
      <c r="B140" s="6"/>
      <c r="C140" s="6"/>
      <c r="D140" s="6">
        <f>D137+D138</f>
        <v>654</v>
      </c>
      <c r="E140" s="7">
        <v>11716.349499999998</v>
      </c>
      <c r="F140" s="6"/>
      <c r="G140" s="6"/>
      <c r="H140" s="6"/>
      <c r="I140" s="6"/>
      <c r="J140" s="6"/>
    </row>
    <row r="141" spans="1:10" hidden="1">
      <c r="A141" s="6" t="s">
        <v>12</v>
      </c>
      <c r="B141" s="6"/>
      <c r="C141" s="6"/>
      <c r="D141" s="6"/>
      <c r="E141" s="7">
        <v>1461.6105000000007</v>
      </c>
      <c r="F141" s="6"/>
      <c r="G141" s="6"/>
      <c r="H141" s="6"/>
      <c r="I141" s="6"/>
      <c r="J141" s="6"/>
    </row>
    <row r="142" spans="1:10" hidden="1">
      <c r="E142" s="5"/>
    </row>
    <row r="143" spans="1:10" hidden="1">
      <c r="A143" s="1">
        <v>43525</v>
      </c>
      <c r="B143" s="2"/>
      <c r="C143" s="2"/>
      <c r="D143" s="2"/>
      <c r="E143" s="2"/>
    </row>
    <row r="144" spans="1:10" hidden="1">
      <c r="A144" s="3" t="s">
        <v>1</v>
      </c>
      <c r="B144" s="3" t="s">
        <v>2</v>
      </c>
      <c r="C144" s="3" t="s">
        <v>3</v>
      </c>
      <c r="D144" s="3" t="s">
        <v>4</v>
      </c>
      <c r="E144" s="3" t="s">
        <v>5</v>
      </c>
      <c r="F144" s="3" t="s">
        <v>13</v>
      </c>
      <c r="G144" s="3" t="s">
        <v>14</v>
      </c>
      <c r="H144" s="3" t="s">
        <v>15</v>
      </c>
      <c r="I144" s="3" t="s">
        <v>16</v>
      </c>
      <c r="J144" s="3" t="s">
        <v>17</v>
      </c>
    </row>
    <row r="145" spans="1:10" hidden="1">
      <c r="A145" s="6" t="s">
        <v>6</v>
      </c>
      <c r="B145" s="6">
        <v>45550</v>
      </c>
      <c r="C145" s="6">
        <v>45828</v>
      </c>
      <c r="D145" s="6">
        <v>278</v>
      </c>
      <c r="E145" s="7">
        <v>13177.96</v>
      </c>
      <c r="F145" s="6" t="s">
        <v>18</v>
      </c>
      <c r="G145" s="6" t="s">
        <v>22</v>
      </c>
      <c r="H145" s="6">
        <v>30</v>
      </c>
      <c r="I145" s="6">
        <f>D149/H145</f>
        <v>23.033333333333335</v>
      </c>
      <c r="J145" s="7">
        <f>E149/D149</f>
        <v>19.070853835021705</v>
      </c>
    </row>
    <row r="146" spans="1:10" hidden="1">
      <c r="A146" s="6" t="s">
        <v>7</v>
      </c>
      <c r="B146" s="6">
        <v>40893</v>
      </c>
      <c r="C146" s="6">
        <v>41306</v>
      </c>
      <c r="D146" s="6">
        <v>413</v>
      </c>
      <c r="E146" s="7"/>
      <c r="F146" s="6"/>
      <c r="G146" s="6"/>
      <c r="H146" s="6"/>
      <c r="I146" s="6"/>
      <c r="J146" s="6"/>
    </row>
    <row r="147" spans="1:10" hidden="1">
      <c r="A147" s="6" t="s">
        <v>8</v>
      </c>
      <c r="B147" s="6">
        <v>41249</v>
      </c>
      <c r="C147" s="6">
        <v>41689</v>
      </c>
      <c r="D147" s="6">
        <v>440</v>
      </c>
      <c r="E147" s="7">
        <v>11100.271499999999</v>
      </c>
      <c r="F147" s="6" t="s">
        <v>18</v>
      </c>
      <c r="G147" s="6" t="s">
        <v>23</v>
      </c>
      <c r="H147" s="6">
        <v>30</v>
      </c>
      <c r="I147" s="6">
        <f>D150/H147</f>
        <v>21.633333333333333</v>
      </c>
      <c r="J147" s="7">
        <f>E150/D150</f>
        <v>17.10365408320493</v>
      </c>
    </row>
    <row r="148" spans="1:10" hidden="1">
      <c r="A148" s="6" t="s">
        <v>9</v>
      </c>
      <c r="B148" s="6">
        <v>45797</v>
      </c>
      <c r="C148" s="6">
        <v>46006</v>
      </c>
      <c r="D148" s="6">
        <v>209</v>
      </c>
      <c r="E148" s="7">
        <v>0</v>
      </c>
      <c r="F148" s="6"/>
      <c r="G148" s="6"/>
      <c r="H148" s="6"/>
      <c r="I148" s="6"/>
      <c r="J148" s="6"/>
    </row>
    <row r="149" spans="1:10" hidden="1">
      <c r="A149" s="6" t="s">
        <v>10</v>
      </c>
      <c r="B149" s="6"/>
      <c r="C149" s="6"/>
      <c r="D149" s="6">
        <f>D145+D146</f>
        <v>691</v>
      </c>
      <c r="E149" s="7">
        <v>13177.96</v>
      </c>
      <c r="F149" s="6"/>
      <c r="G149" s="6"/>
      <c r="H149" s="6"/>
      <c r="I149" s="6"/>
      <c r="J149" s="6"/>
    </row>
    <row r="150" spans="1:10" hidden="1">
      <c r="A150" s="6" t="s">
        <v>11</v>
      </c>
      <c r="B150" s="6"/>
      <c r="C150" s="6"/>
      <c r="D150" s="6">
        <f>D147+D148</f>
        <v>649</v>
      </c>
      <c r="E150" s="7">
        <v>11100.271499999999</v>
      </c>
      <c r="F150" s="6"/>
      <c r="G150" s="6"/>
      <c r="H150" s="6"/>
      <c r="I150" s="6"/>
      <c r="J150" s="6"/>
    </row>
    <row r="151" spans="1:10" hidden="1">
      <c r="A151" s="6" t="s">
        <v>12</v>
      </c>
      <c r="B151" s="6"/>
      <c r="C151" s="6"/>
      <c r="D151" s="6"/>
      <c r="E151" s="7">
        <v>2077.6885000000002</v>
      </c>
      <c r="F151" s="6"/>
      <c r="G151" s="6"/>
      <c r="H151" s="6"/>
      <c r="I151" s="6"/>
      <c r="J151" s="6"/>
    </row>
    <row r="152" spans="1:10" hidden="1">
      <c r="E152" s="5"/>
    </row>
    <row r="153" spans="1:10" hidden="1">
      <c r="A153" s="1">
        <v>43556</v>
      </c>
      <c r="B153" s="2"/>
      <c r="C153" s="2"/>
      <c r="D153" s="2"/>
      <c r="E153" s="2"/>
    </row>
    <row r="154" spans="1:10" hidden="1">
      <c r="A154" s="3" t="s">
        <v>1</v>
      </c>
      <c r="B154" s="3" t="s">
        <v>2</v>
      </c>
      <c r="C154" s="3" t="s">
        <v>3</v>
      </c>
      <c r="D154" s="3" t="s">
        <v>4</v>
      </c>
      <c r="E154" s="3" t="s">
        <v>5</v>
      </c>
      <c r="F154" s="3" t="s">
        <v>13</v>
      </c>
      <c r="G154" s="3" t="s">
        <v>14</v>
      </c>
      <c r="H154" s="3" t="s">
        <v>15</v>
      </c>
      <c r="I154" s="3" t="s">
        <v>16</v>
      </c>
      <c r="J154" s="3" t="s">
        <v>17</v>
      </c>
    </row>
    <row r="155" spans="1:10" hidden="1">
      <c r="A155" s="6" t="s">
        <v>6</v>
      </c>
      <c r="B155" s="6">
        <v>45828</v>
      </c>
      <c r="C155" s="6">
        <v>46058</v>
      </c>
      <c r="D155" s="6">
        <v>230</v>
      </c>
      <c r="E155" s="7">
        <v>13177.96</v>
      </c>
      <c r="F155" s="6" t="s">
        <v>18</v>
      </c>
      <c r="G155" s="6" t="s">
        <v>24</v>
      </c>
      <c r="H155" s="6">
        <v>34</v>
      </c>
      <c r="I155" s="6">
        <f>D159/H155</f>
        <v>21.588235294117649</v>
      </c>
      <c r="J155" s="7">
        <f>E159/D159</f>
        <v>17.953623978201634</v>
      </c>
    </row>
    <row r="156" spans="1:10" hidden="1">
      <c r="A156" s="6" t="s">
        <v>7</v>
      </c>
      <c r="B156" s="6">
        <v>41306</v>
      </c>
      <c r="C156" s="6">
        <v>41810</v>
      </c>
      <c r="D156" s="6">
        <v>504</v>
      </c>
      <c r="E156" s="7"/>
      <c r="F156" s="6"/>
      <c r="G156" s="6"/>
      <c r="H156" s="6"/>
      <c r="I156" s="6"/>
      <c r="J156" s="6"/>
    </row>
    <row r="157" spans="1:10" hidden="1">
      <c r="A157" s="6" t="s">
        <v>8</v>
      </c>
      <c r="B157" s="6">
        <v>41689</v>
      </c>
      <c r="C157" s="6">
        <v>42171</v>
      </c>
      <c r="D157" s="6">
        <f>C157-B157</f>
        <v>482</v>
      </c>
      <c r="E157" s="7">
        <v>11100.271499999999</v>
      </c>
      <c r="F157" s="6" t="s">
        <v>18</v>
      </c>
      <c r="G157" s="6" t="s">
        <v>25</v>
      </c>
      <c r="H157" s="6">
        <v>33</v>
      </c>
      <c r="I157" s="6">
        <f>D160/H157</f>
        <v>21.272727272727273</v>
      </c>
      <c r="J157" s="7">
        <f>E160/D160</f>
        <v>15.812352564102563</v>
      </c>
    </row>
    <row r="158" spans="1:10" hidden="1">
      <c r="A158" s="6" t="s">
        <v>9</v>
      </c>
      <c r="B158" s="6">
        <v>46006</v>
      </c>
      <c r="C158" s="6">
        <v>46226</v>
      </c>
      <c r="D158" s="6">
        <f>C158-B158</f>
        <v>220</v>
      </c>
      <c r="E158" s="7">
        <v>0</v>
      </c>
      <c r="F158" s="6"/>
      <c r="G158" s="6"/>
      <c r="H158" s="6"/>
      <c r="I158" s="6"/>
      <c r="J158" s="6"/>
    </row>
    <row r="159" spans="1:10" hidden="1">
      <c r="A159" s="6" t="s">
        <v>10</v>
      </c>
      <c r="B159" s="6"/>
      <c r="C159" s="6"/>
      <c r="D159" s="6">
        <f>D155+D156</f>
        <v>734</v>
      </c>
      <c r="E159" s="7">
        <v>13177.96</v>
      </c>
      <c r="F159" s="6"/>
      <c r="G159" s="6"/>
      <c r="H159" s="6"/>
      <c r="I159" s="6"/>
      <c r="J159" s="6"/>
    </row>
    <row r="160" spans="1:10" hidden="1">
      <c r="A160" s="6" t="s">
        <v>11</v>
      </c>
      <c r="B160" s="6"/>
      <c r="C160" s="6"/>
      <c r="D160" s="6">
        <f>D157+D158</f>
        <v>702</v>
      </c>
      <c r="E160" s="7">
        <v>11100.271499999999</v>
      </c>
      <c r="F160" s="6"/>
      <c r="G160" s="6"/>
      <c r="H160" s="6"/>
      <c r="I160" s="6"/>
      <c r="J160" s="6"/>
    </row>
    <row r="161" spans="1:10" hidden="1">
      <c r="A161" s="6" t="s">
        <v>12</v>
      </c>
      <c r="B161" s="6"/>
      <c r="C161" s="6"/>
      <c r="D161" s="6"/>
      <c r="E161" s="7">
        <v>2077.6885000000002</v>
      </c>
      <c r="F161" s="6"/>
      <c r="G161" s="6"/>
      <c r="H161" s="6"/>
      <c r="I161" s="6"/>
      <c r="J161" s="6"/>
    </row>
    <row r="162" spans="1:10" hidden="1"/>
    <row r="163" spans="1:10" hidden="1">
      <c r="A163" s="1">
        <v>43586</v>
      </c>
      <c r="B163" s="2"/>
      <c r="C163" s="2"/>
      <c r="D163" s="2"/>
      <c r="E163" s="2"/>
    </row>
    <row r="164" spans="1:10" hidden="1">
      <c r="A164" s="3" t="s">
        <v>1</v>
      </c>
      <c r="B164" s="3" t="s">
        <v>2</v>
      </c>
      <c r="C164" s="3" t="s">
        <v>3</v>
      </c>
      <c r="D164" s="3" t="s">
        <v>4</v>
      </c>
      <c r="E164" s="3" t="s">
        <v>5</v>
      </c>
      <c r="F164" s="3" t="s">
        <v>13</v>
      </c>
      <c r="G164" s="3" t="s">
        <v>14</v>
      </c>
      <c r="H164" s="3" t="s">
        <v>15</v>
      </c>
      <c r="I164" s="3" t="s">
        <v>16</v>
      </c>
      <c r="J164" s="3" t="s">
        <v>17</v>
      </c>
    </row>
    <row r="165" spans="1:10" hidden="1">
      <c r="A165" s="6" t="s">
        <v>6</v>
      </c>
      <c r="B165" s="6">
        <v>46058</v>
      </c>
      <c r="C165" s="6">
        <v>46250</v>
      </c>
      <c r="D165" s="6">
        <f>C165-B165</f>
        <v>192</v>
      </c>
      <c r="E165" s="7">
        <v>13177.96</v>
      </c>
      <c r="F165" s="6"/>
      <c r="G165" s="6" t="s">
        <v>26</v>
      </c>
      <c r="H165" s="6">
        <v>29</v>
      </c>
      <c r="I165" s="6">
        <f>D169/H165</f>
        <v>21.241379310344829</v>
      </c>
      <c r="J165" s="7">
        <f>E169/D169</f>
        <v>21.392792207792205</v>
      </c>
    </row>
    <row r="166" spans="1:10" hidden="1">
      <c r="A166" s="6" t="s">
        <v>7</v>
      </c>
      <c r="B166" s="6">
        <v>41810</v>
      </c>
      <c r="C166" s="6">
        <v>42234</v>
      </c>
      <c r="D166" s="6">
        <f>C166-B166</f>
        <v>424</v>
      </c>
      <c r="E166" s="7"/>
      <c r="F166" s="6"/>
      <c r="G166" s="6"/>
      <c r="H166" s="6"/>
      <c r="I166" s="6"/>
      <c r="J166" s="6"/>
    </row>
    <row r="167" spans="1:10" hidden="1">
      <c r="A167" s="6" t="s">
        <v>8</v>
      </c>
      <c r="B167" s="6">
        <v>42171</v>
      </c>
      <c r="C167" s="6">
        <v>42638</v>
      </c>
      <c r="D167" s="6">
        <f>C167-B167</f>
        <v>467</v>
      </c>
      <c r="E167" s="7">
        <v>12185.32</v>
      </c>
      <c r="F167" s="6" t="s">
        <v>18</v>
      </c>
      <c r="G167" s="6" t="s">
        <v>27</v>
      </c>
      <c r="H167" s="6">
        <v>30</v>
      </c>
      <c r="I167" s="6">
        <f>D170/H167</f>
        <v>23.166666666666668</v>
      </c>
      <c r="J167" s="7">
        <f>E170/D170</f>
        <v>17.5328345323741</v>
      </c>
    </row>
    <row r="168" spans="1:10" hidden="1">
      <c r="A168" s="6" t="s">
        <v>9</v>
      </c>
      <c r="B168" s="6">
        <v>46226</v>
      </c>
      <c r="C168" s="6">
        <v>46454</v>
      </c>
      <c r="D168" s="6">
        <f>C168-B168</f>
        <v>228</v>
      </c>
      <c r="E168" s="7"/>
      <c r="F168" s="6"/>
      <c r="G168" s="6"/>
      <c r="H168" s="6"/>
      <c r="I168" s="6"/>
      <c r="J168" s="6"/>
    </row>
    <row r="169" spans="1:10" hidden="1">
      <c r="A169" s="6" t="s">
        <v>10</v>
      </c>
      <c r="B169" s="6"/>
      <c r="C169" s="6"/>
      <c r="D169" s="6">
        <f>D165+D166</f>
        <v>616</v>
      </c>
      <c r="E169" s="7">
        <f>E165</f>
        <v>13177.96</v>
      </c>
      <c r="F169" s="6"/>
      <c r="G169" s="6"/>
      <c r="H169" s="6"/>
      <c r="I169" s="6"/>
      <c r="J169" s="6"/>
    </row>
    <row r="170" spans="1:10" hidden="1">
      <c r="A170" s="6" t="s">
        <v>11</v>
      </c>
      <c r="B170" s="6"/>
      <c r="C170" s="6"/>
      <c r="D170" s="6">
        <f>D167+D168</f>
        <v>695</v>
      </c>
      <c r="E170" s="7">
        <f>E167</f>
        <v>12185.32</v>
      </c>
      <c r="F170" s="6"/>
      <c r="G170" s="6"/>
      <c r="H170" s="6"/>
      <c r="I170" s="6"/>
      <c r="J170" s="6"/>
    </row>
    <row r="171" spans="1:10" hidden="1">
      <c r="A171" s="6" t="s">
        <v>12</v>
      </c>
      <c r="B171" s="6"/>
      <c r="C171" s="6"/>
      <c r="D171" s="6"/>
      <c r="E171" s="7">
        <f>E169-E170</f>
        <v>992.63999999999942</v>
      </c>
      <c r="F171" s="6"/>
      <c r="G171" s="6"/>
      <c r="H171" s="6"/>
      <c r="I171" s="6"/>
      <c r="J171" s="6"/>
    </row>
    <row r="172" spans="1:10" hidden="1"/>
    <row r="173" spans="1:10" hidden="1">
      <c r="A173" s="1">
        <v>43617</v>
      </c>
      <c r="B173" s="2"/>
      <c r="C173" s="2"/>
      <c r="D173" s="2"/>
      <c r="E173" s="2"/>
    </row>
    <row r="174" spans="1:10" hidden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  <c r="F174" s="3" t="s">
        <v>13</v>
      </c>
      <c r="G174" s="3" t="s">
        <v>14</v>
      </c>
      <c r="H174" s="3" t="s">
        <v>15</v>
      </c>
      <c r="I174" s="3" t="s">
        <v>16</v>
      </c>
      <c r="J174" s="3" t="s">
        <v>17</v>
      </c>
    </row>
    <row r="175" spans="1:10" hidden="1">
      <c r="A175" s="6" t="s">
        <v>6</v>
      </c>
      <c r="B175" s="6">
        <f>C165</f>
        <v>46250</v>
      </c>
      <c r="C175" s="6">
        <v>46464</v>
      </c>
      <c r="D175" s="6">
        <f>C175-B175</f>
        <v>214</v>
      </c>
      <c r="E175" s="7">
        <v>13177.96</v>
      </c>
      <c r="F175" s="6"/>
      <c r="G175" s="6" t="s">
        <v>28</v>
      </c>
      <c r="H175" s="6">
        <v>28</v>
      </c>
      <c r="I175" s="6">
        <f>D179/H175</f>
        <v>23.142857142857142</v>
      </c>
      <c r="J175" s="7">
        <f>E179/D179</f>
        <v>20.336358024691357</v>
      </c>
    </row>
    <row r="176" spans="1:10" hidden="1">
      <c r="A176" s="6" t="s">
        <v>7</v>
      </c>
      <c r="B176" s="6">
        <f t="shared" ref="B176:B178" si="0">C166</f>
        <v>42234</v>
      </c>
      <c r="C176" s="6">
        <v>42668</v>
      </c>
      <c r="D176" s="6">
        <f>C176-B176</f>
        <v>434</v>
      </c>
      <c r="E176" s="7"/>
      <c r="F176" s="6"/>
      <c r="G176" s="6"/>
      <c r="H176" s="6"/>
      <c r="I176" s="6"/>
      <c r="J176" s="6"/>
    </row>
    <row r="177" spans="1:10" hidden="1">
      <c r="A177" s="6" t="s">
        <v>8</v>
      </c>
      <c r="B177" s="6">
        <f t="shared" si="0"/>
        <v>42638</v>
      </c>
      <c r="C177" s="6">
        <v>43062</v>
      </c>
      <c r="D177" s="6">
        <f>C177-B177</f>
        <v>424</v>
      </c>
      <c r="E177" s="7">
        <f>10891.37+1686.08</f>
        <v>12577.45</v>
      </c>
      <c r="F177" s="6" t="s">
        <v>29</v>
      </c>
      <c r="G177" s="6" t="s">
        <v>30</v>
      </c>
      <c r="H177" s="6">
        <v>27</v>
      </c>
      <c r="I177" s="6">
        <f>D180/H177</f>
        <v>24.037037037037038</v>
      </c>
      <c r="J177" s="7">
        <f>E180/D180</f>
        <v>19.37973805855162</v>
      </c>
    </row>
    <row r="178" spans="1:10" hidden="1">
      <c r="A178" s="6" t="s">
        <v>9</v>
      </c>
      <c r="B178" s="6">
        <f t="shared" si="0"/>
        <v>46454</v>
      </c>
      <c r="C178" s="6">
        <v>46679</v>
      </c>
      <c r="D178" s="6">
        <f>C178-B178</f>
        <v>225</v>
      </c>
      <c r="E178" s="7"/>
      <c r="F178" s="6"/>
      <c r="G178" s="6"/>
      <c r="H178" s="6"/>
      <c r="I178" s="6"/>
      <c r="J178" s="6"/>
    </row>
    <row r="179" spans="1:10" hidden="1">
      <c r="A179" s="6" t="s">
        <v>10</v>
      </c>
      <c r="B179" s="6"/>
      <c r="C179" s="6"/>
      <c r="D179" s="6">
        <f>D175+D176</f>
        <v>648</v>
      </c>
      <c r="E179" s="7">
        <f>E175</f>
        <v>13177.96</v>
      </c>
      <c r="F179" s="6"/>
      <c r="G179" s="6"/>
      <c r="H179" s="6"/>
      <c r="I179" s="6"/>
      <c r="J179" s="6"/>
    </row>
    <row r="180" spans="1:10" hidden="1">
      <c r="A180" s="6" t="s">
        <v>11</v>
      </c>
      <c r="B180" s="6"/>
      <c r="C180" s="6"/>
      <c r="D180" s="6">
        <f>D177+D178</f>
        <v>649</v>
      </c>
      <c r="E180" s="7">
        <f>E177</f>
        <v>12577.45</v>
      </c>
      <c r="F180" s="6"/>
      <c r="G180" s="6"/>
      <c r="H180" s="6"/>
      <c r="I180" s="6"/>
      <c r="J180" s="6"/>
    </row>
    <row r="181" spans="1:10" hidden="1">
      <c r="A181" s="6" t="s">
        <v>12</v>
      </c>
      <c r="B181" s="6"/>
      <c r="C181" s="6"/>
      <c r="D181" s="6"/>
      <c r="E181" s="7">
        <f>E179-E180</f>
        <v>600.5099999999984</v>
      </c>
      <c r="F181" s="6"/>
      <c r="G181" s="6"/>
      <c r="H181" s="6"/>
      <c r="I181" s="6"/>
      <c r="J181" s="6"/>
    </row>
    <row r="182" spans="1:10" hidden="1"/>
    <row r="183" spans="1:10" hidden="1">
      <c r="A183" s="1">
        <v>43647</v>
      </c>
      <c r="B183" s="2"/>
      <c r="C183" s="2"/>
      <c r="D183" s="2"/>
      <c r="E183" s="2"/>
    </row>
    <row r="184" spans="1:10" hidden="1">
      <c r="A184" s="3" t="s">
        <v>1</v>
      </c>
      <c r="B184" s="3" t="s">
        <v>2</v>
      </c>
      <c r="C184" s="3" t="s">
        <v>3</v>
      </c>
      <c r="D184" s="3" t="s">
        <v>4</v>
      </c>
      <c r="E184" s="3" t="s">
        <v>5</v>
      </c>
      <c r="F184" s="3" t="s">
        <v>13</v>
      </c>
      <c r="G184" s="3" t="s">
        <v>14</v>
      </c>
      <c r="H184" s="3" t="s">
        <v>15</v>
      </c>
      <c r="I184" s="3" t="s">
        <v>16</v>
      </c>
      <c r="J184" s="3" t="s">
        <v>17</v>
      </c>
    </row>
    <row r="185" spans="1:10" hidden="1">
      <c r="A185" s="6" t="s">
        <v>6</v>
      </c>
      <c r="B185" s="6">
        <f>C175</f>
        <v>46464</v>
      </c>
      <c r="C185" s="6">
        <v>46746</v>
      </c>
      <c r="D185" s="6">
        <f>C185-B185</f>
        <v>282</v>
      </c>
      <c r="E185" s="7">
        <v>15110.28</v>
      </c>
      <c r="F185" s="6"/>
      <c r="G185" s="6" t="s">
        <v>31</v>
      </c>
      <c r="H185" s="6">
        <v>34</v>
      </c>
      <c r="I185" s="6">
        <f>D189/H185</f>
        <v>24.147058823529413</v>
      </c>
      <c r="J185" s="7">
        <f>E189/D189</f>
        <v>18.404725943970767</v>
      </c>
    </row>
    <row r="186" spans="1:10" hidden="1">
      <c r="A186" s="6" t="s">
        <v>7</v>
      </c>
      <c r="B186" s="6">
        <f t="shared" ref="B186:B188" si="1">C176</f>
        <v>42668</v>
      </c>
      <c r="C186" s="6">
        <v>43207</v>
      </c>
      <c r="D186" s="6">
        <f>C186-B186</f>
        <v>539</v>
      </c>
      <c r="E186" s="7"/>
      <c r="F186" s="6"/>
      <c r="G186" s="6"/>
      <c r="H186" s="6"/>
      <c r="I186" s="6"/>
      <c r="J186" s="6"/>
    </row>
    <row r="187" spans="1:10" hidden="1">
      <c r="A187" s="6" t="s">
        <v>8</v>
      </c>
      <c r="B187" s="6">
        <f t="shared" si="1"/>
        <v>43062</v>
      </c>
      <c r="C187" s="6">
        <v>43542</v>
      </c>
      <c r="D187" s="6">
        <f>C187-B187</f>
        <v>480</v>
      </c>
      <c r="E187" s="7">
        <v>14428.07</v>
      </c>
      <c r="F187" s="6" t="s">
        <v>18</v>
      </c>
      <c r="G187" s="6" t="s">
        <v>32</v>
      </c>
      <c r="H187" s="6">
        <v>31</v>
      </c>
      <c r="I187" s="6">
        <f>D190/H187</f>
        <v>23.806451612903224</v>
      </c>
      <c r="J187" s="7">
        <f>E190/D190</f>
        <v>19.550230352303522</v>
      </c>
    </row>
    <row r="188" spans="1:10" hidden="1">
      <c r="A188" s="6" t="s">
        <v>9</v>
      </c>
      <c r="B188" s="6">
        <f t="shared" si="1"/>
        <v>46679</v>
      </c>
      <c r="C188" s="6">
        <v>46937</v>
      </c>
      <c r="D188" s="6">
        <f>C188-B188</f>
        <v>258</v>
      </c>
      <c r="E188" s="7"/>
      <c r="F188" s="6"/>
      <c r="G188" s="6"/>
      <c r="H188" s="6"/>
      <c r="I188" s="6"/>
      <c r="J188" s="6"/>
    </row>
    <row r="189" spans="1:10" hidden="1">
      <c r="A189" s="6" t="s">
        <v>10</v>
      </c>
      <c r="B189" s="6"/>
      <c r="C189" s="6"/>
      <c r="D189" s="6">
        <f>D185+D186</f>
        <v>821</v>
      </c>
      <c r="E189" s="7">
        <f>E185</f>
        <v>15110.28</v>
      </c>
      <c r="F189" s="6"/>
      <c r="G189" s="6"/>
      <c r="H189" s="6"/>
      <c r="I189" s="6"/>
      <c r="J189" s="6"/>
    </row>
    <row r="190" spans="1:10" hidden="1">
      <c r="A190" s="6" t="s">
        <v>11</v>
      </c>
      <c r="B190" s="6"/>
      <c r="C190" s="6"/>
      <c r="D190" s="6">
        <f>D187+D188</f>
        <v>738</v>
      </c>
      <c r="E190" s="7">
        <f>E187</f>
        <v>14428.07</v>
      </c>
      <c r="F190" s="6"/>
      <c r="G190" s="6"/>
      <c r="H190" s="6"/>
      <c r="I190" s="6"/>
      <c r="J190" s="6"/>
    </row>
    <row r="191" spans="1:10" hidden="1">
      <c r="A191" s="6" t="s">
        <v>12</v>
      </c>
      <c r="B191" s="6"/>
      <c r="C191" s="6"/>
      <c r="D191" s="6"/>
      <c r="E191" s="7">
        <f>E189-E190</f>
        <v>682.21000000000095</v>
      </c>
      <c r="F191" s="6"/>
      <c r="G191" s="6"/>
      <c r="H191" s="6"/>
      <c r="I191" s="6"/>
      <c r="J191" s="6"/>
    </row>
    <row r="192" spans="1:10" hidden="1"/>
    <row r="193" spans="1:12" hidden="1">
      <c r="A193" s="1">
        <v>43678</v>
      </c>
      <c r="B193" s="2"/>
      <c r="C193" s="2"/>
      <c r="D193" s="2"/>
      <c r="E193" s="2"/>
    </row>
    <row r="194" spans="1:12" hidden="1">
      <c r="A194" s="3" t="s">
        <v>1</v>
      </c>
      <c r="B194" s="3" t="s">
        <v>2</v>
      </c>
      <c r="C194" s="3" t="s">
        <v>3</v>
      </c>
      <c r="D194" s="3" t="s">
        <v>4</v>
      </c>
      <c r="E194" s="3" t="s">
        <v>5</v>
      </c>
      <c r="F194" s="3" t="s">
        <v>13</v>
      </c>
      <c r="G194" s="3" t="s">
        <v>14</v>
      </c>
      <c r="H194" s="3" t="s">
        <v>15</v>
      </c>
      <c r="I194" s="3" t="s">
        <v>16</v>
      </c>
      <c r="J194" s="3" t="s">
        <v>17</v>
      </c>
    </row>
    <row r="195" spans="1:12" hidden="1">
      <c r="A195" s="6" t="s">
        <v>6</v>
      </c>
      <c r="B195" s="6">
        <f>C185</f>
        <v>46746</v>
      </c>
      <c r="C195" s="6">
        <v>47052</v>
      </c>
      <c r="D195" s="6">
        <f>C195-B195</f>
        <v>306</v>
      </c>
      <c r="E195" s="7">
        <v>15110.28</v>
      </c>
      <c r="F195" s="6"/>
      <c r="G195" s="6" t="s">
        <v>33</v>
      </c>
      <c r="H195" s="6">
        <v>33</v>
      </c>
      <c r="I195" s="6">
        <f>D199/H195</f>
        <v>24.666666666666668</v>
      </c>
      <c r="J195" s="7">
        <f>E199/D199</f>
        <v>18.562997542997543</v>
      </c>
    </row>
    <row r="196" spans="1:12" hidden="1">
      <c r="A196" s="6" t="s">
        <v>7</v>
      </c>
      <c r="B196" s="6">
        <f t="shared" ref="B196:B198" si="2">C186</f>
        <v>43207</v>
      </c>
      <c r="C196" s="6">
        <v>43715</v>
      </c>
      <c r="D196" s="6">
        <f>C196-B196</f>
        <v>508</v>
      </c>
      <c r="E196" s="7"/>
      <c r="F196" s="6"/>
      <c r="G196" s="6"/>
      <c r="H196" s="6"/>
      <c r="I196" s="6"/>
      <c r="J196" s="6"/>
    </row>
    <row r="197" spans="1:12" hidden="1">
      <c r="A197" s="6" t="s">
        <v>8</v>
      </c>
      <c r="B197" s="6">
        <f t="shared" si="2"/>
        <v>43542</v>
      </c>
      <c r="C197" s="6">
        <v>43990</v>
      </c>
      <c r="D197" s="6">
        <f>C197-B197</f>
        <v>448</v>
      </c>
      <c r="E197" s="7">
        <v>17003.2</v>
      </c>
      <c r="F197" s="6" t="s">
        <v>18</v>
      </c>
      <c r="G197" s="6" t="s">
        <v>34</v>
      </c>
      <c r="H197" s="6">
        <v>31</v>
      </c>
      <c r="I197" s="6">
        <f>D200/H197</f>
        <v>26.677419354838708</v>
      </c>
      <c r="J197" s="7">
        <f>E200/D200</f>
        <v>20.560096735187425</v>
      </c>
    </row>
    <row r="198" spans="1:12" hidden="1">
      <c r="A198" s="6" t="s">
        <v>9</v>
      </c>
      <c r="B198" s="6">
        <f t="shared" si="2"/>
        <v>46937</v>
      </c>
      <c r="C198" s="6">
        <v>47316</v>
      </c>
      <c r="D198" s="6">
        <f>C198-B198</f>
        <v>379</v>
      </c>
      <c r="E198" s="7"/>
      <c r="F198" s="6"/>
      <c r="G198" s="6"/>
      <c r="H198" s="6"/>
      <c r="I198" s="6"/>
      <c r="J198" s="6"/>
    </row>
    <row r="199" spans="1:12" hidden="1">
      <c r="A199" s="6" t="s">
        <v>10</v>
      </c>
      <c r="B199" s="6"/>
      <c r="C199" s="6"/>
      <c r="D199" s="6">
        <f>D195+D196</f>
        <v>814</v>
      </c>
      <c r="E199" s="7">
        <f>E195</f>
        <v>15110.28</v>
      </c>
      <c r="F199" s="6"/>
      <c r="G199" s="6"/>
      <c r="H199" s="6"/>
      <c r="I199" s="6"/>
      <c r="J199" s="6"/>
    </row>
    <row r="200" spans="1:12" hidden="1">
      <c r="A200" s="6" t="s">
        <v>11</v>
      </c>
      <c r="B200" s="6"/>
      <c r="C200" s="6"/>
      <c r="D200" s="6">
        <f>D197+D198</f>
        <v>827</v>
      </c>
      <c r="E200" s="7">
        <f>E197</f>
        <v>17003.2</v>
      </c>
      <c r="F200" s="6"/>
      <c r="G200" s="6"/>
      <c r="H200" s="6"/>
      <c r="I200" s="6"/>
      <c r="J200" s="6"/>
    </row>
    <row r="201" spans="1:12" hidden="1">
      <c r="A201" s="6" t="s">
        <v>12</v>
      </c>
      <c r="B201" s="6"/>
      <c r="C201" s="6"/>
      <c r="D201" s="6"/>
      <c r="E201" s="7">
        <f>E199-E200</f>
        <v>-1892.92</v>
      </c>
      <c r="F201" s="6"/>
      <c r="G201" s="6"/>
      <c r="H201" s="6"/>
      <c r="I201" s="6"/>
      <c r="J201" s="6"/>
    </row>
    <row r="202" spans="1:12" hidden="1"/>
    <row r="203" spans="1:12" hidden="1">
      <c r="A203" s="1">
        <v>43709</v>
      </c>
      <c r="B203" s="2"/>
      <c r="C203" s="2"/>
      <c r="D203" s="2"/>
      <c r="E203" s="2"/>
    </row>
    <row r="204" spans="1:12" hidden="1">
      <c r="A204" s="3" t="s">
        <v>1</v>
      </c>
      <c r="B204" s="3" t="s">
        <v>2</v>
      </c>
      <c r="C204" s="3" t="s">
        <v>3</v>
      </c>
      <c r="D204" s="3" t="s">
        <v>4</v>
      </c>
      <c r="E204" s="3" t="s">
        <v>5</v>
      </c>
      <c r="F204" s="3" t="s">
        <v>13</v>
      </c>
      <c r="G204" s="3" t="s">
        <v>14</v>
      </c>
      <c r="H204" s="3" t="s">
        <v>15</v>
      </c>
      <c r="I204" s="3" t="s">
        <v>16</v>
      </c>
      <c r="J204" s="3" t="s">
        <v>17</v>
      </c>
    </row>
    <row r="205" spans="1:12" hidden="1">
      <c r="A205" s="6" t="s">
        <v>6</v>
      </c>
      <c r="B205" s="6">
        <f>C195</f>
        <v>47052</v>
      </c>
      <c r="C205" s="6">
        <v>47340</v>
      </c>
      <c r="D205" s="6">
        <f>C205-B205</f>
        <v>288</v>
      </c>
      <c r="E205" s="7">
        <f>13139.43*1.15</f>
        <v>15110.344499999999</v>
      </c>
      <c r="F205" s="6"/>
      <c r="G205" s="6" t="s">
        <v>35</v>
      </c>
      <c r="H205" s="6">
        <v>33</v>
      </c>
      <c r="I205" s="6">
        <f>D209/H205</f>
        <v>19.393939393939394</v>
      </c>
      <c r="J205" s="7">
        <f>E209/D209</f>
        <v>23.609913281249998</v>
      </c>
    </row>
    <row r="206" spans="1:12" hidden="1">
      <c r="A206" s="6" t="s">
        <v>7</v>
      </c>
      <c r="B206" s="6">
        <f t="shared" ref="B206:B208" si="3">C196</f>
        <v>43715</v>
      </c>
      <c r="C206" s="6">
        <v>44067</v>
      </c>
      <c r="D206" s="6">
        <f>C206-B206</f>
        <v>352</v>
      </c>
      <c r="E206" s="7"/>
      <c r="F206" s="6"/>
      <c r="G206" s="6"/>
      <c r="H206" s="6"/>
      <c r="I206" s="6"/>
      <c r="J206" s="6"/>
      <c r="L206">
        <v>15110.343593379332</v>
      </c>
    </row>
    <row r="207" spans="1:12" hidden="1">
      <c r="A207" s="6" t="s">
        <v>8</v>
      </c>
      <c r="B207" s="6">
        <f t="shared" si="3"/>
        <v>43990</v>
      </c>
      <c r="C207" s="6">
        <v>44496</v>
      </c>
      <c r="D207" s="6">
        <f>C207-B207</f>
        <v>506</v>
      </c>
      <c r="E207" s="7"/>
      <c r="F207" s="6"/>
      <c r="G207" s="6"/>
      <c r="H207" s="6"/>
      <c r="I207" s="6"/>
      <c r="J207" s="7"/>
    </row>
    <row r="208" spans="1:12" hidden="1">
      <c r="A208" s="6" t="s">
        <v>9</v>
      </c>
      <c r="B208" s="6">
        <f t="shared" si="3"/>
        <v>47316</v>
      </c>
      <c r="C208" s="6">
        <v>47316</v>
      </c>
      <c r="D208" s="6">
        <f>C208-B208</f>
        <v>0</v>
      </c>
      <c r="E208" s="7"/>
      <c r="F208" s="6"/>
      <c r="G208" s="6" t="s">
        <v>36</v>
      </c>
      <c r="H208" s="6">
        <v>62</v>
      </c>
      <c r="I208" s="6">
        <f>D207/H208</f>
        <v>8.1612903225806459</v>
      </c>
      <c r="J208" s="6">
        <v>0</v>
      </c>
    </row>
    <row r="209" spans="1:10" hidden="1">
      <c r="A209" s="6" t="s">
        <v>10</v>
      </c>
      <c r="B209" s="6"/>
      <c r="C209" s="6"/>
      <c r="D209" s="6">
        <f>D205+D206</f>
        <v>640</v>
      </c>
      <c r="E209" s="7">
        <f>E205</f>
        <v>15110.344499999999</v>
      </c>
      <c r="F209" s="6"/>
      <c r="G209" s="6"/>
      <c r="H209" s="6"/>
      <c r="I209" s="6"/>
      <c r="J209" s="6"/>
    </row>
    <row r="210" spans="1:10" hidden="1">
      <c r="A210" s="6" t="s">
        <v>11</v>
      </c>
      <c r="B210" s="6"/>
      <c r="C210" s="6"/>
      <c r="D210" s="6">
        <f>D207+D208</f>
        <v>506</v>
      </c>
      <c r="E210" s="7">
        <v>-17003.2</v>
      </c>
      <c r="F210" s="6"/>
      <c r="G210" s="6"/>
      <c r="H210" s="6"/>
      <c r="I210" s="6"/>
      <c r="J210" s="6"/>
    </row>
    <row r="211" spans="1:10" hidden="1">
      <c r="A211" s="6" t="s">
        <v>12</v>
      </c>
      <c r="B211" s="6"/>
      <c r="C211" s="6"/>
      <c r="D211" s="6"/>
      <c r="E211" s="7">
        <f>E209+E210</f>
        <v>-1892.8555000000015</v>
      </c>
      <c r="F211" s="6"/>
      <c r="G211" s="6"/>
      <c r="H211" s="6"/>
      <c r="I211" s="6"/>
      <c r="J211" s="6"/>
    </row>
    <row r="212" spans="1:10" hidden="1"/>
    <row r="213" spans="1:10" hidden="1">
      <c r="A213" s="1">
        <v>43739</v>
      </c>
      <c r="B213" s="2"/>
      <c r="C213" s="2"/>
      <c r="D213" s="2"/>
      <c r="E213" s="2"/>
    </row>
    <row r="214" spans="1:10" hidden="1">
      <c r="A214" s="3" t="s">
        <v>1</v>
      </c>
      <c r="B214" s="3" t="s">
        <v>2</v>
      </c>
      <c r="C214" s="3" t="s">
        <v>3</v>
      </c>
      <c r="D214" s="3" t="s">
        <v>4</v>
      </c>
      <c r="E214" s="3" t="s">
        <v>5</v>
      </c>
      <c r="F214" s="3" t="s">
        <v>13</v>
      </c>
      <c r="G214" s="3" t="s">
        <v>14</v>
      </c>
      <c r="H214" s="3" t="s">
        <v>15</v>
      </c>
      <c r="I214" s="3" t="s">
        <v>16</v>
      </c>
      <c r="J214" s="3" t="s">
        <v>17</v>
      </c>
    </row>
    <row r="215" spans="1:10" hidden="1">
      <c r="A215" s="6" t="s">
        <v>6</v>
      </c>
      <c r="B215" s="6">
        <f>C205</f>
        <v>47340</v>
      </c>
      <c r="C215" s="6">
        <v>47773</v>
      </c>
      <c r="D215" s="6">
        <f>C215-B215</f>
        <v>433</v>
      </c>
      <c r="E215" s="7">
        <f>13139.43*1.15</f>
        <v>15110.344499999999</v>
      </c>
      <c r="F215" s="6"/>
      <c r="G215" s="6" t="s">
        <v>37</v>
      </c>
      <c r="H215" s="6">
        <v>34</v>
      </c>
      <c r="I215" s="6">
        <f>D219/H215</f>
        <v>28.617647058823529</v>
      </c>
      <c r="J215" s="7">
        <f>E219/D219</f>
        <v>15.529644912641315</v>
      </c>
    </row>
    <row r="216" spans="1:10" hidden="1">
      <c r="A216" s="6" t="s">
        <v>7</v>
      </c>
      <c r="B216" s="6">
        <f t="shared" ref="B216:B218" si="4">C206</f>
        <v>44067</v>
      </c>
      <c r="C216" s="6">
        <v>44607</v>
      </c>
      <c r="D216" s="6">
        <f>C216-B216</f>
        <v>540</v>
      </c>
      <c r="E216" s="7"/>
      <c r="F216" s="6"/>
      <c r="G216" s="6"/>
      <c r="H216" s="6"/>
      <c r="I216" s="6"/>
      <c r="J216" s="6"/>
    </row>
    <row r="217" spans="1:10" hidden="1">
      <c r="A217" s="6" t="s">
        <v>8</v>
      </c>
      <c r="B217" s="6">
        <f t="shared" si="4"/>
        <v>44496</v>
      </c>
      <c r="C217" s="6">
        <f>B217</f>
        <v>44496</v>
      </c>
      <c r="D217" s="6">
        <f>C217-B217</f>
        <v>0</v>
      </c>
      <c r="E217" s="7"/>
      <c r="F217" s="6"/>
      <c r="G217" s="6"/>
      <c r="H217" s="6"/>
      <c r="I217" s="6"/>
      <c r="J217" s="7"/>
    </row>
    <row r="218" spans="1:10" hidden="1">
      <c r="A218" s="6" t="s">
        <v>9</v>
      </c>
      <c r="B218" s="6">
        <f t="shared" si="4"/>
        <v>47316</v>
      </c>
      <c r="C218" s="6">
        <f>B218</f>
        <v>47316</v>
      </c>
      <c r="D218" s="6">
        <f>C218-B218</f>
        <v>0</v>
      </c>
      <c r="E218" s="7"/>
      <c r="F218" s="6"/>
      <c r="G218" s="6" t="s">
        <v>38</v>
      </c>
      <c r="H218" s="6"/>
      <c r="I218" s="6">
        <v>0</v>
      </c>
      <c r="J218" s="6">
        <v>0</v>
      </c>
    </row>
    <row r="219" spans="1:10" hidden="1">
      <c r="A219" s="6" t="s">
        <v>10</v>
      </c>
      <c r="B219" s="6"/>
      <c r="C219" s="6"/>
      <c r="D219" s="6">
        <f>D215+D216</f>
        <v>973</v>
      </c>
      <c r="E219" s="7">
        <f>E215</f>
        <v>15110.344499999999</v>
      </c>
      <c r="F219" s="6"/>
      <c r="G219" s="6"/>
      <c r="H219" s="6"/>
      <c r="I219" s="6"/>
      <c r="J219" s="6"/>
    </row>
    <row r="220" spans="1:10" hidden="1">
      <c r="A220" s="6" t="s">
        <v>11</v>
      </c>
      <c r="B220" s="6"/>
      <c r="C220" s="6"/>
      <c r="D220" s="6">
        <f>D217+D218</f>
        <v>0</v>
      </c>
      <c r="E220" s="7"/>
      <c r="F220" s="6"/>
      <c r="G220" s="6"/>
      <c r="H220" s="6"/>
      <c r="I220" s="6"/>
      <c r="J220" s="6"/>
    </row>
    <row r="221" spans="1:10" hidden="1">
      <c r="A221" s="6" t="s">
        <v>12</v>
      </c>
      <c r="B221" s="6"/>
      <c r="C221" s="6"/>
      <c r="D221" s="6"/>
      <c r="E221" s="7">
        <f>E219-E220</f>
        <v>15110.344499999999</v>
      </c>
      <c r="F221" s="6"/>
      <c r="G221" s="6"/>
      <c r="H221" s="6"/>
      <c r="I221" s="6"/>
      <c r="J221" s="6"/>
    </row>
    <row r="222" spans="1:10" hidden="1"/>
    <row r="223" spans="1:10" hidden="1">
      <c r="A223" s="1">
        <v>43770</v>
      </c>
      <c r="B223" s="2"/>
      <c r="C223" s="2"/>
      <c r="D223" s="2"/>
      <c r="E223" s="2"/>
    </row>
    <row r="224" spans="1:10" hidden="1">
      <c r="A224" s="3" t="s">
        <v>1</v>
      </c>
      <c r="B224" s="3" t="s">
        <v>2</v>
      </c>
      <c r="C224" s="3" t="s">
        <v>3</v>
      </c>
      <c r="D224" s="3" t="s">
        <v>4</v>
      </c>
      <c r="E224" s="3" t="s">
        <v>5</v>
      </c>
      <c r="F224" s="3" t="s">
        <v>13</v>
      </c>
      <c r="G224" s="3" t="s">
        <v>14</v>
      </c>
      <c r="H224" s="3" t="s">
        <v>15</v>
      </c>
      <c r="I224" s="3" t="s">
        <v>16</v>
      </c>
      <c r="J224" s="3" t="s">
        <v>17</v>
      </c>
    </row>
    <row r="225" spans="1:10" hidden="1">
      <c r="A225" s="6" t="s">
        <v>6</v>
      </c>
      <c r="B225" s="6">
        <f>C215</f>
        <v>47773</v>
      </c>
      <c r="C225" s="6">
        <v>47978</v>
      </c>
      <c r="D225" s="6">
        <f>C225-B225</f>
        <v>205</v>
      </c>
      <c r="E225" s="7">
        <f>13139.43*1.15</f>
        <v>15110.344499999999</v>
      </c>
      <c r="F225" s="6"/>
      <c r="G225" s="6" t="s">
        <v>39</v>
      </c>
      <c r="H225" s="6">
        <v>29</v>
      </c>
      <c r="I225" s="6">
        <f>D229/H225</f>
        <v>20.96551724137931</v>
      </c>
      <c r="J225" s="7">
        <f>E229/D229</f>
        <v>24.852540296052631</v>
      </c>
    </row>
    <row r="226" spans="1:10" hidden="1">
      <c r="A226" s="6" t="s">
        <v>7</v>
      </c>
      <c r="B226" s="6">
        <f t="shared" ref="B226" si="5">C216</f>
        <v>44607</v>
      </c>
      <c r="C226" s="6">
        <v>45010</v>
      </c>
      <c r="D226" s="6">
        <f>C226-B226</f>
        <v>403</v>
      </c>
      <c r="E226" s="7"/>
      <c r="F226" s="6"/>
      <c r="G226" s="6"/>
      <c r="H226" s="6"/>
      <c r="I226" s="6"/>
      <c r="J226" s="6"/>
    </row>
    <row r="227" spans="1:10" hidden="1">
      <c r="A227" s="6" t="s">
        <v>8</v>
      </c>
      <c r="B227" s="6">
        <v>44496</v>
      </c>
      <c r="C227" s="6">
        <v>44947</v>
      </c>
      <c r="D227" s="6">
        <f>C227-B227</f>
        <v>451</v>
      </c>
      <c r="E227" s="7"/>
      <c r="F227" s="6"/>
      <c r="G227" s="6"/>
      <c r="H227" s="6"/>
      <c r="I227" s="6"/>
      <c r="J227" s="7"/>
    </row>
    <row r="228" spans="1:10" hidden="1">
      <c r="A228" s="6" t="s">
        <v>9</v>
      </c>
      <c r="B228" s="6">
        <v>47716</v>
      </c>
      <c r="C228" s="6">
        <v>47960</v>
      </c>
      <c r="D228" s="6">
        <f>C228-B228</f>
        <v>244</v>
      </c>
      <c r="E228" s="7">
        <v>13096.19</v>
      </c>
      <c r="F228" s="6" t="s">
        <v>18</v>
      </c>
      <c r="G228" s="6" t="s">
        <v>40</v>
      </c>
      <c r="H228" s="6">
        <v>30</v>
      </c>
      <c r="I228" s="6">
        <f>D230/H228</f>
        <v>23.166666666666668</v>
      </c>
      <c r="J228" s="7">
        <f>E228/D230</f>
        <v>18.843438848920865</v>
      </c>
    </row>
    <row r="229" spans="1:10" hidden="1">
      <c r="A229" s="6" t="s">
        <v>10</v>
      </c>
      <c r="B229" s="6"/>
      <c r="C229" s="6"/>
      <c r="D229" s="6">
        <f>D225+D226</f>
        <v>608</v>
      </c>
      <c r="E229" s="7">
        <f>E225</f>
        <v>15110.344499999999</v>
      </c>
      <c r="F229" s="6"/>
      <c r="G229" s="6"/>
      <c r="H229" s="6"/>
      <c r="I229" s="6"/>
      <c r="J229" s="6"/>
    </row>
    <row r="230" spans="1:10" hidden="1">
      <c r="A230" s="6" t="s">
        <v>11</v>
      </c>
      <c r="B230" s="6"/>
      <c r="C230" s="6"/>
      <c r="D230" s="6">
        <f>D227+D228</f>
        <v>695</v>
      </c>
      <c r="E230" s="7">
        <v>13096.19</v>
      </c>
      <c r="F230" s="6"/>
      <c r="G230" s="6"/>
      <c r="H230" s="6"/>
      <c r="I230" s="6"/>
      <c r="J230" s="6"/>
    </row>
    <row r="231" spans="1:10" hidden="1">
      <c r="A231" s="6" t="s">
        <v>12</v>
      </c>
      <c r="B231" s="6"/>
      <c r="C231" s="6"/>
      <c r="D231" s="6"/>
      <c r="E231" s="7">
        <f>E229-E230</f>
        <v>2014.1544999999987</v>
      </c>
      <c r="F231" s="6"/>
      <c r="G231" s="6"/>
      <c r="H231" s="6"/>
      <c r="I231" s="6"/>
      <c r="J231" s="6"/>
    </row>
    <row r="232" spans="1:10" hidden="1"/>
    <row r="233" spans="1:10" hidden="1">
      <c r="A233" s="1">
        <v>43819</v>
      </c>
      <c r="B233" s="2"/>
      <c r="C233" s="2"/>
      <c r="D233" s="2"/>
      <c r="E233" s="2"/>
    </row>
    <row r="234" spans="1:10" hidden="1">
      <c r="A234" s="3" t="s">
        <v>1</v>
      </c>
      <c r="B234" s="3" t="s">
        <v>2</v>
      </c>
      <c r="C234" s="3" t="s">
        <v>3</v>
      </c>
      <c r="D234" s="3" t="s">
        <v>4</v>
      </c>
      <c r="E234" s="3" t="s">
        <v>5</v>
      </c>
      <c r="F234" s="3" t="s">
        <v>13</v>
      </c>
      <c r="G234" s="3" t="s">
        <v>14</v>
      </c>
      <c r="H234" s="3" t="s">
        <v>15</v>
      </c>
      <c r="I234" s="3" t="s">
        <v>16</v>
      </c>
      <c r="J234" s="3" t="s">
        <v>17</v>
      </c>
    </row>
    <row r="235" spans="1:10" hidden="1">
      <c r="A235" s="6" t="s">
        <v>6</v>
      </c>
      <c r="B235" s="6">
        <f>C225</f>
        <v>47978</v>
      </c>
      <c r="C235" s="6">
        <v>48140</v>
      </c>
      <c r="D235" s="6">
        <f>C235-B235</f>
        <v>162</v>
      </c>
      <c r="E235" s="7">
        <f>13139.43*1.15</f>
        <v>15110.344499999999</v>
      </c>
      <c r="F235" s="6"/>
      <c r="G235" s="6" t="s">
        <v>41</v>
      </c>
      <c r="H235" s="6">
        <v>37</v>
      </c>
      <c r="I235" s="6">
        <f>D239/H235</f>
        <v>21.081081081081081</v>
      </c>
      <c r="J235" s="7">
        <f>E239/D239</f>
        <v>19.372236538461536</v>
      </c>
    </row>
    <row r="236" spans="1:10" hidden="1">
      <c r="A236" s="6" t="s">
        <v>7</v>
      </c>
      <c r="B236" s="6">
        <f t="shared" ref="B236" si="6">C226</f>
        <v>45010</v>
      </c>
      <c r="C236" s="6">
        <v>45628</v>
      </c>
      <c r="D236" s="6">
        <f>C236-B236</f>
        <v>618</v>
      </c>
      <c r="E236" s="7"/>
      <c r="F236" s="6"/>
      <c r="G236" s="6"/>
      <c r="H236" s="6"/>
      <c r="I236" s="6"/>
      <c r="J236" s="6"/>
    </row>
    <row r="237" spans="1:10" hidden="1">
      <c r="A237" s="6" t="s">
        <v>8</v>
      </c>
      <c r="B237" s="6">
        <f>C227</f>
        <v>44947</v>
      </c>
      <c r="C237" s="6">
        <v>45500</v>
      </c>
      <c r="D237" s="6">
        <f>C237-B237</f>
        <v>553</v>
      </c>
      <c r="E237" s="7"/>
      <c r="F237" s="6"/>
      <c r="G237" s="6"/>
      <c r="H237" s="6"/>
      <c r="I237" s="6"/>
      <c r="J237" s="7"/>
    </row>
    <row r="238" spans="1:10" hidden="1">
      <c r="A238" s="6" t="s">
        <v>9</v>
      </c>
      <c r="B238" s="6">
        <f>C228</f>
        <v>47960</v>
      </c>
      <c r="C238" s="6">
        <v>48392</v>
      </c>
      <c r="D238" s="6">
        <f>C238-B238</f>
        <v>432</v>
      </c>
      <c r="E238" s="7">
        <f>20681.19</f>
        <v>20681.189999999999</v>
      </c>
      <c r="F238" s="6" t="s">
        <v>42</v>
      </c>
      <c r="G238" s="6" t="s">
        <v>43</v>
      </c>
      <c r="H238" s="6">
        <v>23</v>
      </c>
      <c r="I238" s="6">
        <f>D240/H238</f>
        <v>42.826086956521742</v>
      </c>
      <c r="J238" s="7">
        <f>E238/D240</f>
        <v>20.996131979695431</v>
      </c>
    </row>
    <row r="239" spans="1:10" hidden="1">
      <c r="A239" s="6" t="s">
        <v>10</v>
      </c>
      <c r="B239" s="6"/>
      <c r="C239" s="6"/>
      <c r="D239" s="6">
        <f>D235+D236</f>
        <v>780</v>
      </c>
      <c r="E239" s="7">
        <f>E235</f>
        <v>15110.344499999999</v>
      </c>
      <c r="F239" s="6"/>
      <c r="G239" s="6"/>
      <c r="H239" s="6"/>
      <c r="I239" s="6"/>
      <c r="J239" s="6"/>
    </row>
    <row r="240" spans="1:10" hidden="1">
      <c r="A240" s="6" t="s">
        <v>11</v>
      </c>
      <c r="B240" s="6"/>
      <c r="C240" s="6"/>
      <c r="D240" s="6">
        <f>D237+D238</f>
        <v>985</v>
      </c>
      <c r="E240" s="7">
        <f>E238</f>
        <v>20681.189999999999</v>
      </c>
      <c r="F240" s="6"/>
      <c r="G240" s="6"/>
      <c r="H240" s="6"/>
      <c r="I240" s="6"/>
      <c r="J240" s="6"/>
    </row>
    <row r="241" spans="1:10" hidden="1">
      <c r="A241" s="6" t="s">
        <v>12</v>
      </c>
      <c r="B241" s="6"/>
      <c r="C241" s="6"/>
      <c r="D241" s="6"/>
      <c r="E241" s="7">
        <f>E239-E240</f>
        <v>-5570.8454999999994</v>
      </c>
      <c r="F241" s="6"/>
      <c r="G241" s="6"/>
      <c r="H241" s="6"/>
      <c r="I241" s="6"/>
      <c r="J241" s="6"/>
    </row>
    <row r="243" spans="1:10">
      <c r="A243" s="14">
        <v>43831</v>
      </c>
      <c r="B243" s="2"/>
      <c r="C243" s="2"/>
      <c r="D243" s="2"/>
      <c r="E243" s="2"/>
    </row>
    <row r="244" spans="1:10" hidden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  <c r="F244" s="3" t="s">
        <v>13</v>
      </c>
      <c r="G244" s="3" t="s">
        <v>14</v>
      </c>
      <c r="H244" s="3" t="s">
        <v>15</v>
      </c>
      <c r="I244" s="3" t="s">
        <v>16</v>
      </c>
      <c r="J244" s="3" t="s">
        <v>17</v>
      </c>
    </row>
    <row r="245" spans="1:10" hidden="1">
      <c r="A245" s="6" t="s">
        <v>6</v>
      </c>
      <c r="B245" s="6">
        <f>C235</f>
        <v>48140</v>
      </c>
      <c r="C245" s="6">
        <v>48265</v>
      </c>
      <c r="D245" s="6">
        <f>C245-B245</f>
        <v>125</v>
      </c>
      <c r="E245" s="7">
        <f>13139.43*1.15</f>
        <v>15110.344499999999</v>
      </c>
      <c r="F245" s="6"/>
      <c r="G245" s="6" t="s">
        <v>44</v>
      </c>
      <c r="H245" s="6">
        <v>25</v>
      </c>
      <c r="I245" s="6">
        <f>D249/H245</f>
        <v>20.72</v>
      </c>
      <c r="J245" s="7">
        <f>E249/D249</f>
        <v>29.170549227799228</v>
      </c>
    </row>
    <row r="246" spans="1:10" hidden="1">
      <c r="A246" s="6" t="s">
        <v>7</v>
      </c>
      <c r="B246" s="6">
        <f t="shared" ref="B246" si="7">C236</f>
        <v>45628</v>
      </c>
      <c r="C246" s="6">
        <v>46021</v>
      </c>
      <c r="D246" s="6">
        <f>C246-B246</f>
        <v>393</v>
      </c>
      <c r="E246" s="7"/>
      <c r="F246" s="6"/>
      <c r="G246" s="6"/>
      <c r="H246" s="6"/>
      <c r="I246" s="6"/>
      <c r="J246" s="6"/>
    </row>
    <row r="247" spans="1:10" hidden="1">
      <c r="A247" s="6" t="s">
        <v>8</v>
      </c>
      <c r="B247" s="6">
        <v>44947</v>
      </c>
      <c r="C247" s="6">
        <v>45886</v>
      </c>
      <c r="D247" s="6">
        <f>C247-B247</f>
        <v>939</v>
      </c>
      <c r="E247" s="7"/>
      <c r="F247" s="6"/>
      <c r="G247" s="6"/>
      <c r="H247" s="6"/>
      <c r="I247" s="6"/>
      <c r="J247" s="7"/>
    </row>
    <row r="248" spans="1:10" hidden="1">
      <c r="A248" s="6" t="s">
        <v>9</v>
      </c>
      <c r="B248" s="6">
        <v>47960</v>
      </c>
      <c r="C248" s="6">
        <v>48214</v>
      </c>
      <c r="D248" s="6">
        <f>C248-B248</f>
        <v>254</v>
      </c>
      <c r="E248" s="7">
        <f>20681.19</f>
        <v>20681.189999999999</v>
      </c>
      <c r="F248" s="6" t="s">
        <v>18</v>
      </c>
      <c r="G248" s="6" t="s">
        <v>45</v>
      </c>
      <c r="H248" s="6">
        <v>58</v>
      </c>
      <c r="I248" s="6">
        <f>D250/H248</f>
        <v>20.568965517241381</v>
      </c>
      <c r="J248" s="7">
        <f>E248/D250</f>
        <v>17.335448449287508</v>
      </c>
    </row>
    <row r="249" spans="1:10" hidden="1">
      <c r="A249" s="6" t="s">
        <v>10</v>
      </c>
      <c r="B249" s="6"/>
      <c r="C249" s="6"/>
      <c r="D249" s="6">
        <f>D245+D246</f>
        <v>518</v>
      </c>
      <c r="E249" s="7">
        <f>E245</f>
        <v>15110.344499999999</v>
      </c>
      <c r="F249" s="6"/>
      <c r="G249" s="6"/>
      <c r="H249" s="6"/>
      <c r="I249" s="6"/>
      <c r="J249" s="6"/>
    </row>
    <row r="250" spans="1:10" hidden="1">
      <c r="A250" s="6" t="s">
        <v>11</v>
      </c>
      <c r="B250" s="6"/>
      <c r="C250" s="6"/>
      <c r="D250" s="6">
        <f>D247+D248</f>
        <v>1193</v>
      </c>
      <c r="E250" s="7">
        <f>E248</f>
        <v>20681.189999999999</v>
      </c>
      <c r="F250" s="6"/>
      <c r="G250" s="6"/>
      <c r="H250" s="6"/>
      <c r="I250" s="6"/>
      <c r="J250" s="6"/>
    </row>
    <row r="251" spans="1:10" hidden="1">
      <c r="A251" s="6" t="s">
        <v>12</v>
      </c>
      <c r="B251" s="6"/>
      <c r="C251" s="6"/>
      <c r="D251" s="6"/>
      <c r="E251" s="7">
        <f>E249-E250</f>
        <v>-5570.8454999999994</v>
      </c>
      <c r="F251" s="6"/>
      <c r="G251" s="6"/>
      <c r="H251" s="6"/>
      <c r="I251" s="6"/>
      <c r="J251" s="6"/>
    </row>
    <row r="252" spans="1:10" hidden="1"/>
    <row r="253" spans="1:10" hidden="1">
      <c r="A253" s="14">
        <v>43862</v>
      </c>
      <c r="B253" s="2"/>
      <c r="C253" s="2"/>
      <c r="D253" s="2"/>
      <c r="E253" s="2"/>
    </row>
    <row r="254" spans="1:10" hidden="1">
      <c r="A254" s="3" t="s">
        <v>1</v>
      </c>
      <c r="B254" s="3" t="s">
        <v>2</v>
      </c>
      <c r="C254" s="3" t="s">
        <v>3</v>
      </c>
      <c r="D254" s="3" t="s">
        <v>4</v>
      </c>
      <c r="E254" s="3" t="s">
        <v>5</v>
      </c>
      <c r="F254" s="3" t="s">
        <v>13</v>
      </c>
      <c r="G254" s="3" t="s">
        <v>14</v>
      </c>
      <c r="H254" s="3" t="s">
        <v>15</v>
      </c>
      <c r="I254" s="3" t="s">
        <v>16</v>
      </c>
      <c r="J254" s="3" t="s">
        <v>17</v>
      </c>
    </row>
    <row r="255" spans="1:10" hidden="1">
      <c r="A255" s="6" t="s">
        <v>6</v>
      </c>
      <c r="B255" s="6">
        <f>C245</f>
        <v>48265</v>
      </c>
      <c r="C255" s="6">
        <v>48441</v>
      </c>
      <c r="D255" s="6">
        <f>C255-B255</f>
        <v>176</v>
      </c>
      <c r="E255" s="7">
        <f>13139.43*1.15</f>
        <v>15110.344499999999</v>
      </c>
      <c r="F255" s="6"/>
      <c r="G255" s="6" t="s">
        <v>46</v>
      </c>
      <c r="H255" s="6">
        <v>27</v>
      </c>
      <c r="I255" s="6">
        <f>D259/H255</f>
        <v>22.25925925925926</v>
      </c>
      <c r="J255" s="7">
        <f>E259/D259</f>
        <v>25.142004159733776</v>
      </c>
    </row>
    <row r="256" spans="1:10" hidden="1">
      <c r="A256" s="6" t="s">
        <v>7</v>
      </c>
      <c r="B256" s="6">
        <f t="shared" ref="B256" si="8">C246</f>
        <v>46021</v>
      </c>
      <c r="C256" s="6">
        <v>46446</v>
      </c>
      <c r="D256" s="6">
        <f>C256-B256</f>
        <v>425</v>
      </c>
      <c r="E256" s="7"/>
      <c r="F256" s="6"/>
      <c r="G256" s="6"/>
      <c r="H256" s="6"/>
      <c r="I256" s="6"/>
      <c r="J256" s="6"/>
    </row>
    <row r="257" spans="1:10" hidden="1">
      <c r="A257" s="6" t="s">
        <v>8</v>
      </c>
      <c r="B257" s="6">
        <v>45886</v>
      </c>
      <c r="C257" s="6">
        <v>46418</v>
      </c>
      <c r="D257" s="6">
        <f>C257-B257</f>
        <v>532</v>
      </c>
      <c r="E257" s="7"/>
      <c r="F257" s="6"/>
      <c r="G257" s="6"/>
      <c r="H257" s="6"/>
      <c r="I257" s="6"/>
      <c r="J257" s="7"/>
    </row>
    <row r="258" spans="1:10" hidden="1">
      <c r="A258" s="6" t="s">
        <v>9</v>
      </c>
      <c r="B258" s="6">
        <f>C248</f>
        <v>48214</v>
      </c>
      <c r="C258" s="6">
        <v>48506</v>
      </c>
      <c r="D258" s="6">
        <f>C258-B258</f>
        <v>292</v>
      </c>
      <c r="E258" s="7">
        <v>16022.81</v>
      </c>
      <c r="F258" s="6" t="s">
        <v>18</v>
      </c>
      <c r="G258" s="6" t="s">
        <v>47</v>
      </c>
      <c r="H258" s="6">
        <v>35</v>
      </c>
      <c r="I258" s="6">
        <f>D260/H258</f>
        <v>23.542857142857144</v>
      </c>
      <c r="J258" s="7">
        <f>E258/D260</f>
        <v>19.445157766990292</v>
      </c>
    </row>
    <row r="259" spans="1:10" hidden="1">
      <c r="A259" s="6" t="s">
        <v>10</v>
      </c>
      <c r="B259" s="6"/>
      <c r="C259" s="6"/>
      <c r="D259" s="6">
        <f>D255+D256</f>
        <v>601</v>
      </c>
      <c r="E259" s="7">
        <f>E255</f>
        <v>15110.344499999999</v>
      </c>
      <c r="F259" s="6"/>
      <c r="G259" s="6"/>
      <c r="H259" s="6"/>
      <c r="I259" s="6"/>
      <c r="J259" s="6"/>
    </row>
    <row r="260" spans="1:10" hidden="1">
      <c r="A260" s="6" t="s">
        <v>11</v>
      </c>
      <c r="B260" s="6"/>
      <c r="C260" s="6"/>
      <c r="D260" s="6">
        <f>D257+D258</f>
        <v>824</v>
      </c>
      <c r="E260" s="7">
        <f>E258</f>
        <v>16022.81</v>
      </c>
      <c r="F260" s="6"/>
      <c r="G260" s="6"/>
      <c r="H260" s="6"/>
      <c r="I260" s="6"/>
      <c r="J260" s="6"/>
    </row>
    <row r="261" spans="1:10" hidden="1">
      <c r="A261" s="6" t="s">
        <v>12</v>
      </c>
      <c r="B261" s="6"/>
      <c r="C261" s="6"/>
      <c r="D261" s="6"/>
      <c r="E261" s="7">
        <f>E259-E260</f>
        <v>-912.46550000000025</v>
      </c>
      <c r="F261" s="6"/>
      <c r="G261" s="6"/>
      <c r="H261" s="6"/>
      <c r="I261" s="6"/>
      <c r="J261" s="6"/>
    </row>
    <row r="262" spans="1:10" hidden="1"/>
    <row r="263" spans="1:10" hidden="1">
      <c r="A263" s="14">
        <v>43891</v>
      </c>
      <c r="B263" s="2"/>
      <c r="C263" s="2"/>
      <c r="D263" s="2"/>
      <c r="E263" s="2"/>
    </row>
    <row r="264" spans="1:10" hidden="1">
      <c r="A264" s="3" t="s">
        <v>1</v>
      </c>
      <c r="B264" s="3" t="s">
        <v>2</v>
      </c>
      <c r="C264" s="3" t="s">
        <v>3</v>
      </c>
      <c r="D264" s="3" t="s">
        <v>4</v>
      </c>
      <c r="E264" s="3" t="s">
        <v>5</v>
      </c>
      <c r="F264" s="3" t="s">
        <v>13</v>
      </c>
      <c r="G264" s="3" t="s">
        <v>14</v>
      </c>
      <c r="H264" s="3" t="s">
        <v>15</v>
      </c>
      <c r="I264" s="3" t="s">
        <v>16</v>
      </c>
      <c r="J264" s="3" t="s">
        <v>17</v>
      </c>
    </row>
    <row r="265" spans="1:10" hidden="1">
      <c r="A265" s="6" t="s">
        <v>6</v>
      </c>
      <c r="B265" s="6">
        <f>C255</f>
        <v>48441</v>
      </c>
      <c r="C265" s="6">
        <v>48582</v>
      </c>
      <c r="D265" s="6">
        <f>C265-B265</f>
        <v>141</v>
      </c>
      <c r="E265" s="7">
        <f>13139.43*1.15</f>
        <v>15110.344499999999</v>
      </c>
      <c r="F265" s="6"/>
      <c r="G265" s="6" t="s">
        <v>48</v>
      </c>
      <c r="H265" s="6">
        <v>27</v>
      </c>
      <c r="I265" s="6">
        <f>D269/H265</f>
        <v>21.518518518518519</v>
      </c>
      <c r="J265" s="7">
        <f>E269/D269</f>
        <v>26.007477624784851</v>
      </c>
    </row>
    <row r="266" spans="1:10" hidden="1">
      <c r="A266" s="6" t="s">
        <v>7</v>
      </c>
      <c r="B266" s="6">
        <f t="shared" ref="B266" si="9">C256</f>
        <v>46446</v>
      </c>
      <c r="C266" s="6">
        <v>46886</v>
      </c>
      <c r="D266" s="6">
        <f>C266-B266</f>
        <v>440</v>
      </c>
      <c r="E266" s="7"/>
      <c r="F266" s="6"/>
      <c r="G266" s="6"/>
      <c r="H266" s="6"/>
      <c r="I266" s="6"/>
      <c r="J266" s="6"/>
    </row>
    <row r="267" spans="1:10" hidden="1">
      <c r="A267" s="6" t="s">
        <v>8</v>
      </c>
      <c r="B267" s="6">
        <f>C257</f>
        <v>46418</v>
      </c>
      <c r="C267" s="6">
        <v>46857</v>
      </c>
      <c r="D267" s="6">
        <f>C267-B267</f>
        <v>439</v>
      </c>
      <c r="E267" s="7"/>
      <c r="F267" s="6"/>
      <c r="G267" s="6"/>
      <c r="H267" s="6"/>
      <c r="I267" s="6"/>
      <c r="J267" s="7"/>
    </row>
    <row r="268" spans="1:10" hidden="1">
      <c r="A268" s="6" t="s">
        <v>9</v>
      </c>
      <c r="B268" s="6">
        <f>C258</f>
        <v>48506</v>
      </c>
      <c r="C268" s="6">
        <v>48801</v>
      </c>
      <c r="D268" s="6">
        <f>C268-B268</f>
        <v>295</v>
      </c>
      <c r="E268" s="7"/>
      <c r="F268" s="6" t="s">
        <v>18</v>
      </c>
      <c r="G268" s="6" t="s">
        <v>49</v>
      </c>
      <c r="H268" s="6"/>
      <c r="I268" s="6" t="e">
        <f>D270/H268</f>
        <v>#DIV/0!</v>
      </c>
      <c r="J268" s="7">
        <f>E268/D270</f>
        <v>0</v>
      </c>
    </row>
    <row r="269" spans="1:10" hidden="1">
      <c r="A269" s="6" t="s">
        <v>10</v>
      </c>
      <c r="B269" s="6"/>
      <c r="C269" s="6"/>
      <c r="D269" s="6">
        <f>D265+D266</f>
        <v>581</v>
      </c>
      <c r="E269" s="7">
        <f>E265</f>
        <v>15110.344499999999</v>
      </c>
      <c r="F269" s="6"/>
      <c r="G269" s="6"/>
      <c r="H269" s="6"/>
      <c r="I269" s="6"/>
      <c r="J269" s="6"/>
    </row>
    <row r="270" spans="1:10" hidden="1">
      <c r="A270" s="6" t="s">
        <v>11</v>
      </c>
      <c r="B270" s="6"/>
      <c r="C270" s="6"/>
      <c r="D270" s="6">
        <f>D267+D268</f>
        <v>734</v>
      </c>
      <c r="E270" s="7">
        <f>E268</f>
        <v>0</v>
      </c>
      <c r="F270" s="6"/>
      <c r="G270" s="6"/>
      <c r="H270" s="6"/>
      <c r="I270" s="6"/>
      <c r="J270" s="6"/>
    </row>
    <row r="271" spans="1:10" hidden="1">
      <c r="A271" s="6" t="s">
        <v>12</v>
      </c>
      <c r="B271" s="6"/>
      <c r="C271" s="6"/>
      <c r="D271" s="6"/>
      <c r="E271" s="7">
        <f>E269-E270</f>
        <v>15110.344499999999</v>
      </c>
      <c r="F271" s="6"/>
      <c r="G271" s="6"/>
      <c r="H271" s="6"/>
      <c r="I271" s="6"/>
      <c r="J271" s="6"/>
    </row>
    <row r="272" spans="1:10" hidden="1"/>
    <row r="273" spans="1:10" hidden="1">
      <c r="A273" s="14">
        <v>43922</v>
      </c>
      <c r="B273" s="2"/>
      <c r="C273" s="2"/>
      <c r="D273" s="2"/>
      <c r="E273" s="2"/>
    </row>
    <row r="274" spans="1:10" hidden="1">
      <c r="A274" s="3" t="s">
        <v>1</v>
      </c>
      <c r="B274" s="3" t="s">
        <v>2</v>
      </c>
      <c r="C274" s="3" t="s">
        <v>3</v>
      </c>
      <c r="D274" s="3" t="s">
        <v>4</v>
      </c>
      <c r="E274" s="3" t="s">
        <v>5</v>
      </c>
      <c r="F274" s="3" t="s">
        <v>13</v>
      </c>
      <c r="G274" s="3" t="s">
        <v>14</v>
      </c>
      <c r="H274" s="3" t="s">
        <v>15</v>
      </c>
      <c r="I274" s="3" t="s">
        <v>16</v>
      </c>
      <c r="J274" s="3" t="s">
        <v>17</v>
      </c>
    </row>
    <row r="275" spans="1:10" hidden="1">
      <c r="A275" s="6" t="s">
        <v>6</v>
      </c>
      <c r="B275" s="6">
        <f>C265</f>
        <v>48582</v>
      </c>
      <c r="C275" s="6">
        <v>48749</v>
      </c>
      <c r="D275" s="6">
        <f>C275-B275</f>
        <v>167</v>
      </c>
      <c r="E275" s="7">
        <f>13139.43*1.15</f>
        <v>15110.344499999999</v>
      </c>
      <c r="F275" s="6" t="s">
        <v>42</v>
      </c>
      <c r="G275" s="6" t="s">
        <v>50</v>
      </c>
      <c r="H275" s="6">
        <v>34</v>
      </c>
      <c r="I275" s="6">
        <f>D279/H275</f>
        <v>18.411764705882351</v>
      </c>
      <c r="J275" s="7">
        <f>E279/D279</f>
        <v>24.137930511182109</v>
      </c>
    </row>
    <row r="276" spans="1:10" hidden="1">
      <c r="A276" s="6" t="s">
        <v>7</v>
      </c>
      <c r="B276" s="6">
        <f t="shared" ref="B276" si="10">C266</f>
        <v>46886</v>
      </c>
      <c r="C276" s="6">
        <v>47345</v>
      </c>
      <c r="D276" s="6">
        <f>C276-B276</f>
        <v>459</v>
      </c>
      <c r="E276" s="7"/>
      <c r="F276" s="6"/>
      <c r="G276" s="6"/>
      <c r="H276" s="6"/>
      <c r="I276" s="6"/>
      <c r="J276" s="6"/>
    </row>
    <row r="277" spans="1:10" hidden="1">
      <c r="A277" s="6" t="s">
        <v>8</v>
      </c>
      <c r="B277" s="6">
        <f>C267</f>
        <v>46857</v>
      </c>
      <c r="C277" s="6">
        <v>47408</v>
      </c>
      <c r="D277" s="6">
        <f>C277-B277</f>
        <v>551</v>
      </c>
      <c r="E277" s="7"/>
      <c r="F277" s="6"/>
      <c r="G277" s="6"/>
      <c r="H277" s="6"/>
      <c r="I277" s="6"/>
      <c r="J277" s="7"/>
    </row>
    <row r="278" spans="1:10" hidden="1">
      <c r="A278" s="6" t="s">
        <v>9</v>
      </c>
      <c r="B278" s="6">
        <f>C268</f>
        <v>48801</v>
      </c>
      <c r="C278" s="6">
        <v>49003</v>
      </c>
      <c r="D278" s="6">
        <f>C278-B278</f>
        <v>202</v>
      </c>
      <c r="E278" s="7">
        <f>16022.81+14759.11-30781.93+15308.86</f>
        <v>15308.849999999999</v>
      </c>
      <c r="F278" s="6" t="s">
        <v>18</v>
      </c>
      <c r="G278" s="6" t="s">
        <v>51</v>
      </c>
      <c r="H278" s="6">
        <v>29</v>
      </c>
      <c r="I278" s="6">
        <f>D280/H278</f>
        <v>25.96551724137931</v>
      </c>
      <c r="J278" s="7">
        <f>E278/D280</f>
        <v>20.3304780876494</v>
      </c>
    </row>
    <row r="279" spans="1:10" hidden="1">
      <c r="A279" s="6" t="s">
        <v>10</v>
      </c>
      <c r="B279" s="6"/>
      <c r="C279" s="6"/>
      <c r="D279" s="6">
        <f>D275+D276</f>
        <v>626</v>
      </c>
      <c r="E279" s="7">
        <f>E275</f>
        <v>15110.344499999999</v>
      </c>
      <c r="F279" s="6"/>
      <c r="G279" s="6"/>
      <c r="H279" s="6"/>
      <c r="I279" s="6"/>
      <c r="J279" s="6"/>
    </row>
    <row r="280" spans="1:10" hidden="1">
      <c r="A280" s="6" t="s">
        <v>11</v>
      </c>
      <c r="B280" s="6"/>
      <c r="C280" s="6"/>
      <c r="D280" s="6">
        <f>D277+D278</f>
        <v>753</v>
      </c>
      <c r="E280" s="7">
        <f>E278</f>
        <v>15308.849999999999</v>
      </c>
      <c r="F280" s="6"/>
      <c r="G280" s="6"/>
      <c r="H280" s="6"/>
      <c r="I280" s="6"/>
      <c r="J280" s="6"/>
    </row>
    <row r="281" spans="1:10" hidden="1">
      <c r="A281" s="6" t="s">
        <v>12</v>
      </c>
      <c r="B281" s="6"/>
      <c r="C281" s="6"/>
      <c r="D281" s="6"/>
      <c r="E281" s="7">
        <f>E279-E280</f>
        <v>-198.5054999999993</v>
      </c>
      <c r="F281" s="6"/>
      <c r="G281" s="6"/>
      <c r="H281" s="6"/>
      <c r="I281" s="6"/>
      <c r="J281" s="6"/>
    </row>
    <row r="282" spans="1:10" hidden="1"/>
    <row r="283" spans="1:10" hidden="1">
      <c r="A283" s="14">
        <v>43952</v>
      </c>
      <c r="B283" s="2"/>
      <c r="C283" s="2"/>
      <c r="D283" s="2"/>
      <c r="E283" s="2"/>
    </row>
    <row r="284" spans="1:10" hidden="1">
      <c r="A284" s="3" t="s">
        <v>1</v>
      </c>
      <c r="B284" s="3" t="s">
        <v>2</v>
      </c>
      <c r="C284" s="3" t="s">
        <v>3</v>
      </c>
      <c r="D284" s="3" t="s">
        <v>4</v>
      </c>
      <c r="E284" s="3" t="s">
        <v>5</v>
      </c>
      <c r="F284" s="3" t="s">
        <v>13</v>
      </c>
      <c r="G284" s="3" t="s">
        <v>14</v>
      </c>
      <c r="H284" s="3" t="s">
        <v>15</v>
      </c>
      <c r="I284" s="3" t="s">
        <v>16</v>
      </c>
      <c r="J284" s="3" t="s">
        <v>17</v>
      </c>
    </row>
    <row r="285" spans="1:10" hidden="1">
      <c r="A285" s="6" t="s">
        <v>6</v>
      </c>
      <c r="B285" s="6">
        <f>C275</f>
        <v>48749</v>
      </c>
      <c r="C285" s="6">
        <v>48900</v>
      </c>
      <c r="D285" s="6">
        <f>C285-B285</f>
        <v>151</v>
      </c>
      <c r="E285" s="7">
        <f>13139.43*1.15</f>
        <v>15110.344499999999</v>
      </c>
      <c r="F285" s="6" t="s">
        <v>42</v>
      </c>
      <c r="G285" s="6" t="s">
        <v>52</v>
      </c>
      <c r="H285" s="6">
        <v>30</v>
      </c>
      <c r="I285" s="6">
        <f>D289/H285</f>
        <v>20.666666666666668</v>
      </c>
      <c r="J285" s="7">
        <f>E289/D289</f>
        <v>24.371523387096772</v>
      </c>
    </row>
    <row r="286" spans="1:10" hidden="1">
      <c r="A286" s="6" t="s">
        <v>7</v>
      </c>
      <c r="B286" s="6">
        <f t="shared" ref="B286" si="11">C276</f>
        <v>47345</v>
      </c>
      <c r="C286" s="6">
        <v>47814</v>
      </c>
      <c r="D286" s="6">
        <f>C286-B286</f>
        <v>469</v>
      </c>
      <c r="E286" s="7"/>
      <c r="F286" s="6"/>
      <c r="G286" s="6"/>
      <c r="H286" s="6"/>
      <c r="I286" s="6"/>
      <c r="J286" s="6"/>
    </row>
    <row r="287" spans="1:10" hidden="1">
      <c r="A287" s="6" t="s">
        <v>8</v>
      </c>
      <c r="B287" s="6">
        <f>C277</f>
        <v>47408</v>
      </c>
      <c r="C287" s="6">
        <v>47930</v>
      </c>
      <c r="D287" s="6">
        <f>C287-B287</f>
        <v>522</v>
      </c>
      <c r="E287" s="7"/>
      <c r="F287" s="6"/>
      <c r="G287" s="6"/>
      <c r="H287" s="6"/>
      <c r="I287" s="6"/>
      <c r="J287" s="7"/>
    </row>
    <row r="288" spans="1:10" hidden="1">
      <c r="A288" s="6" t="s">
        <v>9</v>
      </c>
      <c r="B288" s="6">
        <f>C278</f>
        <v>49003</v>
      </c>
      <c r="C288" s="6">
        <v>49242</v>
      </c>
      <c r="D288" s="6">
        <f>C288-B288</f>
        <v>239</v>
      </c>
      <c r="E288" s="7">
        <v>14479.04</v>
      </c>
      <c r="F288" s="6" t="s">
        <v>42</v>
      </c>
      <c r="G288" s="6" t="s">
        <v>53</v>
      </c>
      <c r="H288" s="6">
        <v>34</v>
      </c>
      <c r="I288" s="6">
        <f>D290/H288</f>
        <v>22.382352941176471</v>
      </c>
      <c r="J288" s="7">
        <f>E288/D290</f>
        <v>19.026333771353482</v>
      </c>
    </row>
    <row r="289" spans="1:10" hidden="1">
      <c r="A289" s="6" t="s">
        <v>10</v>
      </c>
      <c r="B289" s="6"/>
      <c r="C289" s="6"/>
      <c r="D289" s="6">
        <f>D285+D286</f>
        <v>620</v>
      </c>
      <c r="E289" s="7">
        <f>E285</f>
        <v>15110.344499999999</v>
      </c>
      <c r="F289" s="6"/>
      <c r="G289" s="6"/>
      <c r="H289" s="6"/>
      <c r="I289" s="6"/>
      <c r="J289" s="6"/>
    </row>
    <row r="290" spans="1:10" hidden="1">
      <c r="A290" s="6" t="s">
        <v>11</v>
      </c>
      <c r="B290" s="6"/>
      <c r="C290" s="6"/>
      <c r="D290" s="6">
        <f>D287+D288</f>
        <v>761</v>
      </c>
      <c r="E290" s="7">
        <f>E288</f>
        <v>14479.04</v>
      </c>
      <c r="F290" s="6"/>
      <c r="G290" s="6"/>
      <c r="H290" s="6"/>
      <c r="I290" s="6"/>
      <c r="J290" s="6"/>
    </row>
    <row r="291" spans="1:10" hidden="1">
      <c r="A291" s="6" t="s">
        <v>12</v>
      </c>
      <c r="B291" s="6"/>
      <c r="C291" s="6"/>
      <c r="D291" s="6"/>
      <c r="E291" s="7">
        <f>E289-E290</f>
        <v>631.30449999999837</v>
      </c>
      <c r="F291" s="6"/>
      <c r="G291" s="6"/>
      <c r="H291" s="6"/>
      <c r="I291" s="6"/>
      <c r="J291" s="6"/>
    </row>
    <row r="292" spans="1:10" hidden="1"/>
    <row r="293" spans="1:10" hidden="1">
      <c r="A293" s="14">
        <v>43983</v>
      </c>
      <c r="B293" s="2"/>
      <c r="C293" s="2"/>
      <c r="D293" s="2"/>
      <c r="E293" s="2"/>
    </row>
    <row r="294" spans="1:10" hidden="1">
      <c r="A294" s="3" t="s">
        <v>1</v>
      </c>
      <c r="B294" s="3" t="s">
        <v>2</v>
      </c>
      <c r="C294" s="3" t="s">
        <v>3</v>
      </c>
      <c r="D294" s="3" t="s">
        <v>4</v>
      </c>
      <c r="E294" s="3" t="s">
        <v>5</v>
      </c>
      <c r="F294" s="3" t="s">
        <v>13</v>
      </c>
      <c r="G294" s="3" t="s">
        <v>14</v>
      </c>
      <c r="H294" s="3" t="s">
        <v>15</v>
      </c>
      <c r="I294" s="3" t="s">
        <v>16</v>
      </c>
      <c r="J294" s="3" t="s">
        <v>17</v>
      </c>
    </row>
    <row r="295" spans="1:10" hidden="1">
      <c r="A295" s="6" t="s">
        <v>6</v>
      </c>
      <c r="B295" s="6">
        <f>C285</f>
        <v>48900</v>
      </c>
      <c r="C295" s="6">
        <v>49052</v>
      </c>
      <c r="D295" s="6">
        <f>C295-B295</f>
        <v>152</v>
      </c>
      <c r="E295" s="7">
        <f>13139.43*1.15</f>
        <v>15110.344499999999</v>
      </c>
      <c r="F295" s="6" t="s">
        <v>42</v>
      </c>
      <c r="G295" s="6" t="s">
        <v>54</v>
      </c>
      <c r="H295" s="6">
        <v>31</v>
      </c>
      <c r="I295" s="6">
        <f>D299/H295</f>
        <v>18.741935483870968</v>
      </c>
      <c r="J295" s="7">
        <f>E299/D299</f>
        <v>26.007477624784851</v>
      </c>
    </row>
    <row r="296" spans="1:10" hidden="1">
      <c r="A296" s="6" t="s">
        <v>7</v>
      </c>
      <c r="B296" s="6">
        <f t="shared" ref="B296" si="12">C286</f>
        <v>47814</v>
      </c>
      <c r="C296" s="6">
        <v>48243</v>
      </c>
      <c r="D296" s="6">
        <f>C296-B296</f>
        <v>429</v>
      </c>
      <c r="E296" s="7"/>
      <c r="F296" s="6"/>
      <c r="G296" s="6"/>
      <c r="H296" s="6"/>
      <c r="I296" s="6"/>
      <c r="J296" s="6"/>
    </row>
    <row r="297" spans="1:10" hidden="1">
      <c r="A297" s="6" t="s">
        <v>8</v>
      </c>
      <c r="B297" s="6">
        <v>45886</v>
      </c>
      <c r="C297" s="6">
        <v>46418</v>
      </c>
      <c r="D297" s="6">
        <f>C297-B297</f>
        <v>532</v>
      </c>
      <c r="E297" s="7"/>
      <c r="F297" s="6"/>
      <c r="G297" s="6"/>
      <c r="H297" s="6"/>
      <c r="I297" s="6"/>
      <c r="J297" s="7"/>
    </row>
    <row r="298" spans="1:10" hidden="1">
      <c r="A298" s="6" t="s">
        <v>9</v>
      </c>
      <c r="B298" s="6">
        <v>48214</v>
      </c>
      <c r="C298" s="6">
        <v>49177</v>
      </c>
      <c r="D298" s="6">
        <f>C298-B298</f>
        <v>963</v>
      </c>
      <c r="E298" s="7">
        <f>65018.16+15308.86+14479.04-90357.73</f>
        <v>4448.3300000000017</v>
      </c>
      <c r="F298" s="6" t="s">
        <v>18</v>
      </c>
      <c r="G298" s="6" t="s">
        <v>55</v>
      </c>
      <c r="H298" s="6">
        <v>153</v>
      </c>
      <c r="I298" s="6">
        <f>D300/H298</f>
        <v>9.7712418300653603</v>
      </c>
      <c r="J298" s="7">
        <f>E298/D300</f>
        <v>2.9754715719063558</v>
      </c>
    </row>
    <row r="299" spans="1:10" hidden="1">
      <c r="A299" s="6" t="s">
        <v>10</v>
      </c>
      <c r="B299" s="6"/>
      <c r="C299" s="6"/>
      <c r="D299" s="6">
        <f>D295+D296</f>
        <v>581</v>
      </c>
      <c r="E299" s="7">
        <f>E295</f>
        <v>15110.344499999999</v>
      </c>
      <c r="F299" s="6"/>
      <c r="G299" s="6"/>
      <c r="H299" s="6"/>
      <c r="I299" s="6"/>
      <c r="J299" s="6"/>
    </row>
    <row r="300" spans="1:10" hidden="1">
      <c r="A300" s="6" t="s">
        <v>11</v>
      </c>
      <c r="B300" s="6"/>
      <c r="C300" s="6"/>
      <c r="D300" s="6">
        <f>D297+D298</f>
        <v>1495</v>
      </c>
      <c r="E300" s="7">
        <f>E298</f>
        <v>4448.3300000000017</v>
      </c>
      <c r="F300" s="6"/>
      <c r="G300" s="6"/>
      <c r="H300" s="6"/>
      <c r="I300" s="6"/>
      <c r="J300" s="6"/>
    </row>
    <row r="301" spans="1:10" hidden="1">
      <c r="A301" s="6" t="s">
        <v>12</v>
      </c>
      <c r="B301" s="6"/>
      <c r="C301" s="6"/>
      <c r="D301" s="6"/>
      <c r="E301" s="7">
        <f>E299-E300</f>
        <v>10662.014499999997</v>
      </c>
      <c r="F301" s="6"/>
      <c r="G301" s="6"/>
      <c r="H301" s="6"/>
      <c r="I301" s="6"/>
      <c r="J301" s="6"/>
    </row>
    <row r="302" spans="1:10" hidden="1"/>
    <row r="303" spans="1:10" hidden="1">
      <c r="A303" s="14">
        <v>44013</v>
      </c>
      <c r="B303" s="2"/>
      <c r="C303" s="2"/>
      <c r="D303" s="2"/>
      <c r="E303" s="2"/>
    </row>
    <row r="304" spans="1:10" hidden="1">
      <c r="A304" s="3" t="s">
        <v>1</v>
      </c>
      <c r="B304" s="3" t="s">
        <v>2</v>
      </c>
      <c r="C304" s="3" t="s">
        <v>3</v>
      </c>
      <c r="D304" s="3" t="s">
        <v>4</v>
      </c>
      <c r="E304" s="3" t="s">
        <v>5</v>
      </c>
      <c r="F304" s="3" t="s">
        <v>13</v>
      </c>
      <c r="G304" s="3" t="s">
        <v>14</v>
      </c>
      <c r="H304" s="3" t="s">
        <v>15</v>
      </c>
      <c r="I304" s="3" t="s">
        <v>16</v>
      </c>
      <c r="J304" s="3" t="s">
        <v>17</v>
      </c>
    </row>
    <row r="305" spans="1:10" hidden="1">
      <c r="A305" s="6" t="s">
        <v>6</v>
      </c>
      <c r="B305" s="6">
        <f>C295</f>
        <v>49052</v>
      </c>
      <c r="C305" s="6">
        <v>49519</v>
      </c>
      <c r="D305" s="6">
        <f>C305-B305</f>
        <v>467</v>
      </c>
      <c r="E305" s="7">
        <f>13139.43*1.15</f>
        <v>15110.344499999999</v>
      </c>
      <c r="F305" s="6" t="s">
        <v>56</v>
      </c>
      <c r="G305" s="6" t="s">
        <v>57</v>
      </c>
      <c r="H305" s="6">
        <v>31</v>
      </c>
      <c r="I305" s="6">
        <f>D309/H305</f>
        <v>38.741935483870968</v>
      </c>
      <c r="J305" s="7">
        <f>E309/D309</f>
        <v>12.581469192339716</v>
      </c>
    </row>
    <row r="306" spans="1:10" hidden="1">
      <c r="A306" s="6" t="s">
        <v>7</v>
      </c>
      <c r="B306" s="6">
        <f t="shared" ref="B306" si="13">C296</f>
        <v>48243</v>
      </c>
      <c r="C306" s="6">
        <v>48977</v>
      </c>
      <c r="D306" s="6">
        <f>C306-B306</f>
        <v>734</v>
      </c>
      <c r="E306" s="7"/>
      <c r="F306" s="6"/>
      <c r="G306" s="6"/>
      <c r="H306" s="6"/>
      <c r="I306" s="6"/>
      <c r="J306" s="6"/>
    </row>
    <row r="307" spans="1:10" hidden="1">
      <c r="A307" s="6" t="s">
        <v>8</v>
      </c>
      <c r="B307" s="6">
        <f>C297</f>
        <v>46418</v>
      </c>
      <c r="C307" s="6">
        <v>48462</v>
      </c>
      <c r="D307" s="6">
        <f>C307-B307</f>
        <v>2044</v>
      </c>
      <c r="E307" s="7"/>
      <c r="F307" s="6"/>
      <c r="G307" s="6"/>
      <c r="H307" s="6"/>
      <c r="I307" s="6"/>
      <c r="J307" s="7"/>
    </row>
    <row r="308" spans="1:10" hidden="1">
      <c r="A308" s="6" t="s">
        <v>9</v>
      </c>
      <c r="B308" s="6">
        <f>C298</f>
        <v>49177</v>
      </c>
      <c r="C308" s="6">
        <v>49242</v>
      </c>
      <c r="D308" s="6">
        <f>C308-B308</f>
        <v>65</v>
      </c>
      <c r="E308" s="7">
        <f>3789.02+10193+5069.2</f>
        <v>19051.22</v>
      </c>
      <c r="F308" s="6" t="s">
        <v>18</v>
      </c>
      <c r="G308" s="6" t="s">
        <v>58</v>
      </c>
      <c r="H308" s="6">
        <f>7+29</f>
        <v>36</v>
      </c>
      <c r="I308" s="6">
        <f>D310/H308</f>
        <v>58.583333333333336</v>
      </c>
      <c r="J308" s="7">
        <f>E308/D310</f>
        <v>9.0332954006638229</v>
      </c>
    </row>
    <row r="309" spans="1:10" hidden="1">
      <c r="A309" s="6" t="s">
        <v>10</v>
      </c>
      <c r="B309" s="6"/>
      <c r="C309" s="6"/>
      <c r="D309" s="6">
        <f>D305+D306</f>
        <v>1201</v>
      </c>
      <c r="E309" s="7">
        <f>E305</f>
        <v>15110.344499999999</v>
      </c>
      <c r="F309" s="6"/>
      <c r="G309" s="6"/>
      <c r="H309" s="6"/>
      <c r="I309" s="6"/>
      <c r="J309" s="6"/>
    </row>
    <row r="310" spans="1:10" hidden="1">
      <c r="A310" s="6" t="s">
        <v>11</v>
      </c>
      <c r="B310" s="6"/>
      <c r="C310" s="6"/>
      <c r="D310" s="6">
        <f>D307+D308</f>
        <v>2109</v>
      </c>
      <c r="E310" s="7">
        <f>E308</f>
        <v>19051.22</v>
      </c>
      <c r="F310" s="6"/>
      <c r="G310" s="6"/>
      <c r="H310" s="6"/>
      <c r="I310" s="6"/>
      <c r="J310" s="6"/>
    </row>
    <row r="311" spans="1:10" hidden="1">
      <c r="A311" s="6" t="s">
        <v>12</v>
      </c>
      <c r="B311" s="6"/>
      <c r="C311" s="6"/>
      <c r="D311" s="6"/>
      <c r="E311" s="7">
        <f>E309-E310</f>
        <v>-3940.8755000000019</v>
      </c>
      <c r="F311" s="6"/>
      <c r="G311" s="6"/>
      <c r="H311" s="6"/>
      <c r="I311" s="6"/>
      <c r="J311" s="6"/>
    </row>
    <row r="312" spans="1:10" hidden="1"/>
    <row r="313" spans="1:10" hidden="1">
      <c r="A313" s="14">
        <v>44044</v>
      </c>
      <c r="B313" s="2"/>
      <c r="C313" s="2"/>
      <c r="D313" s="2"/>
      <c r="E313" s="2"/>
    </row>
    <row r="314" spans="1:10" hidden="1">
      <c r="A314" s="3" t="s">
        <v>1</v>
      </c>
      <c r="B314" s="3" t="s">
        <v>2</v>
      </c>
      <c r="C314" s="3" t="s">
        <v>3</v>
      </c>
      <c r="D314" s="3" t="s">
        <v>4</v>
      </c>
      <c r="E314" s="3" t="s">
        <v>5</v>
      </c>
      <c r="F314" s="3" t="s">
        <v>13</v>
      </c>
      <c r="G314" s="3" t="s">
        <v>14</v>
      </c>
      <c r="H314" s="3" t="s">
        <v>15</v>
      </c>
      <c r="I314" s="3" t="s">
        <v>16</v>
      </c>
      <c r="J314" s="3" t="s">
        <v>17</v>
      </c>
    </row>
    <row r="315" spans="1:10" hidden="1">
      <c r="A315" s="6" t="s">
        <v>6</v>
      </c>
      <c r="B315" s="6">
        <f>C305</f>
        <v>49519</v>
      </c>
      <c r="C315" s="6">
        <v>49671</v>
      </c>
      <c r="D315" s="6">
        <f>C315-B315</f>
        <v>152</v>
      </c>
      <c r="E315" s="7">
        <f>13139.43*1.15</f>
        <v>15110.344499999999</v>
      </c>
      <c r="F315" s="6" t="s">
        <v>42</v>
      </c>
      <c r="G315" s="6" t="s">
        <v>59</v>
      </c>
      <c r="H315" s="6">
        <v>31</v>
      </c>
      <c r="I315" s="6">
        <f>D319/H315</f>
        <v>19.387096774193548</v>
      </c>
      <c r="J315" s="7">
        <f>E319/D319</f>
        <v>25.142004159733776</v>
      </c>
    </row>
    <row r="316" spans="1:10" hidden="1">
      <c r="A316" s="6" t="s">
        <v>7</v>
      </c>
      <c r="B316" s="6">
        <f t="shared" ref="B316" si="14">C306</f>
        <v>48977</v>
      </c>
      <c r="C316" s="6">
        <v>49426</v>
      </c>
      <c r="D316" s="6">
        <f>C316-B316</f>
        <v>449</v>
      </c>
      <c r="E316" s="7"/>
      <c r="F316" s="6"/>
      <c r="G316" s="6"/>
      <c r="H316" s="6"/>
      <c r="I316" s="6"/>
      <c r="J316" s="6"/>
    </row>
    <row r="317" spans="1:10" hidden="1">
      <c r="A317" s="6" t="s">
        <v>8</v>
      </c>
      <c r="B317" s="6">
        <f>C307</f>
        <v>48462</v>
      </c>
      <c r="C317" s="6">
        <v>49449</v>
      </c>
      <c r="D317" s="6">
        <f>C317-B317</f>
        <v>987</v>
      </c>
      <c r="E317" s="7"/>
      <c r="F317" s="6"/>
      <c r="G317" s="6"/>
      <c r="H317" s="6"/>
      <c r="I317" s="6"/>
      <c r="J317" s="7"/>
    </row>
    <row r="318" spans="1:10" hidden="1">
      <c r="A318" s="6" t="s">
        <v>9</v>
      </c>
      <c r="B318" s="6">
        <f>C308</f>
        <v>49242</v>
      </c>
      <c r="C318" s="6">
        <v>49792</v>
      </c>
      <c r="D318" s="6">
        <f>C318-B318</f>
        <v>550</v>
      </c>
      <c r="E318" s="7">
        <v>16324.39</v>
      </c>
      <c r="F318" s="6" t="s">
        <v>60</v>
      </c>
      <c r="G318" s="6" t="s">
        <v>61</v>
      </c>
      <c r="H318" s="6">
        <v>30</v>
      </c>
      <c r="I318" s="6">
        <f>D320/H318</f>
        <v>51.233333333333334</v>
      </c>
      <c r="J318" s="7">
        <f>E318/D320</f>
        <v>10.620943396226414</v>
      </c>
    </row>
    <row r="319" spans="1:10" hidden="1">
      <c r="A319" s="6" t="s">
        <v>10</v>
      </c>
      <c r="B319" s="6"/>
      <c r="C319" s="6"/>
      <c r="D319" s="6">
        <f>D315+D316</f>
        <v>601</v>
      </c>
      <c r="E319" s="7">
        <f>E315</f>
        <v>15110.344499999999</v>
      </c>
      <c r="F319" s="6"/>
      <c r="G319" s="6"/>
      <c r="H319" s="6"/>
      <c r="I319" s="6"/>
      <c r="J319" s="6"/>
    </row>
    <row r="320" spans="1:10" hidden="1">
      <c r="A320" s="6" t="s">
        <v>11</v>
      </c>
      <c r="B320" s="6"/>
      <c r="C320" s="6"/>
      <c r="D320" s="6">
        <f>D317+D318</f>
        <v>1537</v>
      </c>
      <c r="E320" s="7">
        <f>E318</f>
        <v>16324.39</v>
      </c>
      <c r="F320" s="6"/>
      <c r="G320" s="6"/>
      <c r="H320" s="6"/>
      <c r="I320" s="6"/>
      <c r="J320" s="6"/>
    </row>
    <row r="321" spans="1:10" hidden="1">
      <c r="A321" s="6" t="s">
        <v>12</v>
      </c>
      <c r="B321" s="6"/>
      <c r="C321" s="6"/>
      <c r="D321" s="6"/>
      <c r="E321" s="7">
        <f>E319-E320</f>
        <v>-1214.0455000000002</v>
      </c>
      <c r="F321" s="6"/>
      <c r="G321" s="6"/>
      <c r="H321" s="6"/>
      <c r="I321" s="6"/>
      <c r="J321" s="6"/>
    </row>
    <row r="322" spans="1:10" hidden="1"/>
    <row r="323" spans="1:10" hidden="1">
      <c r="A323" s="14">
        <v>44075</v>
      </c>
      <c r="B323" s="2"/>
      <c r="C323" s="2"/>
      <c r="D323" s="2"/>
      <c r="E323" s="2"/>
    </row>
    <row r="324" spans="1:10" hidden="1">
      <c r="A324" s="3" t="s">
        <v>1</v>
      </c>
      <c r="B324" s="3" t="s">
        <v>2</v>
      </c>
      <c r="C324" s="3" t="s">
        <v>3</v>
      </c>
      <c r="D324" s="3" t="s">
        <v>4</v>
      </c>
      <c r="E324" s="3" t="s">
        <v>5</v>
      </c>
      <c r="F324" s="3" t="s">
        <v>13</v>
      </c>
      <c r="G324" s="3" t="s">
        <v>14</v>
      </c>
      <c r="H324" s="3" t="s">
        <v>15</v>
      </c>
      <c r="I324" s="3" t="s">
        <v>16</v>
      </c>
      <c r="J324" s="3" t="s">
        <v>17</v>
      </c>
    </row>
    <row r="325" spans="1:10" hidden="1">
      <c r="A325" s="6" t="s">
        <v>6</v>
      </c>
      <c r="B325" s="6">
        <f>C315</f>
        <v>49671</v>
      </c>
      <c r="C325" s="6">
        <v>50135</v>
      </c>
      <c r="D325" s="6">
        <f>C325-B325</f>
        <v>464</v>
      </c>
      <c r="E325" s="7">
        <f>13139.43*1.15</f>
        <v>15110.344499999999</v>
      </c>
      <c r="F325" s="6" t="s">
        <v>18</v>
      </c>
      <c r="G325" s="6" t="s">
        <v>62</v>
      </c>
      <c r="H325" s="6">
        <v>31</v>
      </c>
      <c r="I325" s="6">
        <f>D329/H325</f>
        <v>48.58064516129032</v>
      </c>
      <c r="J325" s="7">
        <f>E329/D329</f>
        <v>10.033429282868525</v>
      </c>
    </row>
    <row r="326" spans="1:10" hidden="1">
      <c r="A326" s="6" t="s">
        <v>7</v>
      </c>
      <c r="B326" s="6">
        <f t="shared" ref="B326" si="15">C316</f>
        <v>49426</v>
      </c>
      <c r="C326" s="6">
        <v>50468</v>
      </c>
      <c r="D326" s="6">
        <f>C326-B326</f>
        <v>1042</v>
      </c>
      <c r="E326" s="7"/>
      <c r="F326" s="6"/>
      <c r="G326" s="6"/>
      <c r="H326" s="6"/>
      <c r="I326" s="6"/>
      <c r="J326" s="6"/>
    </row>
    <row r="327" spans="1:10" hidden="1">
      <c r="A327" s="6" t="s">
        <v>8</v>
      </c>
      <c r="B327" s="6">
        <f>C317</f>
        <v>49449</v>
      </c>
      <c r="C327" s="6">
        <v>49577</v>
      </c>
      <c r="D327" s="6">
        <f>C327-B327</f>
        <v>128</v>
      </c>
      <c r="E327" s="7"/>
      <c r="F327" s="6"/>
      <c r="G327" s="6"/>
      <c r="H327" s="6"/>
      <c r="I327" s="6"/>
      <c r="J327" s="7"/>
    </row>
    <row r="328" spans="1:10" hidden="1">
      <c r="A328" s="6" t="s">
        <v>9</v>
      </c>
      <c r="B328" s="6">
        <f>C318</f>
        <v>49792</v>
      </c>
      <c r="C328" s="6">
        <v>50345</v>
      </c>
      <c r="D328" s="6">
        <f>C328-B328</f>
        <v>553</v>
      </c>
      <c r="E328" s="7">
        <f>16409.16-11080.39+5418.8</f>
        <v>10747.57</v>
      </c>
      <c r="F328" s="6" t="s">
        <v>18</v>
      </c>
      <c r="G328" s="6" t="s">
        <v>63</v>
      </c>
      <c r="H328" s="6">
        <v>61</v>
      </c>
      <c r="I328" s="6">
        <f>D330/H328</f>
        <v>11.163934426229508</v>
      </c>
      <c r="J328" s="7">
        <f>E328/D330</f>
        <v>15.782041116005873</v>
      </c>
    </row>
    <row r="329" spans="1:10" hidden="1">
      <c r="A329" s="6" t="s">
        <v>10</v>
      </c>
      <c r="B329" s="6"/>
      <c r="C329" s="6"/>
      <c r="D329" s="6">
        <f>D325+D326</f>
        <v>1506</v>
      </c>
      <c r="E329" s="7">
        <f>E325</f>
        <v>15110.344499999999</v>
      </c>
      <c r="F329" s="6"/>
      <c r="G329" s="6"/>
      <c r="H329" s="6"/>
      <c r="I329" s="6"/>
      <c r="J329" s="6"/>
    </row>
    <row r="330" spans="1:10" hidden="1">
      <c r="A330" s="6" t="s">
        <v>11</v>
      </c>
      <c r="B330" s="6"/>
      <c r="C330" s="6"/>
      <c r="D330" s="6">
        <f>D327+D328</f>
        <v>681</v>
      </c>
      <c r="E330" s="7">
        <f>E328</f>
        <v>10747.57</v>
      </c>
      <c r="F330" s="6"/>
      <c r="G330" s="6"/>
      <c r="H330" s="6"/>
      <c r="I330" s="6"/>
      <c r="J330" s="6"/>
    </row>
    <row r="331" spans="1:10" hidden="1">
      <c r="A331" s="6" t="s">
        <v>12</v>
      </c>
      <c r="B331" s="6"/>
      <c r="C331" s="6"/>
      <c r="D331" s="6"/>
      <c r="E331" s="7">
        <f>E329-E330</f>
        <v>4362.7744999999995</v>
      </c>
      <c r="F331" s="6"/>
      <c r="G331" s="6"/>
      <c r="H331" s="6"/>
      <c r="I331" s="6"/>
      <c r="J331" s="6"/>
    </row>
    <row r="332" spans="1:10" hidden="1"/>
    <row r="333" spans="1:10" hidden="1">
      <c r="A333" s="14">
        <v>44105</v>
      </c>
      <c r="B333" s="2"/>
      <c r="C333" s="2"/>
      <c r="D333" s="2"/>
      <c r="E333" s="2"/>
    </row>
    <row r="334" spans="1:10" hidden="1">
      <c r="A334" s="3" t="s">
        <v>1</v>
      </c>
      <c r="B334" s="3" t="s">
        <v>2</v>
      </c>
      <c r="C334" s="3" t="s">
        <v>3</v>
      </c>
      <c r="D334" s="3" t="s">
        <v>4</v>
      </c>
      <c r="E334" s="3" t="s">
        <v>5</v>
      </c>
      <c r="F334" s="3" t="s">
        <v>13</v>
      </c>
      <c r="G334" s="3" t="s">
        <v>14</v>
      </c>
      <c r="H334" s="3" t="s">
        <v>15</v>
      </c>
      <c r="I334" s="3" t="s">
        <v>16</v>
      </c>
      <c r="J334" s="3" t="s">
        <v>17</v>
      </c>
    </row>
    <row r="335" spans="1:10" hidden="1">
      <c r="A335" s="6" t="s">
        <v>6</v>
      </c>
      <c r="B335" s="6">
        <v>49671</v>
      </c>
      <c r="C335" s="6">
        <v>50135</v>
      </c>
      <c r="D335" s="6">
        <f>C335-B335</f>
        <v>464</v>
      </c>
      <c r="E335" s="7">
        <f>13139.43*1.15</f>
        <v>15110.344499999999</v>
      </c>
      <c r="F335" s="6" t="s">
        <v>18</v>
      </c>
      <c r="G335" s="6" t="s">
        <v>62</v>
      </c>
      <c r="H335" s="6">
        <v>31</v>
      </c>
      <c r="I335" s="6">
        <f>D339/H335</f>
        <v>48.58064516129032</v>
      </c>
      <c r="J335" s="7">
        <f>E339/D339</f>
        <v>10.033429282868525</v>
      </c>
    </row>
    <row r="336" spans="1:10" hidden="1">
      <c r="A336" s="6" t="s">
        <v>7</v>
      </c>
      <c r="B336" s="6">
        <v>49426</v>
      </c>
      <c r="C336" s="6">
        <v>50468</v>
      </c>
      <c r="D336" s="6">
        <f>C336-B336</f>
        <v>1042</v>
      </c>
      <c r="E336" s="7"/>
      <c r="F336" s="6"/>
      <c r="G336" s="6"/>
      <c r="H336" s="6"/>
      <c r="I336" s="6"/>
      <c r="J336" s="6"/>
    </row>
    <row r="337" spans="1:10" hidden="1">
      <c r="A337" s="6" t="s">
        <v>8</v>
      </c>
      <c r="B337" s="6">
        <f>C327</f>
        <v>49577</v>
      </c>
      <c r="C337" s="6">
        <v>49606</v>
      </c>
      <c r="D337" s="6">
        <f>C337-B337</f>
        <v>29</v>
      </c>
      <c r="E337" s="7"/>
      <c r="F337" s="6"/>
      <c r="G337" s="6"/>
      <c r="H337" s="6"/>
      <c r="I337" s="6"/>
      <c r="J337" s="7"/>
    </row>
    <row r="338" spans="1:10" hidden="1">
      <c r="A338" s="6" t="s">
        <v>9</v>
      </c>
      <c r="B338" s="6">
        <f>C328</f>
        <v>50345</v>
      </c>
      <c r="C338" s="6">
        <v>50595</v>
      </c>
      <c r="D338" s="6">
        <f>C338-B338</f>
        <v>250</v>
      </c>
      <c r="E338" s="7">
        <v>5069.2</v>
      </c>
      <c r="F338" s="6" t="s">
        <v>18</v>
      </c>
      <c r="G338" s="6" t="s">
        <v>64</v>
      </c>
      <c r="H338" s="6">
        <v>29</v>
      </c>
      <c r="I338" s="6">
        <f>D340/H338</f>
        <v>9.6206896551724146</v>
      </c>
      <c r="J338" s="7">
        <f>E338/D340</f>
        <v>18.169175627240143</v>
      </c>
    </row>
    <row r="339" spans="1:10" hidden="1">
      <c r="A339" s="6" t="s">
        <v>10</v>
      </c>
      <c r="B339" s="6"/>
      <c r="C339" s="6"/>
      <c r="D339" s="6">
        <f>D335+D336</f>
        <v>1506</v>
      </c>
      <c r="E339" s="7">
        <f>E335</f>
        <v>15110.344499999999</v>
      </c>
      <c r="F339" s="6"/>
      <c r="G339" s="6"/>
      <c r="H339" s="6"/>
      <c r="I339" s="6"/>
      <c r="J339" s="6"/>
    </row>
    <row r="340" spans="1:10" hidden="1">
      <c r="A340" s="6" t="s">
        <v>11</v>
      </c>
      <c r="B340" s="6"/>
      <c r="C340" s="6"/>
      <c r="D340" s="6">
        <f>D337+D338</f>
        <v>279</v>
      </c>
      <c r="E340" s="7">
        <f>E338</f>
        <v>5069.2</v>
      </c>
      <c r="F340" s="6"/>
      <c r="G340" s="6"/>
      <c r="H340" s="6"/>
      <c r="I340" s="6"/>
      <c r="J340" s="6"/>
    </row>
    <row r="341" spans="1:10" hidden="1">
      <c r="A341" s="6" t="s">
        <v>12</v>
      </c>
      <c r="B341" s="6"/>
      <c r="C341" s="6"/>
      <c r="D341" s="6"/>
      <c r="E341" s="7">
        <f>E339-E340</f>
        <v>10041.144499999999</v>
      </c>
      <c r="F341" s="6"/>
      <c r="G341" s="6"/>
      <c r="H341" s="6"/>
      <c r="I341" s="6"/>
      <c r="J341" s="6"/>
    </row>
    <row r="342" spans="1:10" hidden="1"/>
    <row r="343" spans="1:10" hidden="1">
      <c r="A343" s="14">
        <v>44136</v>
      </c>
      <c r="B343" s="2"/>
      <c r="C343" s="2"/>
      <c r="D343" s="2"/>
      <c r="E343" s="2"/>
    </row>
    <row r="344" spans="1:10" hidden="1">
      <c r="A344" s="3" t="s">
        <v>1</v>
      </c>
      <c r="B344" s="3" t="s">
        <v>2</v>
      </c>
      <c r="C344" s="3" t="s">
        <v>3</v>
      </c>
      <c r="D344" s="3" t="s">
        <v>4</v>
      </c>
      <c r="E344" s="3" t="s">
        <v>5</v>
      </c>
      <c r="F344" s="3" t="s">
        <v>13</v>
      </c>
      <c r="G344" s="3" t="s">
        <v>14</v>
      </c>
      <c r="H344" s="3" t="s">
        <v>15</v>
      </c>
      <c r="I344" s="3" t="s">
        <v>16</v>
      </c>
      <c r="J344" s="3" t="s">
        <v>17</v>
      </c>
    </row>
    <row r="345" spans="1:10" hidden="1">
      <c r="A345" s="6" t="s">
        <v>6</v>
      </c>
      <c r="B345" s="6">
        <f>C335</f>
        <v>50135</v>
      </c>
      <c r="C345" s="6">
        <v>50808</v>
      </c>
      <c r="D345" s="6">
        <f>C345-B345</f>
        <v>673</v>
      </c>
      <c r="E345" s="7">
        <f>13139.43*1.15</f>
        <v>15110.344499999999</v>
      </c>
      <c r="F345" s="6" t="s">
        <v>18</v>
      </c>
      <c r="G345" s="6" t="s">
        <v>65</v>
      </c>
      <c r="H345" s="6">
        <v>25</v>
      </c>
      <c r="I345" s="6">
        <f>D349/H345</f>
        <v>27.24</v>
      </c>
      <c r="J345" s="7">
        <f>E349/D349</f>
        <v>22.188464757709252</v>
      </c>
    </row>
    <row r="346" spans="1:10" hidden="1">
      <c r="A346" s="6" t="s">
        <v>7</v>
      </c>
      <c r="B346" s="6">
        <v>49965</v>
      </c>
      <c r="C346" s="6">
        <v>49973</v>
      </c>
      <c r="D346" s="6">
        <f>C346-B346</f>
        <v>8</v>
      </c>
      <c r="E346" s="7"/>
      <c r="F346" s="6"/>
      <c r="G346" s="6"/>
      <c r="H346" s="6"/>
      <c r="I346" s="6"/>
      <c r="J346" s="6"/>
    </row>
    <row r="347" spans="1:10" hidden="1">
      <c r="A347" s="6" t="s">
        <v>8</v>
      </c>
      <c r="B347" s="6">
        <f>C337</f>
        <v>49606</v>
      </c>
      <c r="C347" s="6">
        <v>49606</v>
      </c>
      <c r="D347" s="6">
        <f>C347-B347</f>
        <v>0</v>
      </c>
      <c r="E347" s="7"/>
      <c r="F347" s="6"/>
      <c r="G347" s="6"/>
      <c r="H347" s="6"/>
      <c r="I347" s="6"/>
      <c r="J347" s="7"/>
    </row>
    <row r="348" spans="1:10" hidden="1">
      <c r="A348" s="6" t="s">
        <v>9</v>
      </c>
      <c r="B348" s="6">
        <f>C338</f>
        <v>50595</v>
      </c>
      <c r="C348" s="6">
        <v>50595</v>
      </c>
      <c r="D348" s="6">
        <f>C348-B348</f>
        <v>0</v>
      </c>
      <c r="E348" s="7"/>
      <c r="F348" s="6"/>
      <c r="G348" s="6"/>
      <c r="H348" s="6"/>
      <c r="I348" s="6" t="e">
        <f>D350/H348</f>
        <v>#DIV/0!</v>
      </c>
      <c r="J348" s="7" t="e">
        <f>E348/D350</f>
        <v>#DIV/0!</v>
      </c>
    </row>
    <row r="349" spans="1:10" hidden="1">
      <c r="A349" s="6" t="s">
        <v>10</v>
      </c>
      <c r="B349" s="6"/>
      <c r="C349" s="6"/>
      <c r="D349" s="6">
        <f>D345+D346</f>
        <v>681</v>
      </c>
      <c r="E349" s="7">
        <f>E345</f>
        <v>15110.344499999999</v>
      </c>
      <c r="F349" s="6"/>
      <c r="G349" s="6"/>
      <c r="H349" s="6"/>
      <c r="I349" s="6"/>
      <c r="J349" s="6"/>
    </row>
    <row r="350" spans="1:10" hidden="1">
      <c r="A350" s="6" t="s">
        <v>11</v>
      </c>
      <c r="B350" s="6"/>
      <c r="C350" s="6"/>
      <c r="D350" s="6">
        <f>D347+D348</f>
        <v>0</v>
      </c>
      <c r="E350" s="7">
        <f>E348</f>
        <v>0</v>
      </c>
      <c r="F350" s="6"/>
      <c r="G350" s="6"/>
      <c r="H350" s="6"/>
      <c r="I350" s="6"/>
      <c r="J350" s="6"/>
    </row>
    <row r="351" spans="1:10" hidden="1">
      <c r="A351" s="6" t="s">
        <v>12</v>
      </c>
      <c r="B351" s="6"/>
      <c r="C351" s="6"/>
      <c r="D351" s="6"/>
      <c r="E351" s="7">
        <f>E349-E350</f>
        <v>15110.344499999999</v>
      </c>
      <c r="F351" s="6"/>
      <c r="G351" s="6"/>
      <c r="H351" s="6"/>
      <c r="I351" s="6"/>
      <c r="J351" s="6"/>
    </row>
    <row r="352" spans="1:10" hidden="1"/>
    <row r="353" spans="1:10" hidden="1">
      <c r="A353" s="14">
        <v>44166</v>
      </c>
      <c r="B353" s="2"/>
      <c r="C353" s="2"/>
      <c r="D353" s="2"/>
      <c r="E353" s="2"/>
    </row>
    <row r="354" spans="1:10" hidden="1">
      <c r="A354" s="3" t="s">
        <v>1</v>
      </c>
      <c r="B354" s="3" t="s">
        <v>2</v>
      </c>
      <c r="C354" s="3" t="s">
        <v>3</v>
      </c>
      <c r="D354" s="3" t="s">
        <v>4</v>
      </c>
      <c r="E354" s="3" t="s">
        <v>5</v>
      </c>
      <c r="F354" s="3" t="s">
        <v>13</v>
      </c>
      <c r="G354" s="3" t="s">
        <v>14</v>
      </c>
      <c r="H354" s="3" t="s">
        <v>15</v>
      </c>
      <c r="I354" s="3" t="s">
        <v>16</v>
      </c>
      <c r="J354" s="3" t="s">
        <v>17</v>
      </c>
    </row>
    <row r="355" spans="1:10" hidden="1">
      <c r="A355" s="6" t="s">
        <v>6</v>
      </c>
      <c r="B355" s="6">
        <v>50808</v>
      </c>
      <c r="C355" s="6">
        <v>50809</v>
      </c>
      <c r="D355" s="6">
        <v>1</v>
      </c>
      <c r="E355" s="7">
        <v>15110.344499999999</v>
      </c>
      <c r="F355" s="6" t="s">
        <v>18</v>
      </c>
      <c r="G355" s="6" t="s">
        <v>66</v>
      </c>
      <c r="H355" s="6">
        <v>41</v>
      </c>
      <c r="I355" s="6">
        <v>2.9268292682926829</v>
      </c>
      <c r="J355" s="7">
        <v>125.91953749999999</v>
      </c>
    </row>
    <row r="356" spans="1:10" hidden="1">
      <c r="A356" s="6" t="s">
        <v>7</v>
      </c>
      <c r="B356" s="6">
        <v>49973</v>
      </c>
      <c r="C356" s="6">
        <v>50092</v>
      </c>
      <c r="D356" s="6">
        <v>119</v>
      </c>
      <c r="E356" s="7"/>
      <c r="F356" s="6"/>
      <c r="G356" s="6"/>
      <c r="H356" s="6"/>
      <c r="I356" s="6"/>
      <c r="J356" s="6"/>
    </row>
    <row r="357" spans="1:10" hidden="1">
      <c r="A357" s="6" t="s">
        <v>8</v>
      </c>
      <c r="B357" s="6">
        <v>49606</v>
      </c>
      <c r="C357" s="6">
        <v>49606</v>
      </c>
      <c r="D357" s="6">
        <v>0</v>
      </c>
      <c r="E357" s="7"/>
      <c r="F357" s="6"/>
      <c r="G357" s="6"/>
      <c r="H357" s="6"/>
      <c r="I357" s="6"/>
      <c r="J357" s="7"/>
    </row>
    <row r="358" spans="1:10" hidden="1">
      <c r="A358" s="6" t="s">
        <v>9</v>
      </c>
      <c r="B358" s="6">
        <v>50595</v>
      </c>
      <c r="C358" s="6">
        <v>50595</v>
      </c>
      <c r="D358" s="6">
        <v>0</v>
      </c>
      <c r="E358" s="7"/>
      <c r="F358" s="6"/>
      <c r="G358" s="6"/>
      <c r="H358" s="6"/>
      <c r="I358" s="6" t="e">
        <v>#DIV/0!</v>
      </c>
      <c r="J358" s="7" t="e">
        <v>#DIV/0!</v>
      </c>
    </row>
    <row r="359" spans="1:10" hidden="1">
      <c r="A359" s="6" t="s">
        <v>10</v>
      </c>
      <c r="B359" s="6"/>
      <c r="C359" s="6"/>
      <c r="D359" s="6">
        <v>120</v>
      </c>
      <c r="E359" s="7">
        <v>15110.344499999999</v>
      </c>
      <c r="F359" s="6"/>
      <c r="G359" s="6"/>
      <c r="H359" s="6"/>
      <c r="I359" s="6"/>
      <c r="J359" s="6"/>
    </row>
    <row r="360" spans="1:10" hidden="1">
      <c r="A360" s="6" t="s">
        <v>11</v>
      </c>
      <c r="B360" s="6"/>
      <c r="C360" s="6"/>
      <c r="D360" s="6">
        <v>0</v>
      </c>
      <c r="E360" s="7">
        <v>0</v>
      </c>
      <c r="F360" s="6"/>
      <c r="G360" s="6"/>
      <c r="H360" s="6"/>
      <c r="I360" s="6"/>
      <c r="J360" s="6"/>
    </row>
    <row r="361" spans="1:10" hidden="1">
      <c r="A361" s="6" t="s">
        <v>12</v>
      </c>
      <c r="B361" s="6"/>
      <c r="C361" s="6"/>
      <c r="D361" s="6"/>
      <c r="E361" s="7">
        <v>15110.344499999999</v>
      </c>
      <c r="F361" s="6"/>
      <c r="G361" s="6"/>
      <c r="H361" s="6"/>
      <c r="I361" s="6"/>
      <c r="J361" s="6"/>
    </row>
    <row r="363" spans="1:10">
      <c r="A363" s="14">
        <v>44197</v>
      </c>
      <c r="B363" s="2"/>
      <c r="C363" s="2"/>
      <c r="D363" s="2"/>
      <c r="E363" s="2"/>
    </row>
    <row r="364" spans="1:10" hidden="1">
      <c r="A364" s="3" t="s">
        <v>1</v>
      </c>
      <c r="B364" s="3" t="s">
        <v>2</v>
      </c>
      <c r="C364" s="3" t="s">
        <v>3</v>
      </c>
      <c r="D364" s="3" t="s">
        <v>4</v>
      </c>
      <c r="E364" s="3" t="s">
        <v>5</v>
      </c>
      <c r="F364" s="3" t="s">
        <v>13</v>
      </c>
      <c r="G364" s="3" t="s">
        <v>14</v>
      </c>
      <c r="H364" s="3" t="s">
        <v>15</v>
      </c>
      <c r="I364" s="3" t="s">
        <v>16</v>
      </c>
      <c r="J364" s="3" t="s">
        <v>17</v>
      </c>
    </row>
    <row r="365" spans="1:10" hidden="1">
      <c r="A365" s="6" t="s">
        <v>6</v>
      </c>
      <c r="B365" s="6">
        <v>50809</v>
      </c>
      <c r="C365" s="6">
        <v>51289</v>
      </c>
      <c r="D365" s="6">
        <v>480</v>
      </c>
      <c r="E365" s="7">
        <v>15110.344499999999</v>
      </c>
      <c r="F365" s="6" t="s">
        <v>18</v>
      </c>
      <c r="G365" s="6" t="s">
        <v>67</v>
      </c>
      <c r="H365" s="6">
        <v>27</v>
      </c>
      <c r="I365" s="6">
        <v>44.185185185185183</v>
      </c>
      <c r="J365" s="7">
        <v>12.665837803855824</v>
      </c>
    </row>
    <row r="366" spans="1:10" hidden="1">
      <c r="A366" s="6" t="s">
        <v>7</v>
      </c>
      <c r="B366" s="6">
        <v>50092</v>
      </c>
      <c r="C366" s="6">
        <v>50805</v>
      </c>
      <c r="D366" s="6">
        <v>713</v>
      </c>
      <c r="E366" s="7"/>
      <c r="F366" s="6"/>
      <c r="G366" s="6"/>
      <c r="H366" s="6"/>
      <c r="I366" s="6"/>
      <c r="J366" s="6"/>
    </row>
    <row r="367" spans="1:10" hidden="1">
      <c r="A367" s="6" t="s">
        <v>8</v>
      </c>
      <c r="B367" s="6">
        <v>49606</v>
      </c>
      <c r="C367" s="6">
        <v>50052</v>
      </c>
      <c r="D367" s="6">
        <v>446</v>
      </c>
      <c r="E367" s="7"/>
      <c r="F367" s="6"/>
      <c r="G367" s="6"/>
      <c r="H367" s="6"/>
      <c r="I367" s="6"/>
      <c r="J367" s="7"/>
    </row>
    <row r="368" spans="1:10" hidden="1">
      <c r="A368" s="6" t="s">
        <v>9</v>
      </c>
      <c r="B368" s="6">
        <v>50595</v>
      </c>
      <c r="C368" s="6">
        <v>50832</v>
      </c>
      <c r="D368" s="6">
        <v>237</v>
      </c>
      <c r="E368" s="7">
        <v>40345.54</v>
      </c>
      <c r="F368" s="6" t="s">
        <v>42</v>
      </c>
      <c r="G368" s="6" t="s">
        <v>68</v>
      </c>
      <c r="H368" s="6">
        <v>93</v>
      </c>
      <c r="I368" s="6">
        <f>D370/H368</f>
        <v>7.344086021505376</v>
      </c>
      <c r="J368" s="7">
        <f>E368/D370</f>
        <v>59.071068814055636</v>
      </c>
    </row>
    <row r="369" spans="1:10" hidden="1">
      <c r="A369" s="6" t="s">
        <v>10</v>
      </c>
      <c r="B369" s="6"/>
      <c r="C369" s="6"/>
      <c r="D369" s="6">
        <v>1193</v>
      </c>
      <c r="E369" s="7">
        <v>15110.344499999999</v>
      </c>
      <c r="F369" s="6"/>
      <c r="G369" s="6"/>
      <c r="H369" s="6"/>
      <c r="I369" s="6"/>
      <c r="J369" s="6"/>
    </row>
    <row r="370" spans="1:10" hidden="1">
      <c r="A370" s="6" t="s">
        <v>11</v>
      </c>
      <c r="B370" s="6"/>
      <c r="C370" s="6"/>
      <c r="D370" s="6">
        <v>683</v>
      </c>
      <c r="E370" s="7">
        <v>40345.54</v>
      </c>
      <c r="F370" s="6"/>
      <c r="G370" s="6"/>
      <c r="H370" s="6"/>
      <c r="I370" s="6"/>
      <c r="J370" s="6"/>
    </row>
    <row r="371" spans="1:10" hidden="1">
      <c r="A371" s="6" t="s">
        <v>12</v>
      </c>
      <c r="B371" s="6"/>
      <c r="C371" s="6"/>
      <c r="D371" s="6"/>
      <c r="E371" s="7">
        <v>-25235.195500000002</v>
      </c>
      <c r="F371" s="6"/>
      <c r="G371" s="6"/>
      <c r="H371" s="6"/>
      <c r="I371" s="6"/>
      <c r="J371" s="6"/>
    </row>
    <row r="372" spans="1:10" hidden="1"/>
    <row r="373" spans="1:10" hidden="1">
      <c r="A373" s="14">
        <v>44228</v>
      </c>
      <c r="B373" s="2"/>
      <c r="C373" s="2"/>
      <c r="D373" s="2"/>
      <c r="E373" s="2"/>
    </row>
    <row r="374" spans="1:10" hidden="1">
      <c r="A374" s="3" t="s">
        <v>1</v>
      </c>
      <c r="B374" s="3" t="s">
        <v>2</v>
      </c>
      <c r="C374" s="3" t="s">
        <v>3</v>
      </c>
      <c r="D374" s="3" t="s">
        <v>4</v>
      </c>
      <c r="E374" s="3" t="s">
        <v>5</v>
      </c>
      <c r="F374" s="3" t="s">
        <v>13</v>
      </c>
      <c r="G374" s="3" t="s">
        <v>14</v>
      </c>
      <c r="H374" s="3" t="s">
        <v>15</v>
      </c>
      <c r="I374" s="3" t="s">
        <v>16</v>
      </c>
      <c r="J374" s="3" t="s">
        <v>17</v>
      </c>
    </row>
    <row r="375" spans="1:10" hidden="1">
      <c r="A375" s="6" t="s">
        <v>6</v>
      </c>
      <c r="B375" s="6">
        <f>C365</f>
        <v>51289</v>
      </c>
      <c r="C375" s="6">
        <v>51448</v>
      </c>
      <c r="D375" s="6">
        <f>C375-B375</f>
        <v>159</v>
      </c>
      <c r="E375" s="7">
        <v>15110.344499999999</v>
      </c>
      <c r="F375" s="6" t="s">
        <v>18</v>
      </c>
      <c r="G375" s="6" t="s">
        <v>69</v>
      </c>
      <c r="H375" s="6">
        <v>27</v>
      </c>
      <c r="I375" s="6">
        <v>44.185185185185183</v>
      </c>
      <c r="J375" s="7">
        <v>12.665837803855824</v>
      </c>
    </row>
    <row r="376" spans="1:10" hidden="1">
      <c r="A376" s="6" t="s">
        <v>7</v>
      </c>
      <c r="B376" s="6">
        <f t="shared" ref="B376:B378" si="16">C366</f>
        <v>50805</v>
      </c>
      <c r="C376" s="6">
        <v>51239</v>
      </c>
      <c r="D376" s="6">
        <f t="shared" ref="D376:D378" si="17">C376-B376</f>
        <v>434</v>
      </c>
      <c r="E376" s="7"/>
      <c r="F376" s="6"/>
      <c r="G376" s="6"/>
      <c r="H376" s="6"/>
      <c r="I376" s="6"/>
      <c r="J376" s="6"/>
    </row>
    <row r="377" spans="1:10" hidden="1">
      <c r="A377" s="6" t="s">
        <v>8</v>
      </c>
      <c r="B377" s="6">
        <f t="shared" si="16"/>
        <v>50052</v>
      </c>
      <c r="C377" s="6">
        <v>51186</v>
      </c>
      <c r="D377" s="6">
        <f t="shared" si="17"/>
        <v>1134</v>
      </c>
      <c r="E377" s="7"/>
      <c r="F377" s="6"/>
      <c r="G377" s="6"/>
      <c r="H377" s="6"/>
      <c r="I377" s="6"/>
      <c r="J377" s="7"/>
    </row>
    <row r="378" spans="1:10" hidden="1">
      <c r="A378" s="6" t="s">
        <v>9</v>
      </c>
      <c r="B378" s="6">
        <f t="shared" si="16"/>
        <v>50832</v>
      </c>
      <c r="C378" s="6">
        <v>51434</v>
      </c>
      <c r="D378" s="6">
        <f t="shared" si="17"/>
        <v>602</v>
      </c>
      <c r="E378" s="7">
        <f>25986.84-24088.7+4544.8</f>
        <v>6442.94</v>
      </c>
      <c r="F378" s="6" t="s">
        <v>18</v>
      </c>
      <c r="G378" s="6" t="s">
        <v>70</v>
      </c>
      <c r="H378" s="6">
        <v>119</v>
      </c>
      <c r="I378" s="6">
        <f>D380/H378</f>
        <v>14.588235294117647</v>
      </c>
      <c r="J378" s="7">
        <f>E378/D380</f>
        <v>3.7113709677419351</v>
      </c>
    </row>
    <row r="379" spans="1:10" hidden="1">
      <c r="A379" s="6" t="s">
        <v>10</v>
      </c>
      <c r="B379" s="6"/>
      <c r="C379" s="6"/>
      <c r="D379" s="6">
        <f>D375+D376</f>
        <v>593</v>
      </c>
      <c r="E379" s="7">
        <v>15110.344499999999</v>
      </c>
      <c r="F379" s="6"/>
      <c r="G379" s="6"/>
      <c r="H379" s="6"/>
      <c r="I379" s="6"/>
      <c r="J379" s="6"/>
    </row>
    <row r="380" spans="1:10" hidden="1">
      <c r="A380" s="6" t="s">
        <v>11</v>
      </c>
      <c r="B380" s="6"/>
      <c r="C380" s="6"/>
      <c r="D380" s="6">
        <f>D377+D378</f>
        <v>1736</v>
      </c>
      <c r="E380" s="7">
        <f>E378</f>
        <v>6442.94</v>
      </c>
      <c r="F380" s="6"/>
      <c r="G380" s="6"/>
      <c r="H380" s="6"/>
      <c r="I380" s="6"/>
      <c r="J380" s="6"/>
    </row>
    <row r="381" spans="1:10" hidden="1">
      <c r="A381" s="6" t="s">
        <v>12</v>
      </c>
      <c r="B381" s="6"/>
      <c r="C381" s="6"/>
      <c r="D381" s="6"/>
      <c r="E381" s="7">
        <f>E379-E380</f>
        <v>8667.4045000000006</v>
      </c>
      <c r="F381" s="6"/>
      <c r="G381" s="6"/>
      <c r="H381" s="6"/>
      <c r="I381" s="6"/>
      <c r="J381" s="6"/>
    </row>
    <row r="382" spans="1:10" hidden="1"/>
    <row r="383" spans="1:10" hidden="1">
      <c r="A383" s="14">
        <v>44256</v>
      </c>
      <c r="B383" s="2"/>
      <c r="C383" s="2"/>
      <c r="D383" s="2"/>
      <c r="E383" s="2"/>
    </row>
    <row r="384" spans="1:10" hidden="1">
      <c r="A384" s="3" t="s">
        <v>1</v>
      </c>
      <c r="B384" s="3" t="s">
        <v>2</v>
      </c>
      <c r="C384" s="3" t="s">
        <v>3</v>
      </c>
      <c r="D384" s="3" t="s">
        <v>4</v>
      </c>
      <c r="E384" s="3" t="s">
        <v>5</v>
      </c>
      <c r="F384" s="3" t="s">
        <v>13</v>
      </c>
      <c r="G384" s="3" t="s">
        <v>14</v>
      </c>
      <c r="H384" s="3" t="s">
        <v>15</v>
      </c>
      <c r="I384" s="3" t="s">
        <v>16</v>
      </c>
      <c r="J384" s="3" t="s">
        <v>17</v>
      </c>
    </row>
    <row r="385" spans="1:10" hidden="1">
      <c r="A385" s="6" t="s">
        <v>6</v>
      </c>
      <c r="B385" s="6">
        <f>C375</f>
        <v>51448</v>
      </c>
      <c r="C385" s="6">
        <v>51790</v>
      </c>
      <c r="D385" s="6">
        <f>C385-B385</f>
        <v>342</v>
      </c>
      <c r="E385" s="7">
        <v>15110.344499999999</v>
      </c>
      <c r="F385" s="6" t="s">
        <v>18</v>
      </c>
      <c r="G385" s="6" t="s">
        <v>71</v>
      </c>
      <c r="H385" s="6">
        <v>33</v>
      </c>
      <c r="I385" s="6">
        <v>44.185185185185183</v>
      </c>
      <c r="J385" s="7">
        <v>12.665837803855824</v>
      </c>
    </row>
    <row r="386" spans="1:10" hidden="1">
      <c r="A386" s="6" t="s">
        <v>7</v>
      </c>
      <c r="B386" s="6">
        <f t="shared" ref="B386:B388" si="18">C376</f>
        <v>51239</v>
      </c>
      <c r="C386" s="6">
        <v>51651</v>
      </c>
      <c r="D386" s="6">
        <f t="shared" ref="D386:D388" si="19">C386-B386</f>
        <v>412</v>
      </c>
      <c r="E386" s="7"/>
      <c r="F386" s="6"/>
      <c r="G386" s="6"/>
      <c r="H386" s="6"/>
      <c r="I386" s="6"/>
      <c r="J386" s="6"/>
    </row>
    <row r="387" spans="1:10" hidden="1">
      <c r="A387" s="6" t="s">
        <v>8</v>
      </c>
      <c r="B387" s="6">
        <f t="shared" si="18"/>
        <v>51186</v>
      </c>
      <c r="C387" s="6">
        <v>51687</v>
      </c>
      <c r="D387" s="6">
        <f t="shared" si="19"/>
        <v>501</v>
      </c>
      <c r="E387" s="7"/>
      <c r="F387" s="6"/>
      <c r="G387" s="6"/>
      <c r="H387" s="6"/>
      <c r="I387" s="6"/>
      <c r="J387" s="7"/>
    </row>
    <row r="388" spans="1:10" hidden="1">
      <c r="A388" s="6" t="s">
        <v>9</v>
      </c>
      <c r="B388" s="6">
        <f t="shared" si="18"/>
        <v>51434</v>
      </c>
      <c r="C388" s="6">
        <v>51615</v>
      </c>
      <c r="D388" s="6">
        <f t="shared" si="19"/>
        <v>181</v>
      </c>
      <c r="E388" s="7">
        <f>8316.57+5244</f>
        <v>13560.57</v>
      </c>
      <c r="F388" s="6" t="s">
        <v>18</v>
      </c>
      <c r="G388" s="6" t="s">
        <v>72</v>
      </c>
      <c r="H388" s="6">
        <v>30</v>
      </c>
      <c r="I388" s="6">
        <f>D390/H388</f>
        <v>22.733333333333334</v>
      </c>
      <c r="J388" s="7">
        <f>E388/D390</f>
        <v>19.883533724340175</v>
      </c>
    </row>
    <row r="389" spans="1:10" hidden="1">
      <c r="A389" s="6" t="s">
        <v>10</v>
      </c>
      <c r="B389" s="6"/>
      <c r="C389" s="6"/>
      <c r="D389" s="6">
        <f>D385+D386</f>
        <v>754</v>
      </c>
      <c r="E389" s="7">
        <v>15110.344499999999</v>
      </c>
      <c r="F389" s="6"/>
      <c r="G389" s="6"/>
      <c r="H389" s="6"/>
      <c r="I389" s="6"/>
      <c r="J389" s="6"/>
    </row>
    <row r="390" spans="1:10" hidden="1">
      <c r="A390" s="6" t="s">
        <v>11</v>
      </c>
      <c r="B390" s="6"/>
      <c r="C390" s="6"/>
      <c r="D390" s="6">
        <f>D387+D388</f>
        <v>682</v>
      </c>
      <c r="E390" s="7">
        <f>E388</f>
        <v>13560.57</v>
      </c>
      <c r="F390" s="6"/>
      <c r="G390" s="6"/>
      <c r="H390" s="6"/>
      <c r="I390" s="6"/>
      <c r="J390" s="6"/>
    </row>
    <row r="391" spans="1:10" hidden="1">
      <c r="A391" s="6" t="s">
        <v>12</v>
      </c>
      <c r="B391" s="6"/>
      <c r="C391" s="6"/>
      <c r="D391" s="6"/>
      <c r="E391" s="7">
        <f>E389-E390</f>
        <v>1549.7744999999995</v>
      </c>
      <c r="F391" s="6"/>
      <c r="G391" s="6"/>
      <c r="H391" s="6"/>
      <c r="I391" s="6"/>
      <c r="J391" s="6"/>
    </row>
    <row r="392" spans="1:10" hidden="1"/>
    <row r="393" spans="1:10" hidden="1">
      <c r="A393" s="14">
        <v>44287</v>
      </c>
      <c r="B393" s="2"/>
      <c r="C393" s="2"/>
      <c r="D393" s="2"/>
      <c r="E393" s="2"/>
    </row>
    <row r="394" spans="1:10" hidden="1">
      <c r="A394" s="3" t="s">
        <v>1</v>
      </c>
      <c r="B394" s="3" t="s">
        <v>2</v>
      </c>
      <c r="C394" s="3" t="s">
        <v>3</v>
      </c>
      <c r="D394" s="3" t="s">
        <v>4</v>
      </c>
      <c r="E394" s="3" t="s">
        <v>5</v>
      </c>
      <c r="F394" s="3" t="s">
        <v>13</v>
      </c>
      <c r="G394" s="3" t="s">
        <v>14</v>
      </c>
      <c r="H394" s="3" t="s">
        <v>15</v>
      </c>
      <c r="I394" s="3" t="s">
        <v>16</v>
      </c>
      <c r="J394" s="3" t="s">
        <v>17</v>
      </c>
    </row>
    <row r="395" spans="1:10" hidden="1">
      <c r="A395" s="6" t="s">
        <v>6</v>
      </c>
      <c r="B395" s="6">
        <f>C385</f>
        <v>51790</v>
      </c>
      <c r="C395" s="6">
        <v>51853</v>
      </c>
      <c r="D395" s="6">
        <f>C395-B395</f>
        <v>63</v>
      </c>
      <c r="E395" s="7">
        <v>15110.344499999999</v>
      </c>
      <c r="F395" s="6" t="s">
        <v>18</v>
      </c>
      <c r="G395" s="6" t="s">
        <v>73</v>
      </c>
      <c r="H395" s="6">
        <v>29</v>
      </c>
      <c r="I395" s="6">
        <v>44.185185185185183</v>
      </c>
      <c r="J395" s="7">
        <v>12.665837803855824</v>
      </c>
    </row>
    <row r="396" spans="1:10" hidden="1">
      <c r="A396" s="6" t="s">
        <v>7</v>
      </c>
      <c r="B396" s="6">
        <f t="shared" ref="B396:B398" si="20">C386</f>
        <v>51651</v>
      </c>
      <c r="C396" s="6">
        <v>52157</v>
      </c>
      <c r="D396" s="6">
        <f t="shared" ref="D396:D398" si="21">C396-B396</f>
        <v>506</v>
      </c>
      <c r="E396" s="7"/>
      <c r="F396" s="6"/>
      <c r="G396" s="6"/>
      <c r="H396" s="6"/>
      <c r="I396" s="6"/>
      <c r="J396" s="6"/>
    </row>
    <row r="397" spans="1:10" hidden="1">
      <c r="A397" s="6" t="s">
        <v>8</v>
      </c>
      <c r="B397" s="6">
        <f t="shared" si="20"/>
        <v>51687</v>
      </c>
      <c r="C397" s="6">
        <v>52151</v>
      </c>
      <c r="D397" s="6">
        <f t="shared" si="21"/>
        <v>464</v>
      </c>
      <c r="E397" s="7"/>
      <c r="F397" s="6"/>
      <c r="G397" s="6"/>
      <c r="H397" s="6"/>
      <c r="I397" s="6"/>
      <c r="J397" s="7"/>
    </row>
    <row r="398" spans="1:10" hidden="1">
      <c r="A398" s="6" t="s">
        <v>9</v>
      </c>
      <c r="B398" s="6">
        <f t="shared" si="20"/>
        <v>51615</v>
      </c>
      <c r="C398" s="6">
        <v>51841</v>
      </c>
      <c r="D398" s="6">
        <f t="shared" si="21"/>
        <v>226</v>
      </c>
      <c r="E398" s="7">
        <f>7396.86+5943.2</f>
        <v>13340.06</v>
      </c>
      <c r="F398" s="6" t="s">
        <v>18</v>
      </c>
      <c r="G398" s="6" t="s">
        <v>74</v>
      </c>
      <c r="H398" s="6">
        <v>34</v>
      </c>
      <c r="I398" s="6">
        <f>D400/H398</f>
        <v>20.294117647058822</v>
      </c>
      <c r="J398" s="7">
        <f>E398/D400</f>
        <v>19.33342028985507</v>
      </c>
    </row>
    <row r="399" spans="1:10" hidden="1">
      <c r="A399" s="6" t="s">
        <v>10</v>
      </c>
      <c r="B399" s="6"/>
      <c r="C399" s="6"/>
      <c r="D399" s="6">
        <f>D395+D396</f>
        <v>569</v>
      </c>
      <c r="E399" s="7">
        <v>15110.344499999999</v>
      </c>
      <c r="F399" s="6"/>
      <c r="G399" s="6"/>
      <c r="H399" s="6"/>
      <c r="I399" s="6"/>
      <c r="J399" s="6"/>
    </row>
    <row r="400" spans="1:10" hidden="1">
      <c r="A400" s="6" t="s">
        <v>11</v>
      </c>
      <c r="B400" s="6"/>
      <c r="C400" s="6"/>
      <c r="D400" s="6">
        <f>D397+D398</f>
        <v>690</v>
      </c>
      <c r="E400" s="7">
        <f>E398</f>
        <v>13340.06</v>
      </c>
      <c r="F400" s="6"/>
      <c r="G400" s="6"/>
      <c r="H400" s="6"/>
      <c r="I400" s="6"/>
      <c r="J400" s="6"/>
    </row>
    <row r="401" spans="1:10" hidden="1">
      <c r="A401" s="6" t="s">
        <v>12</v>
      </c>
      <c r="B401" s="6"/>
      <c r="C401" s="6"/>
      <c r="D401" s="6"/>
      <c r="E401" s="7">
        <f>E399-E400</f>
        <v>1770.2844999999998</v>
      </c>
      <c r="F401" s="6"/>
      <c r="G401" s="6"/>
      <c r="H401" s="6"/>
      <c r="I401" s="6"/>
      <c r="J401" s="6"/>
    </row>
    <row r="402" spans="1:10" hidden="1"/>
    <row r="403" spans="1:10" hidden="1">
      <c r="A403" s="14">
        <v>44317</v>
      </c>
      <c r="B403" s="2"/>
      <c r="C403" s="2"/>
      <c r="D403" s="2"/>
      <c r="E403" s="2"/>
    </row>
    <row r="404" spans="1:10" hidden="1">
      <c r="A404" s="3" t="s">
        <v>1</v>
      </c>
      <c r="B404" s="3" t="s">
        <v>2</v>
      </c>
      <c r="C404" s="3" t="s">
        <v>3</v>
      </c>
      <c r="D404" s="3" t="s">
        <v>4</v>
      </c>
      <c r="E404" s="3" t="s">
        <v>5</v>
      </c>
      <c r="F404" s="3" t="s">
        <v>13</v>
      </c>
      <c r="G404" s="3" t="s">
        <v>14</v>
      </c>
      <c r="H404" s="3" t="s">
        <v>15</v>
      </c>
      <c r="I404" s="3" t="s">
        <v>16</v>
      </c>
      <c r="J404" s="3" t="s">
        <v>17</v>
      </c>
    </row>
    <row r="405" spans="1:10" hidden="1">
      <c r="A405" s="6" t="s">
        <v>6</v>
      </c>
      <c r="B405" s="6">
        <f>C395</f>
        <v>51853</v>
      </c>
      <c r="C405" s="6">
        <v>52068</v>
      </c>
      <c r="D405" s="6">
        <f>C405-B405</f>
        <v>215</v>
      </c>
      <c r="E405" s="7">
        <v>15110.344499999999</v>
      </c>
      <c r="F405" s="6" t="s">
        <v>18</v>
      </c>
      <c r="G405" s="6" t="s">
        <v>75</v>
      </c>
      <c r="H405" s="6">
        <v>28</v>
      </c>
      <c r="I405" s="6">
        <v>44.185185185185183</v>
      </c>
      <c r="J405" s="7">
        <v>12.665837803855824</v>
      </c>
    </row>
    <row r="406" spans="1:10" hidden="1">
      <c r="A406" s="6" t="s">
        <v>7</v>
      </c>
      <c r="B406" s="6">
        <f t="shared" ref="B406:B408" si="22">C396</f>
        <v>52157</v>
      </c>
      <c r="C406" s="6">
        <v>52618</v>
      </c>
      <c r="D406" s="6">
        <f t="shared" ref="D406:D408" si="23">C406-B406</f>
        <v>461</v>
      </c>
      <c r="E406" s="7"/>
      <c r="F406" s="6"/>
      <c r="G406" s="6"/>
      <c r="H406" s="6"/>
      <c r="I406" s="6"/>
      <c r="J406" s="6"/>
    </row>
    <row r="407" spans="1:10" hidden="1">
      <c r="A407" s="6" t="s">
        <v>8</v>
      </c>
      <c r="B407" s="6">
        <f t="shared" si="22"/>
        <v>52151</v>
      </c>
      <c r="C407" s="6">
        <v>52553</v>
      </c>
      <c r="D407" s="6">
        <f t="shared" si="23"/>
        <v>402</v>
      </c>
      <c r="E407" s="7"/>
      <c r="F407" s="6"/>
      <c r="G407" s="6"/>
      <c r="H407" s="6"/>
      <c r="I407" s="6"/>
      <c r="J407" s="7"/>
    </row>
    <row r="408" spans="1:10" hidden="1">
      <c r="A408" s="6" t="s">
        <v>9</v>
      </c>
      <c r="B408" s="6">
        <f t="shared" si="22"/>
        <v>51841</v>
      </c>
      <c r="C408" s="6">
        <v>52058</v>
      </c>
      <c r="D408" s="6">
        <f t="shared" si="23"/>
        <v>217</v>
      </c>
      <c r="E408" s="7">
        <f>7641.52+4719.6</f>
        <v>12361.12</v>
      </c>
      <c r="F408" s="6" t="s">
        <v>18</v>
      </c>
      <c r="G408" s="6" t="s">
        <v>76</v>
      </c>
      <c r="H408" s="6">
        <v>27</v>
      </c>
      <c r="I408" s="6">
        <f>D410/H408</f>
        <v>22.925925925925927</v>
      </c>
      <c r="J408" s="7">
        <f>E408/D410</f>
        <v>19.969499192245557</v>
      </c>
    </row>
    <row r="409" spans="1:10" hidden="1">
      <c r="A409" s="6" t="s">
        <v>10</v>
      </c>
      <c r="B409" s="6"/>
      <c r="C409" s="6"/>
      <c r="D409" s="6">
        <f>D405+D406</f>
        <v>676</v>
      </c>
      <c r="E409" s="7">
        <v>15110.344499999999</v>
      </c>
      <c r="F409" s="6"/>
      <c r="G409" s="6"/>
      <c r="H409" s="6"/>
      <c r="I409" s="6"/>
      <c r="J409" s="6"/>
    </row>
    <row r="410" spans="1:10" hidden="1">
      <c r="A410" s="6" t="s">
        <v>11</v>
      </c>
      <c r="B410" s="6"/>
      <c r="C410" s="6"/>
      <c r="D410" s="6">
        <f>D407+D408</f>
        <v>619</v>
      </c>
      <c r="E410" s="7">
        <f>E408</f>
        <v>12361.12</v>
      </c>
      <c r="F410" s="6"/>
      <c r="G410" s="6"/>
      <c r="H410" s="6"/>
      <c r="I410" s="6"/>
      <c r="J410" s="6"/>
    </row>
    <row r="411" spans="1:10" hidden="1">
      <c r="A411" s="6" t="s">
        <v>12</v>
      </c>
      <c r="B411" s="6"/>
      <c r="C411" s="6"/>
      <c r="D411" s="6"/>
      <c r="E411" s="7">
        <f>E409-E410</f>
        <v>2749.2244999999984</v>
      </c>
      <c r="F411" s="6"/>
      <c r="G411" s="6"/>
      <c r="H411" s="6"/>
      <c r="I411" s="6"/>
      <c r="J411" s="6"/>
    </row>
    <row r="412" spans="1:10" hidden="1"/>
    <row r="413" spans="1:10" hidden="1">
      <c r="A413" s="14">
        <v>44348</v>
      </c>
      <c r="B413" s="2"/>
      <c r="C413" s="2"/>
      <c r="D413" s="2"/>
      <c r="E413" s="2"/>
    </row>
    <row r="414" spans="1:10" hidden="1">
      <c r="A414" s="3" t="s">
        <v>1</v>
      </c>
      <c r="B414" s="3" t="s">
        <v>2</v>
      </c>
      <c r="C414" s="3" t="s">
        <v>3</v>
      </c>
      <c r="D414" s="3" t="s">
        <v>4</v>
      </c>
      <c r="E414" s="3" t="s">
        <v>5</v>
      </c>
      <c r="F414" s="3" t="s">
        <v>13</v>
      </c>
      <c r="G414" s="3" t="s">
        <v>14</v>
      </c>
      <c r="H414" s="3" t="s">
        <v>15</v>
      </c>
      <c r="I414" s="3" t="s">
        <v>16</v>
      </c>
      <c r="J414" s="3" t="s">
        <v>17</v>
      </c>
    </row>
    <row r="415" spans="1:10" hidden="1">
      <c r="A415" s="6" t="s">
        <v>6</v>
      </c>
      <c r="B415" s="6">
        <f>C405</f>
        <v>52068</v>
      </c>
      <c r="C415" s="6">
        <v>52366</v>
      </c>
      <c r="D415" s="6">
        <f>C415-B415</f>
        <v>298</v>
      </c>
      <c r="E415" s="7">
        <f>14190.58*1.15</f>
        <v>16319.166999999999</v>
      </c>
      <c r="F415" s="6" t="s">
        <v>18</v>
      </c>
      <c r="G415" s="6" t="s">
        <v>77</v>
      </c>
      <c r="H415" s="6">
        <v>38</v>
      </c>
      <c r="I415" s="6">
        <v>44.185185185185183</v>
      </c>
      <c r="J415" s="7">
        <v>12.665837803855824</v>
      </c>
    </row>
    <row r="416" spans="1:10" hidden="1">
      <c r="A416" s="6" t="s">
        <v>7</v>
      </c>
      <c r="B416" s="6">
        <f t="shared" ref="B416:B418" si="24">C406</f>
        <v>52618</v>
      </c>
      <c r="C416" s="6">
        <v>53246</v>
      </c>
      <c r="D416" s="6">
        <f t="shared" ref="D416:D418" si="25">C416-B416</f>
        <v>628</v>
      </c>
      <c r="E416" s="7"/>
      <c r="F416" s="6"/>
      <c r="G416" s="6"/>
      <c r="H416" s="6"/>
      <c r="I416" s="6"/>
      <c r="J416" s="6"/>
    </row>
    <row r="417" spans="1:10" hidden="1">
      <c r="A417" s="6" t="s">
        <v>8</v>
      </c>
      <c r="B417" s="6">
        <f t="shared" si="24"/>
        <v>52553</v>
      </c>
      <c r="C417" s="6">
        <v>53026</v>
      </c>
      <c r="D417" s="6">
        <f t="shared" si="25"/>
        <v>473</v>
      </c>
      <c r="E417" s="7"/>
      <c r="F417" s="6"/>
      <c r="G417" s="6"/>
      <c r="H417" s="6"/>
      <c r="I417" s="6"/>
      <c r="J417" s="7"/>
    </row>
    <row r="418" spans="1:10" hidden="1">
      <c r="A418" s="6" t="s">
        <v>9</v>
      </c>
      <c r="B418" s="6">
        <f t="shared" si="24"/>
        <v>52058</v>
      </c>
      <c r="C418" s="6">
        <v>52250</v>
      </c>
      <c r="D418" s="6">
        <f t="shared" si="25"/>
        <v>192</v>
      </c>
      <c r="E418" s="7">
        <f>8212.45+5069.2</f>
        <v>13281.650000000001</v>
      </c>
      <c r="F418" s="6" t="s">
        <v>42</v>
      </c>
      <c r="G418" s="6" t="s">
        <v>78</v>
      </c>
      <c r="H418" s="6">
        <v>29</v>
      </c>
      <c r="I418" s="6">
        <f>D420/H418</f>
        <v>22.931034482758619</v>
      </c>
      <c r="J418" s="7">
        <f>E418/D420</f>
        <v>19.972406015037595</v>
      </c>
    </row>
    <row r="419" spans="1:10" hidden="1">
      <c r="A419" s="6" t="s">
        <v>10</v>
      </c>
      <c r="B419" s="6"/>
      <c r="C419" s="6"/>
      <c r="D419" s="6">
        <f>D415+D416</f>
        <v>926</v>
      </c>
      <c r="E419" s="7">
        <f>E415</f>
        <v>16319.166999999999</v>
      </c>
      <c r="F419" s="6"/>
      <c r="G419" s="6"/>
      <c r="H419" s="6"/>
      <c r="I419" s="6"/>
      <c r="J419" s="6"/>
    </row>
    <row r="420" spans="1:10" hidden="1">
      <c r="A420" s="6" t="s">
        <v>11</v>
      </c>
      <c r="B420" s="6"/>
      <c r="C420" s="6"/>
      <c r="D420" s="6">
        <f>D417+D418</f>
        <v>665</v>
      </c>
      <c r="E420" s="7">
        <f>E418</f>
        <v>13281.650000000001</v>
      </c>
      <c r="F420" s="6"/>
      <c r="G420" s="6"/>
      <c r="H420" s="6"/>
      <c r="I420" s="6"/>
      <c r="J420" s="6"/>
    </row>
    <row r="421" spans="1:10" hidden="1">
      <c r="A421" s="6" t="s">
        <v>12</v>
      </c>
      <c r="B421" s="6"/>
      <c r="C421" s="6"/>
      <c r="D421" s="6"/>
      <c r="E421" s="7">
        <f>E419-E420</f>
        <v>3037.516999999998</v>
      </c>
      <c r="F421" s="6"/>
      <c r="G421" s="6"/>
      <c r="H421" s="6"/>
      <c r="I421" s="6"/>
      <c r="J421" s="6"/>
    </row>
    <row r="422" spans="1:10" hidden="1"/>
    <row r="423" spans="1:10" hidden="1">
      <c r="A423" s="14">
        <v>44378</v>
      </c>
      <c r="B423" s="2"/>
      <c r="C423" s="2"/>
      <c r="D423" s="2"/>
      <c r="E423" s="2"/>
    </row>
    <row r="424" spans="1:10" hidden="1">
      <c r="A424" s="3" t="s">
        <v>1</v>
      </c>
      <c r="B424" s="3" t="s">
        <v>2</v>
      </c>
      <c r="C424" s="3" t="s">
        <v>3</v>
      </c>
      <c r="D424" s="3" t="s">
        <v>4</v>
      </c>
      <c r="E424" s="3" t="s">
        <v>5</v>
      </c>
      <c r="F424" s="3" t="s">
        <v>13</v>
      </c>
      <c r="G424" s="3" t="s">
        <v>14</v>
      </c>
      <c r="H424" s="3" t="s">
        <v>15</v>
      </c>
      <c r="I424" s="3" t="s">
        <v>16</v>
      </c>
      <c r="J424" s="3" t="s">
        <v>17</v>
      </c>
    </row>
    <row r="425" spans="1:10" hidden="1">
      <c r="A425" s="6" t="s">
        <v>6</v>
      </c>
      <c r="B425" s="6">
        <f>C415</f>
        <v>52366</v>
      </c>
      <c r="C425" s="6">
        <v>52617</v>
      </c>
      <c r="D425" s="6">
        <f>C425-B425</f>
        <v>251</v>
      </c>
      <c r="E425" s="7">
        <f>14190.58*1.15</f>
        <v>16319.166999999999</v>
      </c>
      <c r="F425" s="6" t="s">
        <v>18</v>
      </c>
      <c r="G425" s="6" t="s">
        <v>79</v>
      </c>
      <c r="H425" s="6">
        <v>28</v>
      </c>
      <c r="I425" s="6">
        <v>44.185185185185183</v>
      </c>
      <c r="J425" s="7">
        <v>12.665837803855824</v>
      </c>
    </row>
    <row r="426" spans="1:10" hidden="1">
      <c r="A426" s="6" t="s">
        <v>7</v>
      </c>
      <c r="B426" s="6">
        <f t="shared" ref="B426:B428" si="26">C416</f>
        <v>53246</v>
      </c>
      <c r="C426" s="6">
        <v>53660</v>
      </c>
      <c r="D426" s="6">
        <f t="shared" ref="D426:D428" si="27">C426-B426</f>
        <v>414</v>
      </c>
      <c r="E426" s="7"/>
      <c r="F426" s="6"/>
      <c r="G426" s="6"/>
      <c r="H426" s="6"/>
      <c r="I426" s="6"/>
      <c r="J426" s="6"/>
    </row>
    <row r="427" spans="1:10" hidden="1">
      <c r="A427" s="6" t="s">
        <v>8</v>
      </c>
      <c r="B427" s="6">
        <f t="shared" si="26"/>
        <v>53026</v>
      </c>
      <c r="C427" s="6">
        <v>53574</v>
      </c>
      <c r="D427" s="6">
        <f t="shared" si="27"/>
        <v>548</v>
      </c>
      <c r="E427" s="7"/>
      <c r="F427" s="6"/>
      <c r="G427" s="6"/>
      <c r="H427" s="6"/>
      <c r="I427" s="6"/>
      <c r="J427" s="7"/>
    </row>
    <row r="428" spans="1:10" hidden="1">
      <c r="A428" s="6" t="s">
        <v>9</v>
      </c>
      <c r="B428" s="6">
        <f t="shared" si="26"/>
        <v>52250</v>
      </c>
      <c r="C428" s="6">
        <v>52529</v>
      </c>
      <c r="D428" s="6">
        <f t="shared" si="27"/>
        <v>279</v>
      </c>
      <c r="E428" s="7">
        <v>18492.79</v>
      </c>
      <c r="F428" s="6" t="s">
        <v>42</v>
      </c>
      <c r="G428" s="6" t="s">
        <v>80</v>
      </c>
      <c r="H428" s="6">
        <v>30</v>
      </c>
      <c r="I428" s="6">
        <f>D430/H428</f>
        <v>27.566666666666666</v>
      </c>
      <c r="J428" s="7">
        <f>E428/D430</f>
        <v>22.361293833131803</v>
      </c>
    </row>
    <row r="429" spans="1:10" hidden="1">
      <c r="A429" s="6" t="s">
        <v>10</v>
      </c>
      <c r="B429" s="6"/>
      <c r="C429" s="6"/>
      <c r="D429" s="6">
        <f>D425+D426</f>
        <v>665</v>
      </c>
      <c r="E429" s="7">
        <f>E425</f>
        <v>16319.166999999999</v>
      </c>
      <c r="F429" s="6"/>
      <c r="G429" s="6"/>
      <c r="H429" s="6"/>
      <c r="I429" s="6"/>
      <c r="J429" s="6"/>
    </row>
    <row r="430" spans="1:10" hidden="1">
      <c r="A430" s="6" t="s">
        <v>11</v>
      </c>
      <c r="B430" s="6"/>
      <c r="C430" s="6"/>
      <c r="D430" s="6">
        <f>D427+D428</f>
        <v>827</v>
      </c>
      <c r="E430" s="7">
        <f>E428</f>
        <v>18492.79</v>
      </c>
      <c r="F430" s="6"/>
      <c r="G430" s="6"/>
      <c r="H430" s="6"/>
      <c r="I430" s="6"/>
      <c r="J430" s="6"/>
    </row>
    <row r="431" spans="1:10" hidden="1">
      <c r="A431" s="6" t="s">
        <v>12</v>
      </c>
      <c r="B431" s="6"/>
      <c r="C431" s="6"/>
      <c r="D431" s="6"/>
      <c r="E431" s="7">
        <f>E429-E430</f>
        <v>-2173.6230000000014</v>
      </c>
      <c r="F431" s="6"/>
      <c r="G431" s="6"/>
      <c r="H431" s="6"/>
      <c r="I431" s="6"/>
      <c r="J431" s="6"/>
    </row>
    <row r="432" spans="1:10" hidden="1"/>
    <row r="433" spans="1:11" hidden="1">
      <c r="A433" s="14">
        <v>44409</v>
      </c>
      <c r="B433" s="2"/>
      <c r="C433" s="2"/>
      <c r="D433" s="2"/>
      <c r="E433" s="2"/>
    </row>
    <row r="434" spans="1:11" hidden="1">
      <c r="A434" s="3" t="s">
        <v>1</v>
      </c>
      <c r="B434" s="3" t="s">
        <v>2</v>
      </c>
      <c r="C434" s="3" t="s">
        <v>3</v>
      </c>
      <c r="D434" s="3" t="s">
        <v>4</v>
      </c>
      <c r="E434" s="3" t="s">
        <v>5</v>
      </c>
      <c r="F434" s="3" t="s">
        <v>13</v>
      </c>
      <c r="G434" s="3" t="s">
        <v>14</v>
      </c>
      <c r="H434" s="3" t="s">
        <v>15</v>
      </c>
      <c r="I434" s="3" t="s">
        <v>16</v>
      </c>
      <c r="J434" s="3" t="s">
        <v>17</v>
      </c>
    </row>
    <row r="435" spans="1:11" hidden="1">
      <c r="A435" s="6" t="s">
        <v>6</v>
      </c>
      <c r="B435" s="6">
        <f>C425</f>
        <v>52617</v>
      </c>
      <c r="C435" s="6">
        <v>52949</v>
      </c>
      <c r="D435" s="6">
        <f>C435-B435</f>
        <v>332</v>
      </c>
      <c r="E435" s="7">
        <f>14190.58*1.15</f>
        <v>16319.166999999999</v>
      </c>
      <c r="F435" s="6" t="s">
        <v>18</v>
      </c>
      <c r="G435" s="6" t="s">
        <v>81</v>
      </c>
      <c r="H435" s="6">
        <v>30</v>
      </c>
      <c r="I435" s="6">
        <v>44.185185185185183</v>
      </c>
      <c r="J435" s="7">
        <v>12.665837803855824</v>
      </c>
    </row>
    <row r="436" spans="1:11" hidden="1">
      <c r="A436" s="6" t="s">
        <v>7</v>
      </c>
      <c r="B436" s="6">
        <f t="shared" ref="B436:B438" si="28">C426</f>
        <v>53660</v>
      </c>
      <c r="C436" s="6">
        <v>54192</v>
      </c>
      <c r="D436" s="6">
        <f t="shared" ref="D436:D438" si="29">C436-B436</f>
        <v>532</v>
      </c>
      <c r="E436" s="7"/>
      <c r="F436" s="6"/>
      <c r="G436" s="6"/>
      <c r="H436" s="6"/>
      <c r="I436" s="6"/>
      <c r="J436" s="6"/>
    </row>
    <row r="437" spans="1:11" hidden="1">
      <c r="A437" s="6" t="s">
        <v>8</v>
      </c>
      <c r="B437" s="6">
        <f t="shared" si="28"/>
        <v>53574</v>
      </c>
      <c r="C437" s="6">
        <v>54078</v>
      </c>
      <c r="D437" s="6">
        <f t="shared" si="29"/>
        <v>504</v>
      </c>
      <c r="E437" s="7"/>
      <c r="F437" s="6"/>
      <c r="G437" s="6"/>
      <c r="H437" s="6"/>
      <c r="I437" s="6"/>
      <c r="J437" s="7"/>
    </row>
    <row r="438" spans="1:11" hidden="1">
      <c r="A438" s="6" t="s">
        <v>9</v>
      </c>
      <c r="B438" s="6">
        <f t="shared" si="28"/>
        <v>52529</v>
      </c>
      <c r="C438" s="6">
        <v>52874</v>
      </c>
      <c r="D438" s="6">
        <f t="shared" si="29"/>
        <v>345</v>
      </c>
      <c r="E438" s="7">
        <v>20295.45</v>
      </c>
      <c r="F438" s="6" t="s">
        <v>18</v>
      </c>
      <c r="G438" s="6" t="s">
        <v>82</v>
      </c>
      <c r="H438" s="6">
        <v>31</v>
      </c>
      <c r="I438" s="6">
        <f>D440/H438</f>
        <v>27.387096774193548</v>
      </c>
      <c r="J438" s="7">
        <f>E438/D440</f>
        <v>23.90512367491166</v>
      </c>
    </row>
    <row r="439" spans="1:11" hidden="1">
      <c r="A439" s="6" t="s">
        <v>10</v>
      </c>
      <c r="B439" s="6"/>
      <c r="C439" s="6"/>
      <c r="D439" s="6">
        <f>D435+D436</f>
        <v>864</v>
      </c>
      <c r="E439" s="7">
        <f>E435</f>
        <v>16319.166999999999</v>
      </c>
      <c r="F439" s="6"/>
      <c r="G439" s="6"/>
      <c r="H439" s="6"/>
      <c r="I439" s="6"/>
      <c r="J439" s="6"/>
    </row>
    <row r="440" spans="1:11" hidden="1">
      <c r="A440" s="6" t="s">
        <v>11</v>
      </c>
      <c r="B440" s="6"/>
      <c r="C440" s="6"/>
      <c r="D440" s="6">
        <f>D437+D438</f>
        <v>849</v>
      </c>
      <c r="E440" s="7">
        <f>E438</f>
        <v>20295.45</v>
      </c>
      <c r="F440" s="6"/>
      <c r="G440" s="6"/>
      <c r="H440" s="6"/>
      <c r="I440" s="6"/>
      <c r="J440" s="6"/>
    </row>
    <row r="441" spans="1:11" hidden="1">
      <c r="A441" s="6" t="s">
        <v>12</v>
      </c>
      <c r="B441" s="6"/>
      <c r="C441" s="6"/>
      <c r="D441" s="6"/>
      <c r="E441" s="7">
        <f>E439-E440</f>
        <v>-3976.2830000000013</v>
      </c>
      <c r="F441" s="6"/>
      <c r="G441" s="6"/>
      <c r="H441" s="6"/>
      <c r="I441" s="6"/>
      <c r="J441" s="6"/>
    </row>
    <row r="442" spans="1:11" hidden="1"/>
    <row r="443" spans="1:11" hidden="1">
      <c r="A443" s="14">
        <v>44440</v>
      </c>
      <c r="B443" s="2"/>
      <c r="C443" s="2"/>
      <c r="D443" s="2"/>
      <c r="E443" s="2"/>
    </row>
    <row r="444" spans="1:11" hidden="1">
      <c r="A444" s="3" t="s">
        <v>1</v>
      </c>
      <c r="B444" s="3" t="s">
        <v>2</v>
      </c>
      <c r="C444" s="3" t="s">
        <v>3</v>
      </c>
      <c r="D444" s="3" t="s">
        <v>4</v>
      </c>
      <c r="E444" s="3" t="s">
        <v>5</v>
      </c>
      <c r="F444" s="3" t="s">
        <v>83</v>
      </c>
      <c r="G444" s="3" t="s">
        <v>13</v>
      </c>
      <c r="H444" s="3" t="s">
        <v>14</v>
      </c>
      <c r="I444" s="3" t="s">
        <v>15</v>
      </c>
      <c r="J444" s="3" t="s">
        <v>16</v>
      </c>
      <c r="K444" s="3" t="s">
        <v>17</v>
      </c>
    </row>
    <row r="445" spans="1:11" hidden="1">
      <c r="A445" s="6" t="s">
        <v>6</v>
      </c>
      <c r="B445" s="6">
        <f>C435</f>
        <v>52949</v>
      </c>
      <c r="C445" s="6">
        <v>53289</v>
      </c>
      <c r="D445" s="6">
        <f>C445-B445</f>
        <v>340</v>
      </c>
      <c r="E445" s="7">
        <f>14190.58*1.15</f>
        <v>16319.166999999999</v>
      </c>
      <c r="F445" s="6"/>
      <c r="G445" s="6" t="s">
        <v>18</v>
      </c>
      <c r="H445" s="6" t="s">
        <v>84</v>
      </c>
      <c r="I445" s="6">
        <v>27</v>
      </c>
      <c r="J445" s="6">
        <f>D449/I445</f>
        <v>28.37037037037037</v>
      </c>
      <c r="K445" s="7">
        <f>E445/D449</f>
        <v>21.304395561357701</v>
      </c>
    </row>
    <row r="446" spans="1:11" hidden="1">
      <c r="A446" s="6" t="s">
        <v>7</v>
      </c>
      <c r="B446" s="6">
        <f t="shared" ref="B446:B448" si="30">C436</f>
        <v>54192</v>
      </c>
      <c r="C446" s="6">
        <v>54618</v>
      </c>
      <c r="D446" s="6">
        <f t="shared" ref="D446:D448" si="31">C446-B446</f>
        <v>426</v>
      </c>
      <c r="E446" s="7"/>
      <c r="F446" s="6"/>
      <c r="G446" s="6"/>
      <c r="H446" s="6"/>
      <c r="I446" s="6"/>
      <c r="J446" s="6"/>
      <c r="K446" s="6"/>
    </row>
    <row r="447" spans="1:11" hidden="1">
      <c r="A447" s="6" t="s">
        <v>8</v>
      </c>
      <c r="B447" s="6">
        <f t="shared" si="30"/>
        <v>54078</v>
      </c>
      <c r="C447" s="6">
        <v>54486</v>
      </c>
      <c r="D447" s="6">
        <f t="shared" si="31"/>
        <v>408</v>
      </c>
      <c r="E447" s="7"/>
      <c r="F447" s="6"/>
      <c r="G447" s="6"/>
      <c r="H447" s="6"/>
      <c r="I447" s="6"/>
      <c r="J447" s="6"/>
      <c r="K447" s="7"/>
    </row>
    <row r="448" spans="1:11" hidden="1">
      <c r="A448" s="6" t="s">
        <v>9</v>
      </c>
      <c r="B448" s="6">
        <f t="shared" si="30"/>
        <v>52874</v>
      </c>
      <c r="C448" s="6">
        <v>53210</v>
      </c>
      <c r="D448" s="6">
        <f t="shared" si="31"/>
        <v>336</v>
      </c>
      <c r="E448" s="7">
        <f>12726.45</f>
        <v>12726.45</v>
      </c>
      <c r="F448" s="6">
        <v>5112.8999999999996</v>
      </c>
      <c r="G448" s="6" t="s">
        <v>18</v>
      </c>
      <c r="H448" s="6" t="s">
        <v>82</v>
      </c>
      <c r="I448" s="6">
        <v>31</v>
      </c>
      <c r="J448" s="6">
        <f>D450/I448</f>
        <v>24</v>
      </c>
      <c r="K448" s="7">
        <f>E448/D450</f>
        <v>17.105443548387097</v>
      </c>
    </row>
    <row r="449" spans="1:11" hidden="1">
      <c r="A449" s="6" t="s">
        <v>10</v>
      </c>
      <c r="B449" s="6"/>
      <c r="C449" s="6"/>
      <c r="D449" s="6">
        <f>D445+D446</f>
        <v>766</v>
      </c>
      <c r="E449" s="7">
        <f>E445</f>
        <v>16319.166999999999</v>
      </c>
      <c r="F449" s="6"/>
      <c r="G449" s="6"/>
      <c r="H449" s="6"/>
      <c r="I449" s="6"/>
      <c r="J449" s="6"/>
      <c r="K449" s="6"/>
    </row>
    <row r="450" spans="1:11" hidden="1">
      <c r="A450" s="6" t="s">
        <v>11</v>
      </c>
      <c r="B450" s="6"/>
      <c r="C450" s="6"/>
      <c r="D450" s="6">
        <f>D447+D448</f>
        <v>744</v>
      </c>
      <c r="E450" s="7">
        <f>E448+F448</f>
        <v>17839.349999999999</v>
      </c>
      <c r="F450" s="6"/>
      <c r="G450" s="6"/>
      <c r="H450" s="6"/>
      <c r="I450" s="6"/>
      <c r="J450" s="6"/>
      <c r="K450" s="6"/>
    </row>
    <row r="451" spans="1:11" hidden="1">
      <c r="A451" s="6" t="s">
        <v>12</v>
      </c>
      <c r="B451" s="6"/>
      <c r="C451" s="6"/>
      <c r="D451" s="6"/>
      <c r="E451" s="7">
        <f>E449-E450</f>
        <v>-1520.1829999999991</v>
      </c>
      <c r="F451" s="6"/>
      <c r="G451" s="6"/>
      <c r="H451" s="6"/>
      <c r="I451" s="6"/>
      <c r="J451" s="6"/>
      <c r="K451" s="6"/>
    </row>
    <row r="452" spans="1:11" hidden="1"/>
    <row r="453" spans="1:11" hidden="1">
      <c r="A453" s="14">
        <v>44470</v>
      </c>
      <c r="B453" s="2"/>
      <c r="C453" s="2"/>
      <c r="D453" s="2"/>
      <c r="E453" s="2"/>
    </row>
    <row r="454" spans="1:11" hidden="1">
      <c r="A454" s="3" t="s">
        <v>1</v>
      </c>
      <c r="B454" s="3" t="s">
        <v>2</v>
      </c>
      <c r="C454" s="3" t="s">
        <v>3</v>
      </c>
      <c r="D454" s="3" t="s">
        <v>4</v>
      </c>
      <c r="E454" s="3" t="s">
        <v>5</v>
      </c>
      <c r="F454" s="3" t="s">
        <v>83</v>
      </c>
      <c r="G454" s="3" t="s">
        <v>13</v>
      </c>
      <c r="H454" s="3" t="s">
        <v>14</v>
      </c>
      <c r="I454" s="3" t="s">
        <v>15</v>
      </c>
      <c r="J454" s="3" t="s">
        <v>16</v>
      </c>
      <c r="K454" s="3" t="s">
        <v>17</v>
      </c>
    </row>
    <row r="455" spans="1:11" hidden="1">
      <c r="A455" s="6" t="s">
        <v>6</v>
      </c>
      <c r="B455" s="6">
        <f>C445</f>
        <v>53289</v>
      </c>
      <c r="C455" s="6">
        <v>53615</v>
      </c>
      <c r="D455" s="6">
        <f>C455-B455</f>
        <v>326</v>
      </c>
      <c r="E455" s="7">
        <f>14190.58*1.15</f>
        <v>16319.166999999999</v>
      </c>
      <c r="F455" s="6"/>
      <c r="G455" s="6" t="s">
        <v>18</v>
      </c>
      <c r="H455" s="6" t="s">
        <v>85</v>
      </c>
      <c r="I455" s="6">
        <v>29</v>
      </c>
      <c r="J455" s="6">
        <f>D459/I455</f>
        <v>22.689655172413794</v>
      </c>
      <c r="K455" s="7">
        <f>E455/D459</f>
        <v>24.801165653495438</v>
      </c>
    </row>
    <row r="456" spans="1:11" hidden="1">
      <c r="A456" s="6" t="s">
        <v>7</v>
      </c>
      <c r="B456" s="6">
        <f t="shared" ref="B456:B458" si="32">C446</f>
        <v>54618</v>
      </c>
      <c r="C456" s="6">
        <v>54950</v>
      </c>
      <c r="D456" s="6">
        <f t="shared" ref="D456:D458" si="33">C456-B456</f>
        <v>332</v>
      </c>
      <c r="E456" s="7"/>
      <c r="F456" s="6"/>
      <c r="G456" s="6"/>
      <c r="H456" s="6"/>
      <c r="I456" s="6"/>
      <c r="J456" s="6"/>
      <c r="K456" s="6"/>
    </row>
    <row r="457" spans="1:11" hidden="1">
      <c r="A457" s="6" t="s">
        <v>8</v>
      </c>
      <c r="B457" s="6">
        <f t="shared" si="32"/>
        <v>54486</v>
      </c>
      <c r="C457" s="6">
        <v>54522</v>
      </c>
      <c r="D457" s="6">
        <f t="shared" si="33"/>
        <v>36</v>
      </c>
      <c r="E457" s="7"/>
      <c r="F457" s="6"/>
      <c r="G457" s="6"/>
      <c r="H457" s="6"/>
      <c r="I457" s="6"/>
      <c r="J457" s="6"/>
      <c r="K457" s="7"/>
    </row>
    <row r="458" spans="1:11" hidden="1">
      <c r="A458" s="6" t="s">
        <v>9</v>
      </c>
      <c r="B458" s="6">
        <f t="shared" si="32"/>
        <v>53210</v>
      </c>
      <c r="C458" s="6">
        <v>53527</v>
      </c>
      <c r="D458" s="6">
        <f t="shared" si="33"/>
        <v>317</v>
      </c>
      <c r="E458" s="7">
        <v>0</v>
      </c>
      <c r="F458" s="6">
        <v>6627.83</v>
      </c>
      <c r="G458" s="6" t="s">
        <v>86</v>
      </c>
      <c r="H458" s="6" t="s">
        <v>87</v>
      </c>
      <c r="I458" s="6">
        <v>35</v>
      </c>
      <c r="J458" s="6">
        <f>D460/I458</f>
        <v>10.085714285714285</v>
      </c>
      <c r="K458" s="7">
        <f>E458/D460</f>
        <v>0</v>
      </c>
    </row>
    <row r="459" spans="1:11" hidden="1">
      <c r="A459" s="6" t="s">
        <v>10</v>
      </c>
      <c r="B459" s="6"/>
      <c r="C459" s="6"/>
      <c r="D459" s="6">
        <f>D455+D456</f>
        <v>658</v>
      </c>
      <c r="E459" s="7">
        <f>E455</f>
        <v>16319.166999999999</v>
      </c>
      <c r="F459" s="6"/>
      <c r="G459" s="6"/>
      <c r="H459" s="6"/>
      <c r="I459" s="6"/>
      <c r="J459" s="6"/>
      <c r="K459" s="6"/>
    </row>
    <row r="460" spans="1:11" hidden="1">
      <c r="A460" s="6" t="s">
        <v>11</v>
      </c>
      <c r="B460" s="6"/>
      <c r="C460" s="6"/>
      <c r="D460" s="6">
        <f>D457+D458</f>
        <v>353</v>
      </c>
      <c r="E460" s="7">
        <f>E458+F458</f>
        <v>6627.83</v>
      </c>
      <c r="F460" s="6"/>
      <c r="G460" s="6"/>
      <c r="H460" s="6"/>
      <c r="I460" s="6"/>
      <c r="J460" s="6"/>
      <c r="K460" s="6"/>
    </row>
    <row r="461" spans="1:11" hidden="1">
      <c r="A461" s="6" t="s">
        <v>12</v>
      </c>
      <c r="B461" s="6"/>
      <c r="C461" s="6"/>
      <c r="D461" s="6"/>
      <c r="E461" s="7">
        <f>E459-E460</f>
        <v>9691.3369999999995</v>
      </c>
      <c r="F461" s="6"/>
      <c r="G461" s="6"/>
      <c r="H461" s="6"/>
      <c r="I461" s="6"/>
      <c r="J461" s="6"/>
      <c r="K461" s="6"/>
    </row>
    <row r="462" spans="1:11" hidden="1"/>
    <row r="463" spans="1:11" hidden="1">
      <c r="A463" s="14">
        <v>44501</v>
      </c>
      <c r="B463" s="2"/>
      <c r="C463" s="2"/>
      <c r="D463" s="2"/>
      <c r="E463" s="2"/>
    </row>
    <row r="464" spans="1:11" hidden="1">
      <c r="A464" s="3" t="s">
        <v>1</v>
      </c>
      <c r="B464" s="3" t="s">
        <v>2</v>
      </c>
      <c r="C464" s="3" t="s">
        <v>3</v>
      </c>
      <c r="D464" s="3" t="s">
        <v>4</v>
      </c>
      <c r="E464" s="3" t="s">
        <v>5</v>
      </c>
      <c r="F464" s="3" t="s">
        <v>83</v>
      </c>
      <c r="G464" s="3" t="s">
        <v>13</v>
      </c>
      <c r="H464" s="3" t="s">
        <v>14</v>
      </c>
      <c r="I464" s="3" t="s">
        <v>15</v>
      </c>
      <c r="J464" s="3" t="s">
        <v>16</v>
      </c>
      <c r="K464" s="3" t="s">
        <v>17</v>
      </c>
    </row>
    <row r="465" spans="1:11" hidden="1">
      <c r="A465" s="6" t="s">
        <v>6</v>
      </c>
      <c r="B465" s="6">
        <f>C455</f>
        <v>53615</v>
      </c>
      <c r="C465" s="6">
        <v>53860</v>
      </c>
      <c r="D465" s="6">
        <f>C465-B465</f>
        <v>245</v>
      </c>
      <c r="E465" s="7">
        <f>14190.58*1.15</f>
        <v>16319.166999999999</v>
      </c>
      <c r="F465" s="6"/>
      <c r="G465" s="6" t="s">
        <v>18</v>
      </c>
      <c r="H465" s="6" t="s">
        <v>88</v>
      </c>
      <c r="I465" s="6">
        <v>34</v>
      </c>
      <c r="J465" s="6">
        <f>D469/I465</f>
        <v>21.470588235294116</v>
      </c>
      <c r="K465" s="7">
        <f>E465/D469</f>
        <v>22.355023287671234</v>
      </c>
    </row>
    <row r="466" spans="1:11" hidden="1">
      <c r="A466" s="6" t="s">
        <v>7</v>
      </c>
      <c r="B466" s="6">
        <f t="shared" ref="B466" si="34">C456</f>
        <v>54950</v>
      </c>
      <c r="C466" s="6">
        <v>55435</v>
      </c>
      <c r="D466" s="6">
        <f t="shared" ref="D466:D468" si="35">C466-B466</f>
        <v>485</v>
      </c>
      <c r="E466" s="7"/>
      <c r="F466" s="6"/>
      <c r="G466" s="6"/>
      <c r="H466" s="6"/>
      <c r="I466" s="6"/>
      <c r="J466" s="6"/>
      <c r="K466" s="6"/>
    </row>
    <row r="467" spans="1:11" hidden="1">
      <c r="A467" s="6" t="s">
        <v>8</v>
      </c>
      <c r="B467" s="6">
        <v>54486</v>
      </c>
      <c r="C467" s="6">
        <v>55299</v>
      </c>
      <c r="D467" s="6">
        <f t="shared" si="35"/>
        <v>813</v>
      </c>
      <c r="E467" s="7"/>
      <c r="F467" s="6"/>
      <c r="G467" s="6"/>
      <c r="H467" s="6"/>
      <c r="I467" s="6"/>
      <c r="J467" s="6"/>
      <c r="K467" s="7"/>
    </row>
    <row r="468" spans="1:11" hidden="1">
      <c r="A468" s="6" t="s">
        <v>9</v>
      </c>
      <c r="B468" s="6">
        <v>53210</v>
      </c>
      <c r="C468" s="6">
        <v>53813</v>
      </c>
      <c r="D468" s="6">
        <f t="shared" si="35"/>
        <v>603</v>
      </c>
      <c r="E468" s="7">
        <v>18440.759999999998</v>
      </c>
      <c r="F468" s="6">
        <v>5302.27</v>
      </c>
      <c r="G468" s="6" t="s">
        <v>18</v>
      </c>
      <c r="H468" s="6" t="s">
        <v>89</v>
      </c>
      <c r="I468" s="6">
        <v>63</v>
      </c>
      <c r="J468" s="6">
        <f>D470/I468</f>
        <v>22.476190476190474</v>
      </c>
      <c r="K468" s="7">
        <f>E468/D470</f>
        <v>13.023135593220339</v>
      </c>
    </row>
    <row r="469" spans="1:11" hidden="1">
      <c r="A469" s="6" t="s">
        <v>10</v>
      </c>
      <c r="B469" s="6"/>
      <c r="C469" s="6"/>
      <c r="D469" s="6">
        <f>D465+D466</f>
        <v>730</v>
      </c>
      <c r="E469" s="7">
        <f>E465</f>
        <v>16319.166999999999</v>
      </c>
      <c r="F469" s="6"/>
      <c r="G469" s="6"/>
      <c r="H469" s="6"/>
      <c r="I469" s="6"/>
      <c r="J469" s="6"/>
      <c r="K469" s="6"/>
    </row>
    <row r="470" spans="1:11" hidden="1">
      <c r="A470" s="6" t="s">
        <v>11</v>
      </c>
      <c r="B470" s="6"/>
      <c r="C470" s="6"/>
      <c r="D470" s="6">
        <f>D467+D468</f>
        <v>1416</v>
      </c>
      <c r="E470" s="7">
        <f>E468+F468</f>
        <v>23743.03</v>
      </c>
      <c r="F470" s="6"/>
      <c r="G470" s="6"/>
      <c r="H470" s="6"/>
      <c r="I470" s="6"/>
      <c r="J470" s="6"/>
      <c r="K470" s="6"/>
    </row>
    <row r="471" spans="1:11" hidden="1">
      <c r="A471" s="6" t="s">
        <v>12</v>
      </c>
      <c r="B471" s="6"/>
      <c r="C471" s="6"/>
      <c r="D471" s="6"/>
      <c r="E471" s="7">
        <f>E469-E470</f>
        <v>-7423.8629999999994</v>
      </c>
      <c r="F471" s="6"/>
      <c r="G471" s="6"/>
      <c r="H471" s="6"/>
      <c r="I471" s="6"/>
      <c r="J471" s="6"/>
      <c r="K471" s="6"/>
    </row>
    <row r="472" spans="1:11" hidden="1"/>
    <row r="473" spans="1:11" hidden="1">
      <c r="A473" s="14">
        <v>44531</v>
      </c>
      <c r="B473" s="2"/>
      <c r="C473" s="2"/>
      <c r="D473" s="2"/>
      <c r="E473" s="2"/>
    </row>
    <row r="474" spans="1:11" hidden="1">
      <c r="A474" s="3" t="s">
        <v>1</v>
      </c>
      <c r="B474" s="3" t="s">
        <v>2</v>
      </c>
      <c r="C474" s="3" t="s">
        <v>3</v>
      </c>
      <c r="D474" s="3" t="s">
        <v>4</v>
      </c>
      <c r="E474" s="3" t="s">
        <v>5</v>
      </c>
      <c r="F474" s="3" t="s">
        <v>83</v>
      </c>
      <c r="G474" s="3" t="s">
        <v>13</v>
      </c>
      <c r="H474" s="3" t="s">
        <v>14</v>
      </c>
      <c r="I474" s="3" t="s">
        <v>15</v>
      </c>
      <c r="J474" s="3" t="s">
        <v>16</v>
      </c>
      <c r="K474" s="3" t="s">
        <v>17</v>
      </c>
    </row>
    <row r="475" spans="1:11" hidden="1">
      <c r="A475" s="6" t="s">
        <v>6</v>
      </c>
      <c r="B475" s="6">
        <f>C465</f>
        <v>53860</v>
      </c>
      <c r="C475" s="6">
        <v>53860</v>
      </c>
      <c r="D475" s="6">
        <f>C475-B475</f>
        <v>0</v>
      </c>
      <c r="E475" s="7">
        <f>14190.58*1.15</f>
        <v>16319.166999999999</v>
      </c>
      <c r="F475" s="6"/>
      <c r="G475" s="6" t="s">
        <v>18</v>
      </c>
      <c r="H475" s="6" t="s">
        <v>88</v>
      </c>
      <c r="I475" s="6">
        <v>34</v>
      </c>
      <c r="J475" s="6">
        <f>D479/I475</f>
        <v>0</v>
      </c>
      <c r="K475" s="7" t="e">
        <f>E475/D479</f>
        <v>#DIV/0!</v>
      </c>
    </row>
    <row r="476" spans="1:11" hidden="1">
      <c r="A476" s="6" t="s">
        <v>7</v>
      </c>
      <c r="B476" s="6">
        <f t="shared" ref="B476" si="36">C466</f>
        <v>55435</v>
      </c>
      <c r="C476" s="6">
        <v>55435</v>
      </c>
      <c r="D476" s="6">
        <f t="shared" ref="D476:D478" si="37">C476-B476</f>
        <v>0</v>
      </c>
      <c r="E476" s="7"/>
      <c r="F476" s="6"/>
      <c r="G476" s="6"/>
      <c r="H476" s="6"/>
      <c r="I476" s="6"/>
      <c r="J476" s="6"/>
      <c r="K476" s="6"/>
    </row>
    <row r="477" spans="1:11" hidden="1">
      <c r="A477" s="6" t="s">
        <v>8</v>
      </c>
      <c r="B477" s="6">
        <f>C467</f>
        <v>55299</v>
      </c>
      <c r="C477" s="6">
        <v>55787</v>
      </c>
      <c r="D477" s="6">
        <f t="shared" si="37"/>
        <v>488</v>
      </c>
      <c r="E477" s="7"/>
      <c r="F477" s="6"/>
      <c r="G477" s="6"/>
      <c r="H477" s="6"/>
      <c r="I477" s="6"/>
      <c r="J477" s="6"/>
      <c r="K477" s="7"/>
    </row>
    <row r="478" spans="1:11" hidden="1">
      <c r="A478" s="6" t="s">
        <v>9</v>
      </c>
      <c r="B478" s="6">
        <f>C468</f>
        <v>53813</v>
      </c>
      <c r="C478" s="6">
        <v>54072</v>
      </c>
      <c r="D478" s="6">
        <f t="shared" si="37"/>
        <v>259</v>
      </c>
      <c r="E478" s="7">
        <v>9196.6</v>
      </c>
      <c r="F478" s="6">
        <v>6627.83</v>
      </c>
      <c r="G478" s="6" t="s">
        <v>42</v>
      </c>
      <c r="H478" s="6" t="s">
        <v>90</v>
      </c>
      <c r="I478" s="6">
        <v>35</v>
      </c>
      <c r="J478" s="6">
        <f>D480/I478</f>
        <v>21.342857142857142</v>
      </c>
      <c r="K478" s="7">
        <f>E478/D480</f>
        <v>12.311378848728246</v>
      </c>
    </row>
    <row r="479" spans="1:11" hidden="1">
      <c r="A479" s="6" t="s">
        <v>10</v>
      </c>
      <c r="B479" s="6"/>
      <c r="C479" s="6"/>
      <c r="D479" s="6">
        <f>D475+D476</f>
        <v>0</v>
      </c>
      <c r="E479" s="7">
        <f>E475</f>
        <v>16319.166999999999</v>
      </c>
      <c r="F479" s="6"/>
      <c r="G479" s="6"/>
      <c r="H479" s="6"/>
      <c r="I479" s="6"/>
      <c r="J479" s="6"/>
      <c r="K479" s="6"/>
    </row>
    <row r="480" spans="1:11" hidden="1">
      <c r="A480" s="6" t="s">
        <v>11</v>
      </c>
      <c r="B480" s="6"/>
      <c r="C480" s="6"/>
      <c r="D480" s="6">
        <f>D477+D478</f>
        <v>747</v>
      </c>
      <c r="E480" s="7">
        <f>E478+F478</f>
        <v>15824.43</v>
      </c>
      <c r="F480" s="6"/>
      <c r="G480" s="6"/>
      <c r="H480" s="6"/>
      <c r="I480" s="6"/>
      <c r="J480" s="6"/>
      <c r="K480" s="6"/>
    </row>
    <row r="481" spans="1:11" hidden="1">
      <c r="A481" s="6" t="s">
        <v>12</v>
      </c>
      <c r="B481" s="6"/>
      <c r="C481" s="6"/>
      <c r="D481" s="6"/>
      <c r="E481" s="7">
        <f>E479-E480</f>
        <v>494.73699999999917</v>
      </c>
      <c r="F481" s="6"/>
      <c r="G481" s="6"/>
      <c r="H481" s="6"/>
      <c r="I481" s="6"/>
      <c r="J481" s="6"/>
      <c r="K481" s="6"/>
    </row>
    <row r="483" spans="1:11">
      <c r="A483" s="14">
        <v>44562</v>
      </c>
      <c r="B483" s="2"/>
      <c r="C483" s="2"/>
      <c r="D483" s="2"/>
      <c r="E483" s="2"/>
    </row>
    <row r="484" spans="1:11">
      <c r="A484" s="3" t="s">
        <v>1</v>
      </c>
      <c r="B484" s="3" t="s">
        <v>2</v>
      </c>
      <c r="C484" s="3" t="s">
        <v>3</v>
      </c>
      <c r="D484" s="3" t="s">
        <v>4</v>
      </c>
      <c r="E484" s="3" t="s">
        <v>5</v>
      </c>
      <c r="F484" s="3" t="s">
        <v>83</v>
      </c>
      <c r="G484" s="3" t="s">
        <v>13</v>
      </c>
      <c r="H484" s="3" t="s">
        <v>14</v>
      </c>
      <c r="I484" s="3" t="s">
        <v>15</v>
      </c>
      <c r="J484" s="3" t="s">
        <v>16</v>
      </c>
      <c r="K484" s="3" t="s">
        <v>17</v>
      </c>
    </row>
    <row r="485" spans="1:11">
      <c r="A485" s="6" t="s">
        <v>6</v>
      </c>
      <c r="B485" s="6">
        <f>C475</f>
        <v>53860</v>
      </c>
      <c r="C485" s="6">
        <v>54148</v>
      </c>
      <c r="D485" s="6">
        <f>C485-B485</f>
        <v>288</v>
      </c>
      <c r="E485" s="7">
        <f>14190.58*1.15</f>
        <v>16319.166999999999</v>
      </c>
      <c r="F485" s="6"/>
      <c r="G485" s="6" t="s">
        <v>18</v>
      </c>
      <c r="H485" s="6" t="s">
        <v>91</v>
      </c>
      <c r="I485" s="6">
        <v>22</v>
      </c>
      <c r="J485" s="6">
        <f>D489/I485</f>
        <v>56.772727272727273</v>
      </c>
      <c r="K485" s="7">
        <f>E485/D489</f>
        <v>13.065786228983185</v>
      </c>
    </row>
    <row r="486" spans="1:11">
      <c r="A486" s="6" t="s">
        <v>7</v>
      </c>
      <c r="B486" s="6">
        <f t="shared" ref="B486" si="38">C476</f>
        <v>55435</v>
      </c>
      <c r="C486" s="6">
        <v>56396</v>
      </c>
      <c r="D486" s="6">
        <f t="shared" ref="D486:D488" si="39">C486-B486</f>
        <v>961</v>
      </c>
      <c r="E486" s="7"/>
      <c r="F486" s="6"/>
      <c r="G486" s="6"/>
      <c r="H486" s="6"/>
      <c r="I486" s="6"/>
      <c r="J486" s="6"/>
      <c r="K486" s="6"/>
    </row>
    <row r="487" spans="1:11">
      <c r="A487" s="6" t="s">
        <v>8</v>
      </c>
      <c r="B487" s="6">
        <v>55299</v>
      </c>
      <c r="C487" s="6">
        <v>56297</v>
      </c>
      <c r="D487" s="6">
        <f t="shared" si="39"/>
        <v>998</v>
      </c>
      <c r="E487" s="7"/>
      <c r="F487" s="6"/>
      <c r="G487" s="6"/>
      <c r="H487" s="6"/>
      <c r="I487" s="6"/>
      <c r="J487" s="6"/>
      <c r="K487" s="7"/>
    </row>
    <row r="488" spans="1:11">
      <c r="A488" s="6" t="s">
        <v>9</v>
      </c>
      <c r="B488" s="6">
        <v>53813</v>
      </c>
      <c r="C488" s="6">
        <v>54102</v>
      </c>
      <c r="D488" s="6">
        <f t="shared" si="39"/>
        <v>289</v>
      </c>
      <c r="E488" s="7">
        <f>16538.01-9196.6</f>
        <v>7341.409999999998</v>
      </c>
      <c r="F488" s="6">
        <v>4355.43</v>
      </c>
      <c r="G488" s="6" t="s">
        <v>18</v>
      </c>
      <c r="H488" s="6" t="s">
        <v>92</v>
      </c>
      <c r="I488" s="6">
        <v>58</v>
      </c>
      <c r="J488" s="6">
        <f>D490/I488</f>
        <v>22.189655172413794</v>
      </c>
      <c r="K488" s="7">
        <f>E488/D490</f>
        <v>5.7042812742812732</v>
      </c>
    </row>
    <row r="489" spans="1:11">
      <c r="A489" s="6" t="s">
        <v>10</v>
      </c>
      <c r="B489" s="6"/>
      <c r="C489" s="6"/>
      <c r="D489" s="6">
        <f>D485+D486</f>
        <v>1249</v>
      </c>
      <c r="E489" s="7">
        <f>E485</f>
        <v>16319.166999999999</v>
      </c>
      <c r="F489" s="6"/>
      <c r="G489" s="6"/>
      <c r="H489" s="6"/>
      <c r="I489" s="6"/>
      <c r="J489" s="6"/>
      <c r="K489" s="6"/>
    </row>
    <row r="490" spans="1:11">
      <c r="A490" s="6" t="s">
        <v>11</v>
      </c>
      <c r="B490" s="6"/>
      <c r="C490" s="6"/>
      <c r="D490" s="6">
        <f>D487+D488</f>
        <v>1287</v>
      </c>
      <c r="E490" s="7">
        <f>E488+F488</f>
        <v>11696.839999999998</v>
      </c>
      <c r="F490" s="6"/>
      <c r="G490" s="6"/>
      <c r="H490" s="6"/>
      <c r="I490" s="6"/>
      <c r="J490" s="6"/>
      <c r="K490" s="6"/>
    </row>
    <row r="491" spans="1:11">
      <c r="A491" s="6" t="s">
        <v>12</v>
      </c>
      <c r="B491" s="6"/>
      <c r="C491" s="6"/>
      <c r="D491" s="6"/>
      <c r="E491" s="7">
        <f>E489-E490</f>
        <v>4622.3270000000011</v>
      </c>
      <c r="F491" s="6"/>
      <c r="G491" s="6"/>
      <c r="H491" s="6"/>
      <c r="I491" s="6"/>
      <c r="J491" s="6"/>
      <c r="K491" s="6"/>
    </row>
    <row r="493" spans="1:11">
      <c r="A493" s="14">
        <v>44593</v>
      </c>
      <c r="B493" s="2"/>
      <c r="C493" s="2"/>
      <c r="D493" s="2"/>
      <c r="E493" s="2"/>
    </row>
    <row r="494" spans="1:11">
      <c r="A494" s="3" t="s">
        <v>1</v>
      </c>
      <c r="B494" s="3" t="s">
        <v>2</v>
      </c>
      <c r="C494" s="3" t="s">
        <v>3</v>
      </c>
      <c r="D494" s="3" t="s">
        <v>4</v>
      </c>
      <c r="E494" s="3" t="s">
        <v>5</v>
      </c>
      <c r="F494" s="3" t="s">
        <v>83</v>
      </c>
      <c r="G494" s="3" t="s">
        <v>13</v>
      </c>
      <c r="H494" s="3" t="s">
        <v>14</v>
      </c>
      <c r="I494" s="3" t="s">
        <v>15</v>
      </c>
      <c r="J494" s="3" t="s">
        <v>16</v>
      </c>
      <c r="K494" s="3" t="s">
        <v>17</v>
      </c>
    </row>
    <row r="495" spans="1:11">
      <c r="A495" s="6" t="s">
        <v>6</v>
      </c>
      <c r="B495" s="6">
        <f>C485</f>
        <v>54148</v>
      </c>
      <c r="C495" s="6">
        <v>54329</v>
      </c>
      <c r="D495" s="6">
        <f>C495-B495</f>
        <v>181</v>
      </c>
      <c r="E495" s="7">
        <f>14190.58*1.15</f>
        <v>16319.166999999999</v>
      </c>
      <c r="F495" s="6"/>
      <c r="G495" s="6" t="s">
        <v>18</v>
      </c>
      <c r="H495" s="6" t="s">
        <v>93</v>
      </c>
      <c r="I495" s="6">
        <v>29</v>
      </c>
      <c r="J495" s="6">
        <f>D499/I495</f>
        <v>21.655172413793103</v>
      </c>
      <c r="K495" s="7">
        <f>E495/D499</f>
        <v>25.985934713375794</v>
      </c>
    </row>
    <row r="496" spans="1:11">
      <c r="A496" s="6" t="s">
        <v>7</v>
      </c>
      <c r="B496" s="6">
        <f t="shared" ref="B496" si="40">C486</f>
        <v>56396</v>
      </c>
      <c r="C496" s="6">
        <v>56843</v>
      </c>
      <c r="D496" s="6">
        <f t="shared" ref="D496:D498" si="41">C496-B496</f>
        <v>447</v>
      </c>
      <c r="E496" s="7"/>
      <c r="F496" s="6"/>
      <c r="G496" s="6"/>
      <c r="H496" s="6"/>
      <c r="I496" s="6"/>
      <c r="J496" s="6"/>
      <c r="K496" s="6"/>
    </row>
    <row r="497" spans="1:11">
      <c r="A497" s="6" t="s">
        <v>8</v>
      </c>
      <c r="B497" s="6">
        <f>C487</f>
        <v>56297</v>
      </c>
      <c r="C497" s="6">
        <v>58792</v>
      </c>
      <c r="D497" s="6">
        <f t="shared" si="41"/>
        <v>2495</v>
      </c>
      <c r="E497" s="7"/>
      <c r="F497" s="6"/>
      <c r="G497" s="6"/>
      <c r="H497" s="6"/>
      <c r="I497" s="6"/>
      <c r="J497" s="6"/>
      <c r="K497" s="7"/>
    </row>
    <row r="498" spans="1:11">
      <c r="A498" s="6" t="s">
        <v>9</v>
      </c>
      <c r="B498" s="6">
        <f>C488</f>
        <v>54102</v>
      </c>
      <c r="C498" s="6">
        <v>54310</v>
      </c>
      <c r="D498" s="6">
        <f t="shared" si="41"/>
        <v>208</v>
      </c>
      <c r="E498" s="7">
        <v>91977.75</v>
      </c>
      <c r="F498" s="6">
        <v>6059.73</v>
      </c>
      <c r="G498" s="6" t="s">
        <v>18</v>
      </c>
      <c r="H498" s="6" t="s">
        <v>94</v>
      </c>
      <c r="I498" s="6">
        <v>32</v>
      </c>
      <c r="J498" s="6">
        <f>D500/I498</f>
        <v>84.46875</v>
      </c>
      <c r="K498" s="7">
        <f>E498/D500</f>
        <v>34.028024417314093</v>
      </c>
    </row>
    <row r="499" spans="1:11">
      <c r="A499" s="6" t="s">
        <v>10</v>
      </c>
      <c r="B499" s="6"/>
      <c r="C499" s="6"/>
      <c r="D499" s="6">
        <f>D495+D496</f>
        <v>628</v>
      </c>
      <c r="E499" s="7">
        <f>E495</f>
        <v>16319.166999999999</v>
      </c>
      <c r="F499" s="6"/>
      <c r="G499" s="6"/>
      <c r="H499" s="6"/>
      <c r="I499" s="6"/>
      <c r="J499" s="6"/>
      <c r="K499" s="6"/>
    </row>
    <row r="500" spans="1:11">
      <c r="A500" s="6" t="s">
        <v>11</v>
      </c>
      <c r="B500" s="6"/>
      <c r="C500" s="6"/>
      <c r="D500" s="6">
        <f>D497+D498</f>
        <v>2703</v>
      </c>
      <c r="E500" s="7">
        <f>E498+F498</f>
        <v>98037.48</v>
      </c>
      <c r="F500" s="6"/>
      <c r="G500" s="6"/>
      <c r="H500" s="6"/>
      <c r="I500" s="6"/>
      <c r="J500" s="6"/>
      <c r="K500" s="6"/>
    </row>
    <row r="501" spans="1:11">
      <c r="A501" s="6" t="s">
        <v>12</v>
      </c>
      <c r="B501" s="6"/>
      <c r="C501" s="6"/>
      <c r="D501" s="6"/>
      <c r="E501" s="7">
        <f>E499-E500</f>
        <v>-81718.312999999995</v>
      </c>
      <c r="F501" s="6"/>
      <c r="G501" s="6"/>
      <c r="H501" s="6"/>
      <c r="I501" s="6"/>
      <c r="J501" s="6"/>
      <c r="K501" s="6"/>
    </row>
    <row r="503" spans="1:11">
      <c r="A503" s="14">
        <v>44621</v>
      </c>
      <c r="B503" s="2"/>
      <c r="C503" s="2"/>
      <c r="D503" s="2"/>
      <c r="E503" s="2"/>
    </row>
    <row r="504" spans="1:11">
      <c r="A504" s="3" t="s">
        <v>1</v>
      </c>
      <c r="B504" s="3" t="s">
        <v>2</v>
      </c>
      <c r="C504" s="3" t="s">
        <v>3</v>
      </c>
      <c r="D504" s="3" t="s">
        <v>4</v>
      </c>
      <c r="E504" s="3" t="s">
        <v>5</v>
      </c>
      <c r="F504" s="3" t="s">
        <v>83</v>
      </c>
      <c r="G504" s="3" t="s">
        <v>13</v>
      </c>
      <c r="H504" s="3" t="s">
        <v>14</v>
      </c>
      <c r="I504" s="3" t="s">
        <v>15</v>
      </c>
      <c r="J504" s="3" t="s">
        <v>16</v>
      </c>
      <c r="K504" s="3" t="s">
        <v>17</v>
      </c>
    </row>
    <row r="505" spans="1:11">
      <c r="A505" s="6" t="s">
        <v>6</v>
      </c>
      <c r="B505" s="6">
        <f>C495</f>
        <v>54329</v>
      </c>
      <c r="C505" s="6">
        <v>54550</v>
      </c>
      <c r="D505" s="6">
        <f>C505-B505</f>
        <v>221</v>
      </c>
      <c r="E505" s="7">
        <f>14190.58*1.15</f>
        <v>16319.166999999999</v>
      </c>
      <c r="F505" s="6"/>
      <c r="G505" s="6" t="s">
        <v>18</v>
      </c>
      <c r="H505" s="6" t="s">
        <v>95</v>
      </c>
      <c r="I505" s="6">
        <v>34</v>
      </c>
      <c r="J505" s="6">
        <f>D509/I505</f>
        <v>21.647058823529413</v>
      </c>
      <c r="K505" s="7">
        <f>E505/D509</f>
        <v>22.17278125</v>
      </c>
    </row>
    <row r="506" spans="1:11">
      <c r="A506" s="6" t="s">
        <v>7</v>
      </c>
      <c r="B506" s="6">
        <f t="shared" ref="B506" si="42">C496</f>
        <v>56843</v>
      </c>
      <c r="C506" s="6">
        <v>57358</v>
      </c>
      <c r="D506" s="6">
        <f t="shared" ref="D506:D508" si="43">C506-B506</f>
        <v>515</v>
      </c>
      <c r="E506" s="7"/>
      <c r="F506" s="6"/>
      <c r="G506" s="6"/>
      <c r="H506" s="6"/>
      <c r="I506" s="6"/>
      <c r="J506" s="6"/>
      <c r="K506" s="6"/>
    </row>
    <row r="507" spans="1:11">
      <c r="A507" s="6" t="s">
        <v>8</v>
      </c>
      <c r="B507" s="6">
        <v>56297</v>
      </c>
      <c r="C507" s="6">
        <v>56792</v>
      </c>
      <c r="D507" s="6">
        <f t="shared" si="43"/>
        <v>495</v>
      </c>
      <c r="E507" s="7"/>
      <c r="F507" s="6"/>
      <c r="G507" s="6"/>
      <c r="H507" s="6"/>
      <c r="I507" s="6"/>
      <c r="J507" s="6"/>
      <c r="K507" s="7"/>
    </row>
    <row r="508" spans="1:11">
      <c r="A508" s="6" t="s">
        <v>9</v>
      </c>
      <c r="B508" s="6">
        <v>54102</v>
      </c>
      <c r="C508" s="6">
        <v>54310</v>
      </c>
      <c r="D508" s="6">
        <f t="shared" si="43"/>
        <v>208</v>
      </c>
      <c r="E508" s="7">
        <v>-70282.89</v>
      </c>
      <c r="F508" s="6"/>
      <c r="G508" s="6" t="s">
        <v>18</v>
      </c>
      <c r="H508" s="6" t="s">
        <v>94</v>
      </c>
      <c r="I508" s="6">
        <v>32</v>
      </c>
      <c r="J508" s="6">
        <f>D510/I508</f>
        <v>21.96875</v>
      </c>
      <c r="K508" s="7">
        <f>E508/D510</f>
        <v>-99.975661450924605</v>
      </c>
    </row>
    <row r="509" spans="1:11">
      <c r="A509" s="6" t="s">
        <v>10</v>
      </c>
      <c r="B509" s="6"/>
      <c r="C509" s="6"/>
      <c r="D509" s="6">
        <f>D505+D506</f>
        <v>736</v>
      </c>
      <c r="E509" s="7">
        <f>E505</f>
        <v>16319.166999999999</v>
      </c>
      <c r="F509" s="6"/>
      <c r="G509" s="6"/>
      <c r="H509" s="6"/>
      <c r="I509" s="6"/>
      <c r="J509" s="6"/>
      <c r="K509" s="6"/>
    </row>
    <row r="510" spans="1:11">
      <c r="A510" s="6" t="s">
        <v>11</v>
      </c>
      <c r="B510" s="6"/>
      <c r="C510" s="6"/>
      <c r="D510" s="6">
        <f>D507+D508</f>
        <v>703</v>
      </c>
      <c r="E510" s="7">
        <f>E508+F508</f>
        <v>-70282.89</v>
      </c>
      <c r="F510" s="6"/>
      <c r="G510" s="6"/>
      <c r="H510" s="6"/>
      <c r="I510" s="6"/>
      <c r="J510" s="6"/>
      <c r="K510" s="6"/>
    </row>
    <row r="511" spans="1:11">
      <c r="A511" s="6" t="s">
        <v>12</v>
      </c>
      <c r="B511" s="6"/>
      <c r="C511" s="6"/>
      <c r="D511" s="6"/>
      <c r="E511" s="7">
        <f>E509-E510</f>
        <v>86602.057000000001</v>
      </c>
      <c r="F511" s="6"/>
      <c r="G511" s="6"/>
      <c r="H511" s="6"/>
      <c r="I511" s="6"/>
      <c r="J511" s="6"/>
      <c r="K511" s="6"/>
    </row>
    <row r="513" spans="1:11">
      <c r="A513" s="14">
        <v>44652</v>
      </c>
      <c r="B513" s="2"/>
      <c r="C513" s="2"/>
      <c r="D513" s="2"/>
      <c r="E513" s="2"/>
    </row>
    <row r="514" spans="1:11">
      <c r="A514" s="3" t="s">
        <v>1</v>
      </c>
      <c r="B514" s="3" t="s">
        <v>2</v>
      </c>
      <c r="C514" s="3" t="s">
        <v>3</v>
      </c>
      <c r="D514" s="3" t="s">
        <v>4</v>
      </c>
      <c r="E514" s="3" t="s">
        <v>5</v>
      </c>
      <c r="F514" s="3" t="s">
        <v>83</v>
      </c>
      <c r="G514" s="3" t="s">
        <v>13</v>
      </c>
      <c r="H514" s="3" t="s">
        <v>14</v>
      </c>
      <c r="I514" s="3" t="s">
        <v>15</v>
      </c>
      <c r="J514" s="3" t="s">
        <v>16</v>
      </c>
      <c r="K514" s="3" t="s">
        <v>17</v>
      </c>
    </row>
    <row r="515" spans="1:11">
      <c r="A515" s="6" t="s">
        <v>6</v>
      </c>
      <c r="B515" s="6">
        <f>C505</f>
        <v>54550</v>
      </c>
      <c r="C515" s="6">
        <v>54712</v>
      </c>
      <c r="D515" s="6">
        <f>C515-B515</f>
        <v>162</v>
      </c>
      <c r="E515" s="7">
        <f>14190.58*1.15</f>
        <v>16319.166999999999</v>
      </c>
      <c r="F515" s="6"/>
      <c r="G515" s="6" t="s">
        <v>18</v>
      </c>
      <c r="H515" s="6" t="s">
        <v>96</v>
      </c>
      <c r="I515" s="6">
        <v>28</v>
      </c>
      <c r="J515" s="6">
        <f>D519/I515</f>
        <v>14.928571428571429</v>
      </c>
      <c r="K515" s="7">
        <f>E515/D519</f>
        <v>39.041069377990432</v>
      </c>
    </row>
    <row r="516" spans="1:11">
      <c r="A516" s="6" t="s">
        <v>7</v>
      </c>
      <c r="B516" s="6">
        <f t="shared" ref="B516" si="44">C506</f>
        <v>57358</v>
      </c>
      <c r="C516" s="6">
        <v>57614</v>
      </c>
      <c r="D516" s="6">
        <f t="shared" ref="D516:D518" si="45">C516-B516</f>
        <v>256</v>
      </c>
      <c r="E516" s="7"/>
      <c r="F516" s="6"/>
      <c r="G516" s="6"/>
      <c r="H516" s="6"/>
      <c r="I516" s="6"/>
      <c r="J516" s="6"/>
      <c r="K516" s="6"/>
    </row>
    <row r="517" spans="1:11">
      <c r="A517" s="6" t="s">
        <v>8</v>
      </c>
      <c r="B517" s="6">
        <v>57224</v>
      </c>
      <c r="C517" s="6">
        <v>57599</v>
      </c>
      <c r="D517" s="6">
        <f t="shared" si="45"/>
        <v>375</v>
      </c>
      <c r="E517" s="7"/>
      <c r="F517" s="6"/>
      <c r="G517" s="6"/>
      <c r="H517" s="6"/>
      <c r="I517" s="6"/>
      <c r="J517" s="6"/>
      <c r="K517" s="7"/>
    </row>
    <row r="518" spans="1:11">
      <c r="A518" s="6" t="s">
        <v>9</v>
      </c>
      <c r="B518" s="6">
        <v>54492</v>
      </c>
      <c r="C518" s="6">
        <v>54703</v>
      </c>
      <c r="D518" s="6">
        <f t="shared" si="45"/>
        <v>211</v>
      </c>
      <c r="E518" s="7">
        <v>5544.38</v>
      </c>
      <c r="F518" s="6">
        <v>6249.1</v>
      </c>
      <c r="G518" s="6" t="s">
        <v>18</v>
      </c>
      <c r="H518" s="6" t="s">
        <v>97</v>
      </c>
      <c r="I518" s="6">
        <v>33</v>
      </c>
      <c r="J518" s="6">
        <f>D520/I518</f>
        <v>17.757575757575758</v>
      </c>
      <c r="K518" s="7">
        <f>E518/D520</f>
        <v>9.4613993174061441</v>
      </c>
    </row>
    <row r="519" spans="1:11">
      <c r="A519" s="6" t="s">
        <v>10</v>
      </c>
      <c r="B519" s="6"/>
      <c r="C519" s="6"/>
      <c r="D519" s="6">
        <f>D515+D516</f>
        <v>418</v>
      </c>
      <c r="E519" s="7">
        <f>E515</f>
        <v>16319.166999999999</v>
      </c>
      <c r="F519" s="6"/>
      <c r="G519" s="6"/>
      <c r="H519" s="6"/>
      <c r="I519" s="6"/>
      <c r="J519" s="6"/>
      <c r="K519" s="6"/>
    </row>
    <row r="520" spans="1:11">
      <c r="A520" s="6" t="s">
        <v>11</v>
      </c>
      <c r="B520" s="6"/>
      <c r="C520" s="6"/>
      <c r="D520" s="6">
        <f>D517+D518</f>
        <v>586</v>
      </c>
      <c r="E520" s="7">
        <f>E518+F518</f>
        <v>11793.48</v>
      </c>
      <c r="F520" s="6"/>
      <c r="G520" s="6"/>
      <c r="H520" s="6"/>
      <c r="I520" s="6"/>
      <c r="J520" s="6"/>
      <c r="K520" s="6"/>
    </row>
    <row r="521" spans="1:11">
      <c r="A521" s="6" t="s">
        <v>12</v>
      </c>
      <c r="B521" s="6"/>
      <c r="C521" s="6"/>
      <c r="D521" s="6"/>
      <c r="E521" s="7">
        <f>E519-E520</f>
        <v>4525.6869999999999</v>
      </c>
      <c r="F521" s="6"/>
      <c r="G521" s="6"/>
      <c r="H521" s="6"/>
      <c r="I521" s="6"/>
      <c r="J521" s="6"/>
      <c r="K521" s="6"/>
    </row>
    <row r="523" spans="1:11">
      <c r="A523" s="14">
        <v>44682</v>
      </c>
      <c r="B523" s="2"/>
      <c r="C523" s="2"/>
      <c r="D523" s="2"/>
      <c r="E523" s="2"/>
    </row>
    <row r="524" spans="1:11">
      <c r="A524" s="3" t="s">
        <v>1</v>
      </c>
      <c r="B524" s="3" t="s">
        <v>2</v>
      </c>
      <c r="C524" s="3" t="s">
        <v>3</v>
      </c>
      <c r="D524" s="3" t="s">
        <v>4</v>
      </c>
      <c r="E524" s="3" t="s">
        <v>5</v>
      </c>
      <c r="F524" s="3" t="s">
        <v>83</v>
      </c>
      <c r="G524" s="3" t="s">
        <v>13</v>
      </c>
      <c r="H524" s="3" t="s">
        <v>14</v>
      </c>
      <c r="I524" s="3" t="s">
        <v>15</v>
      </c>
      <c r="J524" s="3" t="s">
        <v>16</v>
      </c>
      <c r="K524" s="3" t="s">
        <v>17</v>
      </c>
    </row>
    <row r="525" spans="1:11">
      <c r="A525" s="6" t="s">
        <v>6</v>
      </c>
      <c r="B525" s="6">
        <f>C515</f>
        <v>54712</v>
      </c>
      <c r="C525" s="6">
        <v>54884</v>
      </c>
      <c r="D525" s="6">
        <f>C525-B525</f>
        <v>172</v>
      </c>
      <c r="E525" s="7">
        <f>14190.58*1.15</f>
        <v>16319.166999999999</v>
      </c>
      <c r="F525" s="6"/>
      <c r="G525" s="6" t="s">
        <v>18</v>
      </c>
      <c r="H525" s="6" t="s">
        <v>98</v>
      </c>
      <c r="I525" s="6">
        <v>39</v>
      </c>
      <c r="J525" s="6">
        <f>D529/I525</f>
        <v>16.717948717948719</v>
      </c>
      <c r="K525" s="7">
        <f>E525/D529</f>
        <v>25.029397239263801</v>
      </c>
    </row>
    <row r="526" spans="1:11">
      <c r="A526" s="6" t="s">
        <v>7</v>
      </c>
      <c r="B526" s="6">
        <f t="shared" ref="B526" si="46">C516</f>
        <v>57614</v>
      </c>
      <c r="C526" s="6">
        <v>58094</v>
      </c>
      <c r="D526" s="6">
        <f t="shared" ref="D526:D528" si="47">C526-B526</f>
        <v>480</v>
      </c>
      <c r="E526" s="7"/>
      <c r="F526" s="6"/>
      <c r="G526" s="6"/>
      <c r="H526" s="6"/>
      <c r="I526" s="6"/>
      <c r="J526" s="6"/>
      <c r="K526" s="6"/>
    </row>
    <row r="527" spans="1:11">
      <c r="A527" s="6" t="s">
        <v>8</v>
      </c>
      <c r="B527" s="6">
        <f>C517</f>
        <v>57599</v>
      </c>
      <c r="C527" s="6">
        <v>57750</v>
      </c>
      <c r="D527" s="6">
        <f t="shared" si="47"/>
        <v>151</v>
      </c>
      <c r="E527" s="7"/>
      <c r="F527" s="6"/>
      <c r="G527" s="6"/>
      <c r="H527" s="6"/>
      <c r="I527" s="6"/>
      <c r="J527" s="6"/>
      <c r="K527" s="7"/>
    </row>
    <row r="528" spans="1:11">
      <c r="A528" s="6" t="s">
        <v>9</v>
      </c>
      <c r="B528" s="6">
        <f>C518</f>
        <v>54703</v>
      </c>
      <c r="C528" s="6">
        <v>54912</v>
      </c>
      <c r="D528" s="6">
        <f t="shared" si="47"/>
        <v>209</v>
      </c>
      <c r="E528" s="7">
        <v>4734.17</v>
      </c>
      <c r="F528" s="6">
        <f>1032.56+79.28</f>
        <v>1111.8399999999999</v>
      </c>
      <c r="G528" s="6" t="s">
        <v>42</v>
      </c>
      <c r="H528" s="6" t="s">
        <v>99</v>
      </c>
      <c r="I528" s="6">
        <v>28</v>
      </c>
      <c r="J528" s="6">
        <f>D530/I528</f>
        <v>12.857142857142858</v>
      </c>
      <c r="K528" s="7">
        <f>E528/D530</f>
        <v>13.150472222222222</v>
      </c>
    </row>
    <row r="529" spans="1:11">
      <c r="A529" s="6" t="s">
        <v>10</v>
      </c>
      <c r="B529" s="6"/>
      <c r="C529" s="6"/>
      <c r="D529" s="6">
        <f>D525+D526</f>
        <v>652</v>
      </c>
      <c r="E529" s="7">
        <f>E525</f>
        <v>16319.166999999999</v>
      </c>
      <c r="F529" s="6"/>
      <c r="G529" s="6"/>
      <c r="H529" s="6"/>
      <c r="I529" s="6"/>
      <c r="J529" s="6"/>
      <c r="K529" s="6"/>
    </row>
    <row r="530" spans="1:11">
      <c r="A530" s="6" t="s">
        <v>11</v>
      </c>
      <c r="B530" s="6"/>
      <c r="C530" s="6"/>
      <c r="D530" s="6">
        <f>D527+D528</f>
        <v>360</v>
      </c>
      <c r="E530" s="7">
        <f>E528+F528</f>
        <v>5846.01</v>
      </c>
      <c r="F530" s="6"/>
      <c r="G530" s="6"/>
      <c r="H530" s="6"/>
      <c r="I530" s="6"/>
      <c r="J530" s="6"/>
      <c r="K530" s="6"/>
    </row>
    <row r="531" spans="1:11">
      <c r="A531" s="6" t="s">
        <v>12</v>
      </c>
      <c r="B531" s="6"/>
      <c r="C531" s="6"/>
      <c r="D531" s="6"/>
      <c r="E531" s="7">
        <f>E529-E530</f>
        <v>10473.156999999999</v>
      </c>
      <c r="F531" s="6"/>
      <c r="G531" s="6"/>
      <c r="H531" s="6"/>
      <c r="I531" s="6"/>
      <c r="J531" s="6"/>
      <c r="K531" s="6"/>
    </row>
    <row r="533" spans="1:11">
      <c r="A533" s="14">
        <v>44713</v>
      </c>
      <c r="B533" s="2"/>
      <c r="C533" s="2"/>
      <c r="D533" s="2"/>
      <c r="E533" s="2"/>
    </row>
    <row r="534" spans="1:11">
      <c r="A534" s="3" t="s">
        <v>1</v>
      </c>
      <c r="B534" s="3" t="s">
        <v>2</v>
      </c>
      <c r="C534" s="3" t="s">
        <v>3</v>
      </c>
      <c r="D534" s="3" t="s">
        <v>4</v>
      </c>
      <c r="E534" s="3" t="s">
        <v>5</v>
      </c>
      <c r="F534" s="3" t="s">
        <v>83</v>
      </c>
      <c r="G534" s="3" t="s">
        <v>13</v>
      </c>
      <c r="H534" s="3" t="s">
        <v>14</v>
      </c>
      <c r="I534" s="3" t="s">
        <v>15</v>
      </c>
      <c r="J534" s="3" t="s">
        <v>16</v>
      </c>
      <c r="K534" s="3" t="s">
        <v>17</v>
      </c>
    </row>
    <row r="535" spans="1:11">
      <c r="A535" s="6" t="s">
        <v>6</v>
      </c>
      <c r="B535" s="6">
        <f>C525</f>
        <v>54884</v>
      </c>
      <c r="C535" s="6">
        <v>55277</v>
      </c>
      <c r="D535" s="6">
        <f>C535-B535</f>
        <v>393</v>
      </c>
      <c r="E535" s="7">
        <f>14190.58*1.15</f>
        <v>16319.166999999999</v>
      </c>
      <c r="F535" s="6"/>
      <c r="G535" s="6" t="s">
        <v>18</v>
      </c>
      <c r="H535" s="6" t="s">
        <v>100</v>
      </c>
      <c r="I535" s="6">
        <v>30</v>
      </c>
      <c r="J535" s="6">
        <f>D539/I535</f>
        <v>14.1</v>
      </c>
      <c r="K535" s="7">
        <f>E535/D539</f>
        <v>38.579591016548463</v>
      </c>
    </row>
    <row r="536" spans="1:11">
      <c r="A536" s="6" t="s">
        <v>7</v>
      </c>
      <c r="B536" s="6">
        <f t="shared" ref="B536" si="48">C526</f>
        <v>58094</v>
      </c>
      <c r="C536" s="6">
        <v>58124</v>
      </c>
      <c r="D536" s="6">
        <f t="shared" ref="D536:D538" si="49">C536-B536</f>
        <v>30</v>
      </c>
      <c r="E536" s="7"/>
      <c r="F536" s="6"/>
      <c r="G536" s="6"/>
      <c r="H536" s="6"/>
      <c r="I536" s="6"/>
      <c r="J536" s="6"/>
      <c r="K536" s="6"/>
    </row>
    <row r="537" spans="1:11">
      <c r="A537" s="6" t="s">
        <v>8</v>
      </c>
      <c r="B537" s="6">
        <f>C527</f>
        <v>57750</v>
      </c>
      <c r="C537" s="6">
        <v>58010</v>
      </c>
      <c r="D537" s="6">
        <f t="shared" si="49"/>
        <v>260</v>
      </c>
      <c r="E537" s="7"/>
      <c r="F537" s="6"/>
      <c r="G537" s="6"/>
      <c r="H537" s="6"/>
      <c r="I537" s="6"/>
      <c r="J537" s="6"/>
      <c r="K537" s="7"/>
    </row>
    <row r="538" spans="1:11">
      <c r="A538" s="6" t="s">
        <v>9</v>
      </c>
      <c r="B538" s="6">
        <f>C528</f>
        <v>54912</v>
      </c>
      <c r="C538" s="6">
        <v>55194</v>
      </c>
      <c r="D538" s="6">
        <f t="shared" si="49"/>
        <v>282</v>
      </c>
      <c r="E538" s="7">
        <v>5586.67</v>
      </c>
      <c r="F538" s="6">
        <v>5491.63</v>
      </c>
      <c r="G538" s="6" t="s">
        <v>18</v>
      </c>
      <c r="H538" s="6" t="s">
        <v>101</v>
      </c>
      <c r="I538" s="6">
        <v>29</v>
      </c>
      <c r="J538" s="6">
        <f>D540/I538</f>
        <v>18.689655172413794</v>
      </c>
      <c r="K538" s="7">
        <f>E538/D540</f>
        <v>10.30750922509225</v>
      </c>
    </row>
    <row r="539" spans="1:11">
      <c r="A539" s="6" t="s">
        <v>10</v>
      </c>
      <c r="B539" s="6"/>
      <c r="C539" s="6"/>
      <c r="D539" s="6">
        <f>D535+D536</f>
        <v>423</v>
      </c>
      <c r="E539" s="7">
        <f>E535</f>
        <v>16319.166999999999</v>
      </c>
      <c r="F539" s="6"/>
      <c r="G539" s="6"/>
      <c r="H539" s="6"/>
      <c r="I539" s="6"/>
      <c r="J539" s="6"/>
      <c r="K539" s="6"/>
    </row>
    <row r="540" spans="1:11">
      <c r="A540" s="6" t="s">
        <v>11</v>
      </c>
      <c r="B540" s="6"/>
      <c r="C540" s="6"/>
      <c r="D540" s="6">
        <f>D537+D538</f>
        <v>542</v>
      </c>
      <c r="E540" s="7">
        <f>E538+F538</f>
        <v>11078.3</v>
      </c>
      <c r="F540" s="6"/>
      <c r="G540" s="6"/>
      <c r="H540" s="6"/>
      <c r="I540" s="6"/>
      <c r="J540" s="6"/>
      <c r="K540" s="6"/>
    </row>
    <row r="541" spans="1:11">
      <c r="A541" s="6" t="s">
        <v>12</v>
      </c>
      <c r="B541" s="6"/>
      <c r="C541" s="6"/>
      <c r="D541" s="6"/>
      <c r="E541" s="7">
        <f>E539-E540</f>
        <v>5240.8670000000002</v>
      </c>
      <c r="F541" s="6"/>
      <c r="G541" s="6"/>
      <c r="H541" s="6"/>
      <c r="I541" s="6"/>
      <c r="J541" s="6"/>
      <c r="K541" s="6"/>
    </row>
    <row r="543" spans="1:11">
      <c r="A543" s="14">
        <v>44743</v>
      </c>
      <c r="B543" s="2"/>
      <c r="C543" s="2"/>
      <c r="D543" s="2"/>
      <c r="E543" s="2"/>
    </row>
    <row r="544" spans="1:11">
      <c r="A544" s="3" t="s">
        <v>1</v>
      </c>
      <c r="B544" s="3" t="s">
        <v>2</v>
      </c>
      <c r="C544" s="3" t="s">
        <v>3</v>
      </c>
      <c r="D544" s="3" t="s">
        <v>4</v>
      </c>
      <c r="E544" s="3" t="s">
        <v>5</v>
      </c>
      <c r="F544" s="3" t="s">
        <v>83</v>
      </c>
      <c r="G544" s="3" t="s">
        <v>13</v>
      </c>
      <c r="H544" s="3" t="s">
        <v>14</v>
      </c>
      <c r="I544" s="3" t="s">
        <v>15</v>
      </c>
      <c r="J544" s="3" t="s">
        <v>16</v>
      </c>
      <c r="K544" s="3" t="s">
        <v>17</v>
      </c>
    </row>
    <row r="545" spans="1:11">
      <c r="A545" s="6" t="s">
        <v>6</v>
      </c>
      <c r="B545" s="6">
        <f>C535</f>
        <v>55277</v>
      </c>
      <c r="C545" s="6">
        <v>55506</v>
      </c>
      <c r="D545" s="6">
        <f>C545-B545</f>
        <v>229</v>
      </c>
      <c r="E545" s="7">
        <f>14190.58*1.15</f>
        <v>16319.166999999999</v>
      </c>
      <c r="F545" s="6"/>
      <c r="G545" s="6" t="s">
        <v>18</v>
      </c>
      <c r="H545" s="6" t="s">
        <v>102</v>
      </c>
      <c r="I545" s="6">
        <v>27</v>
      </c>
      <c r="J545" s="6">
        <f>D549/I545</f>
        <v>22.185185185185187</v>
      </c>
      <c r="K545" s="7">
        <f>E545/D549</f>
        <v>27.244018363939897</v>
      </c>
    </row>
    <row r="546" spans="1:11">
      <c r="A546" s="6" t="s">
        <v>7</v>
      </c>
      <c r="B546" s="6">
        <f t="shared" ref="B546" si="50">C536</f>
        <v>58124</v>
      </c>
      <c r="C546" s="6">
        <v>58494</v>
      </c>
      <c r="D546" s="6">
        <f t="shared" ref="D546:D548" si="51">C546-B546</f>
        <v>370</v>
      </c>
      <c r="E546" s="7"/>
      <c r="F546" s="6"/>
      <c r="G546" s="6"/>
      <c r="H546" s="6"/>
      <c r="I546" s="6"/>
      <c r="J546" s="6"/>
      <c r="K546" s="6"/>
    </row>
    <row r="547" spans="1:11">
      <c r="A547" s="6" t="s">
        <v>8</v>
      </c>
      <c r="B547" s="6">
        <f>C537</f>
        <v>58010</v>
      </c>
      <c r="C547" s="6">
        <v>58398</v>
      </c>
      <c r="D547" s="6">
        <f t="shared" si="51"/>
        <v>388</v>
      </c>
      <c r="E547" s="7"/>
      <c r="F547" s="6"/>
      <c r="G547" s="6"/>
      <c r="H547" s="6"/>
      <c r="I547" s="6"/>
      <c r="J547" s="6"/>
      <c r="K547" s="7"/>
    </row>
    <row r="548" spans="1:11">
      <c r="A548" s="6" t="s">
        <v>9</v>
      </c>
      <c r="B548" s="6">
        <f>C538</f>
        <v>55194</v>
      </c>
      <c r="C548" s="6">
        <v>55455</v>
      </c>
      <c r="D548" s="6">
        <f t="shared" si="51"/>
        <v>261</v>
      </c>
      <c r="E548" s="7">
        <f>2013.74+6977.18</f>
        <v>8990.92</v>
      </c>
      <c r="F548" s="6">
        <v>5866.59</v>
      </c>
      <c r="G548" s="6" t="s">
        <v>18</v>
      </c>
      <c r="H548" s="6" t="s">
        <v>103</v>
      </c>
      <c r="I548" s="6">
        <v>29</v>
      </c>
      <c r="J548" s="6">
        <f>D550/I548</f>
        <v>22.379310344827587</v>
      </c>
      <c r="K548" s="7">
        <f>E548/D550</f>
        <v>13.853497688751926</v>
      </c>
    </row>
    <row r="549" spans="1:11">
      <c r="A549" s="6" t="s">
        <v>10</v>
      </c>
      <c r="B549" s="6"/>
      <c r="C549" s="6"/>
      <c r="D549" s="6">
        <f>D545+D546</f>
        <v>599</v>
      </c>
      <c r="E549" s="7">
        <f>E545</f>
        <v>16319.166999999999</v>
      </c>
      <c r="F549" s="6"/>
      <c r="G549" s="6"/>
      <c r="H549" s="6"/>
      <c r="I549" s="6"/>
      <c r="J549" s="6"/>
      <c r="K549" s="6"/>
    </row>
    <row r="550" spans="1:11">
      <c r="A550" s="6" t="s">
        <v>11</v>
      </c>
      <c r="B550" s="6"/>
      <c r="C550" s="6"/>
      <c r="D550" s="6">
        <f>D547+D548</f>
        <v>649</v>
      </c>
      <c r="E550" s="7">
        <f>E548+F548</f>
        <v>14857.51</v>
      </c>
      <c r="F550" s="6"/>
      <c r="G550" s="6"/>
      <c r="H550" s="6"/>
      <c r="I550" s="6"/>
      <c r="J550" s="6"/>
      <c r="K550" s="6"/>
    </row>
    <row r="551" spans="1:11">
      <c r="A551" s="6" t="s">
        <v>12</v>
      </c>
      <c r="B551" s="6"/>
      <c r="C551" s="6"/>
      <c r="D551" s="6"/>
      <c r="E551" s="7">
        <f>E549-E550</f>
        <v>1461.6569999999992</v>
      </c>
      <c r="F551" s="6"/>
      <c r="G551" s="6"/>
      <c r="H551" s="6"/>
      <c r="I551" s="6"/>
      <c r="J551" s="6"/>
      <c r="K551" s="6"/>
    </row>
    <row r="553" spans="1:11">
      <c r="A553" s="14">
        <v>44774</v>
      </c>
      <c r="B553" s="2"/>
      <c r="C553" s="2"/>
      <c r="D553" s="2"/>
      <c r="E553" s="2"/>
    </row>
    <row r="554" spans="1:11">
      <c r="A554" s="3" t="s">
        <v>1</v>
      </c>
      <c r="B554" s="3" t="s">
        <v>2</v>
      </c>
      <c r="C554" s="3" t="s">
        <v>3</v>
      </c>
      <c r="D554" s="3" t="s">
        <v>4</v>
      </c>
      <c r="E554" s="3" t="s">
        <v>5</v>
      </c>
      <c r="F554" s="3" t="s">
        <v>83</v>
      </c>
      <c r="G554" s="3" t="s">
        <v>13</v>
      </c>
      <c r="H554" s="3" t="s">
        <v>14</v>
      </c>
      <c r="I554" s="3" t="s">
        <v>15</v>
      </c>
      <c r="J554" s="3" t="s">
        <v>16</v>
      </c>
      <c r="K554" s="3" t="s">
        <v>17</v>
      </c>
    </row>
    <row r="555" spans="1:11">
      <c r="A555" s="6" t="s">
        <v>6</v>
      </c>
      <c r="B555" s="6">
        <f>C545</f>
        <v>55506</v>
      </c>
      <c r="C555" s="6">
        <v>55808</v>
      </c>
      <c r="D555" s="6">
        <f>C555-B555</f>
        <v>302</v>
      </c>
      <c r="E555" s="7">
        <f>14190.58*1.15</f>
        <v>16319.166999999999</v>
      </c>
      <c r="F555" s="6"/>
      <c r="G555" s="6" t="s">
        <v>18</v>
      </c>
      <c r="H555" s="6" t="s">
        <v>104</v>
      </c>
      <c r="I555" s="6">
        <v>29</v>
      </c>
      <c r="J555" s="6">
        <f>D559/I555</f>
        <v>26.896551724137932</v>
      </c>
      <c r="K555" s="7">
        <f>E555/D559</f>
        <v>20.922008974358974</v>
      </c>
    </row>
    <row r="556" spans="1:11">
      <c r="A556" s="6" t="s">
        <v>7</v>
      </c>
      <c r="B556" s="6">
        <f t="shared" ref="B556" si="52">C546</f>
        <v>58494</v>
      </c>
      <c r="C556" s="6">
        <v>58972</v>
      </c>
      <c r="D556" s="6">
        <f t="shared" ref="D556:D558" si="53">C556-B556</f>
        <v>478</v>
      </c>
      <c r="E556" s="7"/>
      <c r="F556" s="6"/>
      <c r="G556" s="6"/>
      <c r="H556" s="6"/>
      <c r="I556" s="6"/>
      <c r="J556" s="6"/>
      <c r="K556" s="6"/>
    </row>
    <row r="557" spans="1:11">
      <c r="A557" s="6" t="s">
        <v>8</v>
      </c>
      <c r="B557" s="6">
        <f>C547</f>
        <v>58398</v>
      </c>
      <c r="C557" s="6">
        <v>58818</v>
      </c>
      <c r="D557" s="6">
        <f t="shared" si="53"/>
        <v>420</v>
      </c>
      <c r="E557" s="7"/>
      <c r="F557" s="6"/>
      <c r="G557" s="6"/>
      <c r="H557" s="6"/>
      <c r="I557" s="6"/>
      <c r="J557" s="6"/>
      <c r="K557" s="7"/>
    </row>
    <row r="558" spans="1:11">
      <c r="A558" s="6" t="s">
        <v>9</v>
      </c>
      <c r="B558" s="6">
        <f>C548</f>
        <v>55455</v>
      </c>
      <c r="C558" s="6">
        <v>55691</v>
      </c>
      <c r="D558" s="6">
        <f t="shared" si="53"/>
        <v>236</v>
      </c>
      <c r="E558" s="7">
        <v>8388.74</v>
      </c>
      <c r="F558" s="6">
        <v>6605.11</v>
      </c>
      <c r="G558" s="6" t="s">
        <v>18</v>
      </c>
      <c r="H558" s="6" t="s">
        <v>105</v>
      </c>
      <c r="I558" s="6">
        <v>32</v>
      </c>
      <c r="J558" s="6">
        <f>D560/I558</f>
        <v>20.5</v>
      </c>
      <c r="K558" s="7">
        <f>E558/D560</f>
        <v>12.787713414634146</v>
      </c>
    </row>
    <row r="559" spans="1:11">
      <c r="A559" s="6" t="s">
        <v>10</v>
      </c>
      <c r="B559" s="6"/>
      <c r="C559" s="6"/>
      <c r="D559" s="6">
        <f>D555+D556</f>
        <v>780</v>
      </c>
      <c r="E559" s="7">
        <f>E555</f>
        <v>16319.166999999999</v>
      </c>
      <c r="F559" s="6"/>
      <c r="G559" s="6"/>
      <c r="H559" s="6"/>
      <c r="I559" s="6"/>
      <c r="J559" s="6"/>
      <c r="K559" s="6"/>
    </row>
    <row r="560" spans="1:11">
      <c r="A560" s="6" t="s">
        <v>11</v>
      </c>
      <c r="B560" s="6"/>
      <c r="C560" s="6"/>
      <c r="D560" s="6">
        <f>D557+D558</f>
        <v>656</v>
      </c>
      <c r="E560" s="7">
        <f>E558+F558</f>
        <v>14993.849999999999</v>
      </c>
      <c r="F560" s="6"/>
      <c r="G560" s="6"/>
      <c r="H560" s="6"/>
      <c r="I560" s="6"/>
      <c r="J560" s="6"/>
      <c r="K560" s="6"/>
    </row>
    <row r="561" spans="1:11">
      <c r="A561" s="6" t="s">
        <v>12</v>
      </c>
      <c r="B561" s="6"/>
      <c r="C561" s="6"/>
      <c r="D561" s="6"/>
      <c r="E561" s="7">
        <f>E559-E560</f>
        <v>1325.3170000000009</v>
      </c>
      <c r="F561" s="6"/>
      <c r="G561" s="6"/>
      <c r="H561" s="6"/>
      <c r="I561" s="6"/>
      <c r="J561" s="6"/>
      <c r="K561" s="6"/>
    </row>
    <row r="563" spans="1:11">
      <c r="A563" s="14">
        <v>44805</v>
      </c>
      <c r="B563" s="2"/>
      <c r="C563" s="2"/>
      <c r="D563" s="2"/>
      <c r="E563" s="2"/>
    </row>
    <row r="564" spans="1:11">
      <c r="A564" s="3" t="s">
        <v>1</v>
      </c>
      <c r="B564" s="3" t="s">
        <v>2</v>
      </c>
      <c r="C564" s="3" t="s">
        <v>3</v>
      </c>
      <c r="D564" s="3" t="s">
        <v>4</v>
      </c>
      <c r="E564" s="3" t="s">
        <v>5</v>
      </c>
      <c r="F564" s="3" t="s">
        <v>83</v>
      </c>
      <c r="G564" s="3" t="s">
        <v>13</v>
      </c>
      <c r="H564" s="3" t="s">
        <v>14</v>
      </c>
      <c r="I564" s="3" t="s">
        <v>15</v>
      </c>
      <c r="J564" s="3" t="s">
        <v>16</v>
      </c>
      <c r="K564" s="3" t="s">
        <v>17</v>
      </c>
    </row>
    <row r="565" spans="1:11">
      <c r="A565" s="6" t="s">
        <v>6</v>
      </c>
      <c r="B565" s="6">
        <f>C555</f>
        <v>55808</v>
      </c>
      <c r="C565" s="6">
        <v>56060</v>
      </c>
      <c r="D565" s="6">
        <f>C565-B565</f>
        <v>252</v>
      </c>
      <c r="E565" s="7">
        <f>14190.58*1.15</f>
        <v>16319.166999999999</v>
      </c>
      <c r="F565" s="6"/>
      <c r="G565" s="6" t="s">
        <v>18</v>
      </c>
      <c r="H565" s="6" t="s">
        <v>106</v>
      </c>
      <c r="I565" s="6">
        <v>26</v>
      </c>
      <c r="J565" s="6">
        <f>D569/I565</f>
        <v>22.807692307692307</v>
      </c>
      <c r="K565" s="7">
        <f>E565/D569</f>
        <v>27.519674536256321</v>
      </c>
    </row>
    <row r="566" spans="1:11">
      <c r="A566" s="6" t="s">
        <v>7</v>
      </c>
      <c r="B566" s="6">
        <f t="shared" ref="B566" si="54">C556</f>
        <v>58972</v>
      </c>
      <c r="C566" s="6">
        <v>59313</v>
      </c>
      <c r="D566" s="6">
        <f t="shared" ref="D566:D568" si="55">C566-B566</f>
        <v>341</v>
      </c>
      <c r="E566" s="7"/>
      <c r="F566" s="6"/>
      <c r="G566" s="6"/>
      <c r="H566" s="6"/>
      <c r="I566" s="6"/>
      <c r="J566" s="6"/>
      <c r="K566" s="6"/>
    </row>
    <row r="567" spans="1:11">
      <c r="A567" s="6" t="s">
        <v>8</v>
      </c>
      <c r="B567" s="6">
        <f>C557</f>
        <v>58818</v>
      </c>
      <c r="C567" s="6">
        <v>59254</v>
      </c>
      <c r="D567" s="6">
        <f t="shared" si="55"/>
        <v>436</v>
      </c>
      <c r="E567" s="7"/>
      <c r="F567" s="6"/>
      <c r="G567" s="6"/>
      <c r="H567" s="6"/>
      <c r="I567" s="6"/>
      <c r="J567" s="6"/>
      <c r="K567" s="7"/>
    </row>
    <row r="568" spans="1:11">
      <c r="A568" s="6" t="s">
        <v>9</v>
      </c>
      <c r="B568" s="6">
        <f>C558</f>
        <v>55691</v>
      </c>
      <c r="C568" s="6">
        <v>56014</v>
      </c>
      <c r="D568" s="6">
        <f t="shared" si="55"/>
        <v>323</v>
      </c>
      <c r="E568" s="7">
        <v>12215.59</v>
      </c>
      <c r="F568" s="6">
        <v>6398.7</v>
      </c>
      <c r="G568" s="6" t="s">
        <v>18</v>
      </c>
      <c r="H568" s="6" t="s">
        <v>107</v>
      </c>
      <c r="I568" s="6">
        <v>31</v>
      </c>
      <c r="J568" s="6">
        <f>D570/I568</f>
        <v>24.483870967741936</v>
      </c>
      <c r="K568" s="7">
        <f>E568/D570</f>
        <v>16.094321475625822</v>
      </c>
    </row>
    <row r="569" spans="1:11">
      <c r="A569" s="6" t="s">
        <v>10</v>
      </c>
      <c r="B569" s="6"/>
      <c r="C569" s="6"/>
      <c r="D569" s="6">
        <f>D565+D566</f>
        <v>593</v>
      </c>
      <c r="E569" s="7">
        <f>E565</f>
        <v>16319.166999999999</v>
      </c>
      <c r="F569" s="6"/>
      <c r="G569" s="6"/>
      <c r="H569" s="6"/>
      <c r="I569" s="6"/>
      <c r="J569" s="6"/>
      <c r="K569" s="6"/>
    </row>
    <row r="570" spans="1:11">
      <c r="A570" s="6" t="s">
        <v>11</v>
      </c>
      <c r="B570" s="6"/>
      <c r="C570" s="6"/>
      <c r="D570" s="6">
        <f>D567+D568</f>
        <v>759</v>
      </c>
      <c r="E570" s="7">
        <f>E568+F568</f>
        <v>18614.29</v>
      </c>
      <c r="F570" s="6"/>
      <c r="G570" s="6"/>
      <c r="H570" s="6"/>
      <c r="I570" s="6"/>
      <c r="J570" s="6"/>
      <c r="K570" s="6"/>
    </row>
    <row r="571" spans="1:11">
      <c r="A571" s="6" t="s">
        <v>12</v>
      </c>
      <c r="B571" s="6"/>
      <c r="C571" s="6"/>
      <c r="D571" s="6"/>
      <c r="E571" s="7">
        <f>E569-E570</f>
        <v>-2295.1230000000014</v>
      </c>
      <c r="F571" s="6"/>
      <c r="G571" s="6"/>
      <c r="H571" s="6"/>
      <c r="I571" s="6"/>
      <c r="J571" s="6"/>
      <c r="K571" s="6"/>
    </row>
    <row r="573" spans="1:11">
      <c r="A573" s="14">
        <v>44835</v>
      </c>
      <c r="B573" s="2"/>
      <c r="C573" s="2"/>
      <c r="D573" s="2"/>
      <c r="E573" s="2"/>
    </row>
    <row r="574" spans="1:11">
      <c r="A574" s="3" t="s">
        <v>1</v>
      </c>
      <c r="B574" s="3" t="s">
        <v>2</v>
      </c>
      <c r="C574" s="3" t="s">
        <v>3</v>
      </c>
      <c r="D574" s="3" t="s">
        <v>4</v>
      </c>
      <c r="E574" s="3" t="s">
        <v>5</v>
      </c>
      <c r="F574" s="3" t="s">
        <v>83</v>
      </c>
      <c r="G574" s="3" t="s">
        <v>13</v>
      </c>
      <c r="H574" s="3" t="s">
        <v>14</v>
      </c>
      <c r="I574" s="3" t="s">
        <v>15</v>
      </c>
      <c r="J574" s="3" t="s">
        <v>16</v>
      </c>
      <c r="K574" s="3" t="s">
        <v>17</v>
      </c>
    </row>
    <row r="575" spans="1:11">
      <c r="A575" s="6" t="s">
        <v>6</v>
      </c>
      <c r="B575" s="6">
        <f>C565</f>
        <v>56060</v>
      </c>
      <c r="C575" s="6">
        <v>56214</v>
      </c>
      <c r="D575" s="6">
        <f>C575-B575</f>
        <v>154</v>
      </c>
      <c r="E575" s="7">
        <f>7557.14*1.15</f>
        <v>8690.7109999999993</v>
      </c>
      <c r="F575" s="6">
        <f>(141.7*38)*1.15</f>
        <v>6192.2899999999991</v>
      </c>
      <c r="G575" s="6" t="s">
        <v>18</v>
      </c>
      <c r="H575" s="6" t="s">
        <v>108</v>
      </c>
      <c r="I575" s="6">
        <v>32</v>
      </c>
      <c r="J575" s="6">
        <f>D579/I575</f>
        <v>15.125</v>
      </c>
      <c r="K575" s="7">
        <f>E575/D579</f>
        <v>17.956014462809915</v>
      </c>
    </row>
    <row r="576" spans="1:11">
      <c r="A576" s="6" t="s">
        <v>7</v>
      </c>
      <c r="B576" s="6">
        <f t="shared" ref="B576" si="56">C566</f>
        <v>59313</v>
      </c>
      <c r="C576" s="6">
        <v>59643</v>
      </c>
      <c r="D576" s="6">
        <f t="shared" ref="D576:D578" si="57">C576-B576</f>
        <v>330</v>
      </c>
      <c r="E576" s="7"/>
      <c r="F576" s="6"/>
      <c r="G576" s="6"/>
      <c r="H576" s="6"/>
      <c r="I576" s="6"/>
      <c r="J576" s="6"/>
      <c r="K576" s="6"/>
    </row>
    <row r="577" spans="1:11">
      <c r="A577" s="6" t="s">
        <v>8</v>
      </c>
      <c r="B577" s="6">
        <f>C567</f>
        <v>59254</v>
      </c>
      <c r="C577" s="6">
        <v>59598</v>
      </c>
      <c r="D577" s="6">
        <f t="shared" si="57"/>
        <v>344</v>
      </c>
      <c r="E577" s="7"/>
      <c r="F577" s="6"/>
      <c r="G577" s="6"/>
      <c r="H577" s="6"/>
      <c r="I577" s="6"/>
      <c r="J577" s="6"/>
      <c r="K577" s="7"/>
    </row>
    <row r="578" spans="1:11">
      <c r="A578" s="6" t="s">
        <v>9</v>
      </c>
      <c r="B578" s="6">
        <f>C568</f>
        <v>56014</v>
      </c>
      <c r="C578" s="6">
        <v>56207</v>
      </c>
      <c r="D578" s="6">
        <f t="shared" si="57"/>
        <v>193</v>
      </c>
      <c r="E578" s="7">
        <v>4303.84</v>
      </c>
      <c r="F578" s="6">
        <v>7017.93</v>
      </c>
      <c r="G578" s="6" t="s">
        <v>18</v>
      </c>
      <c r="H578" s="6" t="s">
        <v>109</v>
      </c>
      <c r="I578" s="6">
        <v>34</v>
      </c>
      <c r="J578" s="6">
        <f>D580/I578</f>
        <v>15.794117647058824</v>
      </c>
      <c r="K578" s="7">
        <f>E578/D580</f>
        <v>8.0145996275605214</v>
      </c>
    </row>
    <row r="579" spans="1:11">
      <c r="A579" s="6" t="s">
        <v>10</v>
      </c>
      <c r="B579" s="6"/>
      <c r="C579" s="6"/>
      <c r="D579" s="6">
        <f>D575+D576</f>
        <v>484</v>
      </c>
      <c r="E579" s="7">
        <f>E575+F575</f>
        <v>14883.000999999998</v>
      </c>
      <c r="F579" s="6"/>
      <c r="G579" s="6"/>
      <c r="H579" s="6"/>
      <c r="I579" s="6"/>
      <c r="J579" s="6"/>
      <c r="K579" s="6"/>
    </row>
    <row r="580" spans="1:11">
      <c r="A580" s="6" t="s">
        <v>11</v>
      </c>
      <c r="B580" s="6"/>
      <c r="C580" s="6"/>
      <c r="D580" s="6">
        <f>D577+D578</f>
        <v>537</v>
      </c>
      <c r="E580" s="7">
        <f>E578+F578</f>
        <v>11321.77</v>
      </c>
      <c r="F580" s="6"/>
      <c r="G580" s="6"/>
      <c r="H580" s="6"/>
      <c r="I580" s="6"/>
      <c r="J580" s="6"/>
      <c r="K580" s="6"/>
    </row>
    <row r="581" spans="1:11">
      <c r="A581" s="6" t="s">
        <v>12</v>
      </c>
      <c r="B581" s="6"/>
      <c r="C581" s="6"/>
      <c r="D581" s="6"/>
      <c r="E581" s="7">
        <f>E579-E580</f>
        <v>3561.2309999999979</v>
      </c>
      <c r="F581" s="6"/>
      <c r="G581" s="6"/>
      <c r="H581" s="6"/>
      <c r="I581" s="6"/>
      <c r="J581" s="6"/>
      <c r="K581" s="6"/>
    </row>
    <row r="583" spans="1:11">
      <c r="A583" s="14">
        <v>44866</v>
      </c>
      <c r="B583" s="2"/>
      <c r="C583" s="2"/>
      <c r="D583" s="2"/>
      <c r="E583" s="2"/>
    </row>
    <row r="584" spans="1:11">
      <c r="A584" s="3" t="s">
        <v>1</v>
      </c>
      <c r="B584" s="3" t="s">
        <v>2</v>
      </c>
      <c r="C584" s="3" t="s">
        <v>3</v>
      </c>
      <c r="D584" s="3" t="s">
        <v>4</v>
      </c>
      <c r="E584" s="3" t="s">
        <v>5</v>
      </c>
      <c r="F584" s="3" t="s">
        <v>83</v>
      </c>
      <c r="G584" s="3" t="s">
        <v>13</v>
      </c>
      <c r="H584" s="3" t="s">
        <v>14</v>
      </c>
      <c r="I584" s="3" t="s">
        <v>15</v>
      </c>
      <c r="J584" s="3" t="s">
        <v>16</v>
      </c>
      <c r="K584" s="3" t="s">
        <v>17</v>
      </c>
    </row>
    <row r="585" spans="1:11">
      <c r="A585" s="6" t="s">
        <v>6</v>
      </c>
      <c r="B585" s="6">
        <f>C575</f>
        <v>56214</v>
      </c>
      <c r="C585" s="6">
        <v>56279</v>
      </c>
      <c r="D585" s="6">
        <f>C585-B585</f>
        <v>65</v>
      </c>
      <c r="E585" s="7">
        <f>2331.02*1.15</f>
        <v>2680.6729999999998</v>
      </c>
      <c r="F585" s="6">
        <f>(141.7*38)*1.15</f>
        <v>6192.2899999999991</v>
      </c>
      <c r="G585" s="6" t="s">
        <v>18</v>
      </c>
      <c r="H585" s="6" t="s">
        <v>110</v>
      </c>
      <c r="I585" s="6">
        <v>33</v>
      </c>
      <c r="J585" s="6">
        <f>D589/I585</f>
        <v>10.606060606060606</v>
      </c>
      <c r="K585" s="7">
        <f>E585/D589</f>
        <v>7.6590657142857133</v>
      </c>
    </row>
    <row r="586" spans="1:11">
      <c r="A586" s="6" t="s">
        <v>7</v>
      </c>
      <c r="B586" s="6">
        <f t="shared" ref="B586" si="58">C576</f>
        <v>59643</v>
      </c>
      <c r="C586" s="6">
        <v>59928</v>
      </c>
      <c r="D586" s="6">
        <f t="shared" ref="D586:D588" si="59">C586-B586</f>
        <v>285</v>
      </c>
      <c r="E586" s="7"/>
      <c r="F586" s="6"/>
      <c r="G586" s="6"/>
      <c r="H586" s="6"/>
      <c r="I586" s="6"/>
      <c r="J586" s="6"/>
      <c r="K586" s="6"/>
    </row>
    <row r="587" spans="1:11">
      <c r="A587" s="6" t="s">
        <v>8</v>
      </c>
      <c r="B587" s="6">
        <f>C577</f>
        <v>59598</v>
      </c>
      <c r="C587" s="6">
        <v>59846</v>
      </c>
      <c r="D587" s="6">
        <f t="shared" si="59"/>
        <v>248</v>
      </c>
      <c r="E587" s="7"/>
      <c r="F587" s="6"/>
      <c r="G587" s="6"/>
      <c r="H587" s="6"/>
      <c r="I587" s="6"/>
      <c r="J587" s="6"/>
      <c r="K587" s="7"/>
    </row>
    <row r="588" spans="1:11">
      <c r="A588" s="6" t="s">
        <v>9</v>
      </c>
      <c r="B588" s="6">
        <f>C578</f>
        <v>56207</v>
      </c>
      <c r="C588" s="6">
        <v>56257</v>
      </c>
      <c r="D588" s="6">
        <f t="shared" si="59"/>
        <v>50</v>
      </c>
      <c r="E588" s="7">
        <v>46.09</v>
      </c>
      <c r="F588" s="6">
        <v>5366.65</v>
      </c>
      <c r="G588" s="6" t="s">
        <v>18</v>
      </c>
      <c r="H588" s="6" t="s">
        <v>111</v>
      </c>
      <c r="I588" s="6">
        <v>26</v>
      </c>
      <c r="J588" s="6">
        <f>D590/I588</f>
        <v>11.461538461538462</v>
      </c>
      <c r="K588" s="7">
        <f>E588/D590</f>
        <v>0.15466442953020135</v>
      </c>
    </row>
    <row r="589" spans="1:11">
      <c r="A589" s="6" t="s">
        <v>10</v>
      </c>
      <c r="B589" s="6"/>
      <c r="C589" s="6"/>
      <c r="D589" s="6">
        <f>D585+D586</f>
        <v>350</v>
      </c>
      <c r="E589" s="7">
        <f>E585+F585</f>
        <v>8872.9629999999997</v>
      </c>
      <c r="F589" s="6"/>
      <c r="G589" s="6"/>
      <c r="H589" s="6"/>
      <c r="I589" s="6"/>
      <c r="J589" s="6"/>
      <c r="K589" s="6"/>
    </row>
    <row r="590" spans="1:11">
      <c r="A590" s="6" t="s">
        <v>11</v>
      </c>
      <c r="B590" s="6"/>
      <c r="C590" s="6"/>
      <c r="D590" s="6">
        <f>D587+D588</f>
        <v>298</v>
      </c>
      <c r="E590" s="7">
        <f>E588+F588</f>
        <v>5412.74</v>
      </c>
      <c r="F590" s="6"/>
      <c r="G590" s="6"/>
      <c r="H590" s="6"/>
      <c r="I590" s="6"/>
      <c r="J590" s="6"/>
      <c r="K590" s="6"/>
    </row>
    <row r="591" spans="1:11">
      <c r="A591" s="6" t="s">
        <v>12</v>
      </c>
      <c r="B591" s="6"/>
      <c r="C591" s="6"/>
      <c r="D591" s="6"/>
      <c r="E591" s="7">
        <f>E589-E590</f>
        <v>3460.223</v>
      </c>
      <c r="F591" s="6"/>
      <c r="G591" s="6"/>
      <c r="H591" s="6"/>
      <c r="I591" s="6"/>
      <c r="J591" s="6"/>
      <c r="K591" s="6"/>
    </row>
    <row r="593" spans="1:11">
      <c r="A593" s="14">
        <v>44896</v>
      </c>
      <c r="B593" s="2"/>
      <c r="C593" s="2"/>
      <c r="D593" s="2"/>
      <c r="E593" s="2"/>
    </row>
    <row r="594" spans="1:11">
      <c r="A594" s="3" t="s">
        <v>1</v>
      </c>
      <c r="B594" s="3" t="s">
        <v>2</v>
      </c>
      <c r="C594" s="3" t="s">
        <v>3</v>
      </c>
      <c r="D594" s="3" t="s">
        <v>4</v>
      </c>
      <c r="E594" s="3" t="s">
        <v>5</v>
      </c>
      <c r="F594" s="3" t="s">
        <v>83</v>
      </c>
      <c r="G594" s="3" t="s">
        <v>13</v>
      </c>
      <c r="H594" s="3" t="s">
        <v>14</v>
      </c>
      <c r="I594" s="3" t="s">
        <v>15</v>
      </c>
      <c r="J594" s="3" t="s">
        <v>16</v>
      </c>
      <c r="K594" s="3" t="s">
        <v>17</v>
      </c>
    </row>
    <row r="595" spans="1:11">
      <c r="A595" s="6" t="s">
        <v>6</v>
      </c>
      <c r="B595" s="6">
        <f>C585</f>
        <v>56279</v>
      </c>
      <c r="C595" s="6">
        <v>56352</v>
      </c>
      <c r="D595" s="6">
        <f>C595-B595</f>
        <v>73</v>
      </c>
      <c r="E595" s="7">
        <f>4692.66*1.15</f>
        <v>5396.5589999999993</v>
      </c>
      <c r="F595" s="6">
        <f>(141.7*38)*1.15</f>
        <v>6192.2899999999991</v>
      </c>
      <c r="G595" s="6" t="s">
        <v>18</v>
      </c>
      <c r="H595" s="6" t="s">
        <v>112</v>
      </c>
      <c r="I595" s="6">
        <v>31</v>
      </c>
      <c r="J595" s="6">
        <f>D599/I595</f>
        <v>14.870967741935484</v>
      </c>
      <c r="K595" s="7">
        <f>E595/D599</f>
        <v>11.706201735357917</v>
      </c>
    </row>
    <row r="596" spans="1:11">
      <c r="A596" s="6" t="s">
        <v>7</v>
      </c>
      <c r="B596" s="6">
        <f t="shared" ref="B596" si="60">C586</f>
        <v>59928</v>
      </c>
      <c r="C596" s="6">
        <v>60316</v>
      </c>
      <c r="D596" s="6">
        <f t="shared" ref="D596:D598" si="61">C596-B596</f>
        <v>388</v>
      </c>
      <c r="E596" s="7"/>
      <c r="F596" s="6"/>
      <c r="G596" s="6"/>
      <c r="H596" s="6"/>
      <c r="I596" s="6"/>
      <c r="J596" s="6"/>
      <c r="K596" s="6"/>
    </row>
    <row r="597" spans="1:11">
      <c r="A597" s="6" t="s">
        <v>8</v>
      </c>
      <c r="B597" s="6">
        <f>C587</f>
        <v>59846</v>
      </c>
      <c r="C597" s="6">
        <v>60514</v>
      </c>
      <c r="D597" s="6">
        <f t="shared" si="61"/>
        <v>668</v>
      </c>
      <c r="E597" s="7"/>
      <c r="F597" s="6"/>
      <c r="G597" s="6"/>
      <c r="H597" s="6"/>
      <c r="I597" s="6"/>
      <c r="J597" s="6"/>
      <c r="K597" s="7"/>
    </row>
    <row r="598" spans="1:11">
      <c r="A598" s="6" t="s">
        <v>9</v>
      </c>
      <c r="B598" s="6">
        <f>C588</f>
        <v>56257</v>
      </c>
      <c r="C598" s="6">
        <v>56450</v>
      </c>
      <c r="D598" s="6">
        <f t="shared" si="61"/>
        <v>193</v>
      </c>
      <c r="E598" s="7">
        <v>12829.34</v>
      </c>
      <c r="F598" s="6">
        <v>7637.16</v>
      </c>
      <c r="G598" s="6" t="s">
        <v>18</v>
      </c>
      <c r="H598" s="6" t="s">
        <v>113</v>
      </c>
      <c r="I598" s="6">
        <v>37</v>
      </c>
      <c r="J598" s="6">
        <f>D600/I598</f>
        <v>23.27027027027027</v>
      </c>
      <c r="K598" s="7">
        <f>E598/D600</f>
        <v>14.900511033681765</v>
      </c>
    </row>
    <row r="599" spans="1:11">
      <c r="A599" s="6" t="s">
        <v>10</v>
      </c>
      <c r="B599" s="6"/>
      <c r="C599" s="6"/>
      <c r="D599" s="6">
        <f>D595+D596</f>
        <v>461</v>
      </c>
      <c r="E599" s="7">
        <f>E595+F595</f>
        <v>11588.848999999998</v>
      </c>
      <c r="F599" s="6"/>
      <c r="G599" s="6"/>
      <c r="H599" s="6"/>
      <c r="I599" s="6"/>
      <c r="J599" s="6"/>
      <c r="K599" s="6"/>
    </row>
    <row r="600" spans="1:11">
      <c r="A600" s="6" t="s">
        <v>11</v>
      </c>
      <c r="B600" s="6"/>
      <c r="C600" s="6"/>
      <c r="D600" s="6">
        <f>D597+D598</f>
        <v>861</v>
      </c>
      <c r="E600" s="7">
        <f>E598+F598</f>
        <v>20466.5</v>
      </c>
      <c r="F600" s="6"/>
      <c r="G600" s="6"/>
      <c r="H600" s="6"/>
      <c r="I600" s="6"/>
      <c r="J600" s="6"/>
      <c r="K600" s="6"/>
    </row>
    <row r="601" spans="1:11">
      <c r="A601" s="6" t="s">
        <v>12</v>
      </c>
      <c r="B601" s="6"/>
      <c r="C601" s="6"/>
      <c r="D601" s="6"/>
      <c r="E601" s="7">
        <f>E599-E600</f>
        <v>-8877.6510000000017</v>
      </c>
      <c r="F601" s="6"/>
      <c r="G601" s="6"/>
      <c r="H601" s="6"/>
      <c r="I601" s="6"/>
      <c r="J601" s="6"/>
      <c r="K601" s="6"/>
    </row>
  </sheetData>
  <pageMargins left="0.7" right="0.7" top="0.75" bottom="0.75" header="0.3" footer="0.3"/>
  <pageSetup paperSize="9" scale="62" fitToHeight="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E1E6-099F-49DE-93BD-6B99389692D6}">
  <dimension ref="A1:AG21"/>
  <sheetViews>
    <sheetView tabSelected="1" topLeftCell="C1" workbookViewId="0">
      <selection activeCell="AG13" sqref="AG13"/>
    </sheetView>
  </sheetViews>
  <sheetFormatPr defaultRowHeight="15"/>
  <cols>
    <col min="12" max="12" width="2.5703125" customWidth="1"/>
    <col min="15" max="16" width="12.5703125" hidden="1" customWidth="1"/>
    <col min="17" max="17" width="17.42578125" hidden="1" customWidth="1"/>
    <col min="19" max="20" width="12.5703125" hidden="1" customWidth="1"/>
    <col min="21" max="21" width="17.42578125" hidden="1" customWidth="1"/>
    <col min="23" max="24" width="12.7109375" hidden="1" customWidth="1"/>
    <col min="25" max="25" width="17.42578125" hidden="1" customWidth="1"/>
    <col min="27" max="28" width="12.7109375" hidden="1" customWidth="1"/>
    <col min="29" max="29" width="17.42578125" hidden="1" customWidth="1"/>
    <col min="31" max="31" width="13.28515625" bestFit="1" customWidth="1"/>
    <col min="32" max="32" width="12.28515625" bestFit="1" customWidth="1"/>
    <col min="33" max="33" width="17.42578125" bestFit="1" customWidth="1"/>
  </cols>
  <sheetData>
    <row r="1" spans="1:33" ht="18.75">
      <c r="A1" s="4" t="s">
        <v>114</v>
      </c>
    </row>
    <row r="2" spans="1:33">
      <c r="O2" t="s">
        <v>115</v>
      </c>
      <c r="P2" t="s">
        <v>116</v>
      </c>
      <c r="Q2" t="s">
        <v>117</v>
      </c>
      <c r="S2" t="s">
        <v>115</v>
      </c>
      <c r="T2" t="s">
        <v>116</v>
      </c>
      <c r="U2" t="s">
        <v>117</v>
      </c>
      <c r="W2" t="s">
        <v>115</v>
      </c>
      <c r="X2" t="s">
        <v>116</v>
      </c>
      <c r="Y2" t="s">
        <v>117</v>
      </c>
      <c r="AA2" t="s">
        <v>115</v>
      </c>
      <c r="AB2" t="s">
        <v>116</v>
      </c>
      <c r="AC2" t="s">
        <v>117</v>
      </c>
      <c r="AE2" t="s">
        <v>115</v>
      </c>
      <c r="AF2" t="s">
        <v>116</v>
      </c>
      <c r="AG2" t="s">
        <v>117</v>
      </c>
    </row>
    <row r="3" spans="1:33">
      <c r="N3" s="1">
        <v>43466</v>
      </c>
      <c r="O3" s="8">
        <v>13177.96</v>
      </c>
      <c r="P3" s="8">
        <v>15753.297999999999</v>
      </c>
      <c r="Q3" s="12" t="s">
        <v>118</v>
      </c>
      <c r="R3" s="1">
        <v>43525</v>
      </c>
      <c r="S3" s="8">
        <v>13177.96</v>
      </c>
      <c r="T3" s="8">
        <v>11100.271499999999</v>
      </c>
      <c r="U3" s="12" t="s">
        <v>118</v>
      </c>
      <c r="V3" s="1">
        <v>43891</v>
      </c>
      <c r="W3" s="16">
        <v>15110.344499999999</v>
      </c>
      <c r="X3" s="8">
        <v>14759.12</v>
      </c>
      <c r="Y3" s="12" t="s">
        <v>119</v>
      </c>
      <c r="Z3" s="1">
        <v>44256</v>
      </c>
      <c r="AA3" s="16">
        <v>15110.344499999999</v>
      </c>
      <c r="AB3" s="8">
        <v>13560.57</v>
      </c>
      <c r="AC3" s="12" t="s">
        <v>118</v>
      </c>
      <c r="AD3" s="1">
        <v>44621</v>
      </c>
      <c r="AE3" s="16">
        <v>16319.166999999999</v>
      </c>
      <c r="AF3" s="8">
        <v>0</v>
      </c>
      <c r="AG3" s="12" t="s">
        <v>120</v>
      </c>
    </row>
    <row r="4" spans="1:33">
      <c r="N4" s="1">
        <v>43497</v>
      </c>
      <c r="O4" s="8">
        <v>13177.96</v>
      </c>
      <c r="P4" s="8">
        <v>11716.349499999998</v>
      </c>
      <c r="Q4" s="12" t="s">
        <v>118</v>
      </c>
      <c r="R4" s="1">
        <v>43556</v>
      </c>
      <c r="S4" s="8">
        <v>13177.96</v>
      </c>
      <c r="T4" s="8">
        <v>11100.271499999999</v>
      </c>
      <c r="U4" s="12" t="s">
        <v>118</v>
      </c>
      <c r="V4" s="1">
        <v>43922</v>
      </c>
      <c r="W4" s="8">
        <v>15110.344499999999</v>
      </c>
      <c r="X4" s="8">
        <v>15308.849999999999</v>
      </c>
      <c r="Y4" s="12" t="s">
        <v>118</v>
      </c>
      <c r="Z4" s="1">
        <v>44287</v>
      </c>
      <c r="AA4" s="8">
        <v>15110.344499999999</v>
      </c>
      <c r="AB4" s="8">
        <v>13340.06</v>
      </c>
      <c r="AC4" s="12" t="s">
        <v>118</v>
      </c>
      <c r="AD4" s="1">
        <v>44652</v>
      </c>
      <c r="AE4" s="8">
        <v>16319.166999999999</v>
      </c>
      <c r="AF4" s="8">
        <v>11793.48</v>
      </c>
      <c r="AG4" s="12" t="s">
        <v>118</v>
      </c>
    </row>
    <row r="5" spans="1:33">
      <c r="N5" s="1"/>
      <c r="O5" s="8"/>
      <c r="P5" s="8"/>
      <c r="Q5" s="12"/>
      <c r="R5" s="1">
        <v>43586</v>
      </c>
      <c r="S5" s="8">
        <v>13177.96</v>
      </c>
      <c r="T5" s="8">
        <v>12185.32</v>
      </c>
      <c r="U5" s="12" t="s">
        <v>118</v>
      </c>
      <c r="V5" s="1">
        <v>43952</v>
      </c>
      <c r="W5" s="8">
        <v>15110.344499999999</v>
      </c>
      <c r="X5" s="8">
        <v>14479.04</v>
      </c>
      <c r="Y5" s="12" t="s">
        <v>119</v>
      </c>
      <c r="Z5" s="1">
        <v>44317</v>
      </c>
      <c r="AA5" s="8">
        <v>15110.344499999999</v>
      </c>
      <c r="AB5" s="8">
        <v>12361.12</v>
      </c>
      <c r="AC5" s="12" t="s">
        <v>118</v>
      </c>
      <c r="AD5" s="1">
        <v>44682</v>
      </c>
      <c r="AE5" s="8">
        <v>16319.166999999999</v>
      </c>
      <c r="AF5" s="8">
        <v>5846.01</v>
      </c>
      <c r="AG5" s="12" t="s">
        <v>119</v>
      </c>
    </row>
    <row r="6" spans="1:33">
      <c r="N6" s="1"/>
      <c r="O6" s="8"/>
      <c r="P6" s="8"/>
      <c r="Q6" s="12"/>
      <c r="R6" s="1">
        <v>43617</v>
      </c>
      <c r="S6" s="8">
        <v>13177.96</v>
      </c>
      <c r="T6" s="8">
        <v>12577.45</v>
      </c>
      <c r="U6" s="12" t="s">
        <v>118</v>
      </c>
      <c r="V6" s="1">
        <v>43983</v>
      </c>
      <c r="W6" s="8">
        <v>15110.344499999999</v>
      </c>
      <c r="X6" s="8">
        <v>4448.3300000000017</v>
      </c>
      <c r="Y6" s="12" t="s">
        <v>118</v>
      </c>
      <c r="Z6" s="1">
        <v>44348</v>
      </c>
      <c r="AA6" s="8">
        <v>16319.166999999999</v>
      </c>
      <c r="AB6" s="8">
        <v>13281.650000000001</v>
      </c>
      <c r="AC6" s="12" t="s">
        <v>119</v>
      </c>
      <c r="AD6" s="1">
        <v>44713</v>
      </c>
      <c r="AE6" s="8">
        <v>16319.166999999999</v>
      </c>
      <c r="AF6" s="8">
        <v>11078.3</v>
      </c>
      <c r="AG6" s="12" t="s">
        <v>118</v>
      </c>
    </row>
    <row r="7" spans="1:33">
      <c r="N7" s="1"/>
      <c r="O7" s="8"/>
      <c r="P7" s="8"/>
      <c r="Q7" s="12"/>
      <c r="R7" s="1">
        <v>43647</v>
      </c>
      <c r="S7" s="8">
        <v>15110.28</v>
      </c>
      <c r="T7" s="8">
        <v>14428.07</v>
      </c>
      <c r="U7" s="12" t="s">
        <v>118</v>
      </c>
      <c r="V7" s="1">
        <v>44013</v>
      </c>
      <c r="W7" s="8">
        <v>15110.344499999999</v>
      </c>
      <c r="X7" s="8">
        <v>19051.22</v>
      </c>
      <c r="Y7" s="12" t="s">
        <v>118</v>
      </c>
      <c r="Z7" s="1">
        <v>44378</v>
      </c>
      <c r="AA7" s="8">
        <v>16319.166999999999</v>
      </c>
      <c r="AB7" s="16">
        <v>18492.79</v>
      </c>
      <c r="AC7" s="12" t="s">
        <v>118</v>
      </c>
      <c r="AD7" s="1">
        <v>44743</v>
      </c>
      <c r="AE7" s="8">
        <v>16319.166999999999</v>
      </c>
      <c r="AF7" s="16">
        <v>14857.51</v>
      </c>
      <c r="AG7" s="12" t="s">
        <v>118</v>
      </c>
    </row>
    <row r="8" spans="1:33">
      <c r="N8" s="1"/>
      <c r="O8" s="8"/>
      <c r="P8" s="8"/>
      <c r="Q8" s="12"/>
      <c r="R8" s="1">
        <v>43678</v>
      </c>
      <c r="S8" s="8">
        <v>15110.28</v>
      </c>
      <c r="T8" s="8">
        <v>17003.2</v>
      </c>
      <c r="U8" s="12" t="s">
        <v>118</v>
      </c>
      <c r="V8" s="1">
        <v>44044</v>
      </c>
      <c r="W8" s="16">
        <v>15110.344499999999</v>
      </c>
      <c r="X8" s="8">
        <v>16324.39</v>
      </c>
      <c r="Y8" s="12" t="s">
        <v>119</v>
      </c>
      <c r="Z8" s="1">
        <v>44409</v>
      </c>
      <c r="AA8" s="16">
        <v>16319.166999999999</v>
      </c>
      <c r="AB8" s="8">
        <v>20295.45</v>
      </c>
      <c r="AC8" s="12" t="s">
        <v>118</v>
      </c>
      <c r="AD8" s="1">
        <v>44774</v>
      </c>
      <c r="AE8" s="8">
        <v>16319.166999999999</v>
      </c>
      <c r="AF8" s="8">
        <v>14993.849999999999</v>
      </c>
      <c r="AG8" s="12" t="s">
        <v>118</v>
      </c>
    </row>
    <row r="9" spans="1:33">
      <c r="N9" s="1"/>
      <c r="O9" s="8"/>
      <c r="P9" s="8"/>
      <c r="Q9" s="12"/>
      <c r="R9" s="1">
        <v>43709</v>
      </c>
      <c r="S9" s="8">
        <v>15110.344499999999</v>
      </c>
      <c r="T9" s="8">
        <v>19288.96</v>
      </c>
      <c r="U9" s="13" t="s">
        <v>119</v>
      </c>
      <c r="V9" s="1">
        <v>44075</v>
      </c>
      <c r="W9" s="16">
        <v>15110.344499999999</v>
      </c>
      <c r="X9" s="8">
        <v>10747.57</v>
      </c>
      <c r="Y9" s="13" t="s">
        <v>118</v>
      </c>
      <c r="Z9" s="1">
        <v>44440</v>
      </c>
      <c r="AA9" s="16">
        <v>16319.166999999999</v>
      </c>
      <c r="AB9" s="16">
        <v>17839.349999999999</v>
      </c>
      <c r="AC9" s="13" t="s">
        <v>118</v>
      </c>
      <c r="AD9" s="1">
        <v>44805</v>
      </c>
      <c r="AE9" s="16">
        <v>16319.166999999999</v>
      </c>
      <c r="AF9" s="16">
        <v>18614.29</v>
      </c>
      <c r="AG9" s="13" t="s">
        <v>118</v>
      </c>
    </row>
    <row r="10" spans="1:33">
      <c r="N10" s="1"/>
      <c r="O10" s="8"/>
      <c r="P10" s="8"/>
      <c r="Q10" s="12"/>
      <c r="R10" s="1">
        <v>43739</v>
      </c>
      <c r="S10" s="8">
        <v>15110.344499999999</v>
      </c>
      <c r="T10" s="8">
        <v>0</v>
      </c>
      <c r="U10" s="13" t="s">
        <v>118</v>
      </c>
      <c r="V10" s="1">
        <v>44105</v>
      </c>
      <c r="W10" s="16">
        <v>15110.344499999999</v>
      </c>
      <c r="X10" s="8">
        <v>5069.2</v>
      </c>
      <c r="Y10" s="13" t="s">
        <v>118</v>
      </c>
      <c r="Z10" s="1">
        <v>44470</v>
      </c>
      <c r="AA10" s="16">
        <v>16319.166999999999</v>
      </c>
      <c r="AB10" s="16">
        <v>6627.83</v>
      </c>
      <c r="AC10" s="13" t="s">
        <v>119</v>
      </c>
      <c r="AD10" s="1">
        <v>44835</v>
      </c>
      <c r="AE10" s="16">
        <v>14883.000999999998</v>
      </c>
      <c r="AF10" s="16">
        <v>11321.77</v>
      </c>
      <c r="AG10" s="13" t="s">
        <v>118</v>
      </c>
    </row>
    <row r="11" spans="1:33">
      <c r="N11" s="1"/>
      <c r="O11" s="8"/>
      <c r="P11" s="8"/>
      <c r="Q11" s="13"/>
      <c r="R11" s="1">
        <v>43770</v>
      </c>
      <c r="S11" s="8">
        <v>15110.344499999999</v>
      </c>
      <c r="T11" s="8">
        <v>13096.19</v>
      </c>
      <c r="U11" s="13" t="s">
        <v>118</v>
      </c>
      <c r="V11" s="1">
        <v>44136</v>
      </c>
      <c r="W11" s="16">
        <v>15110.344499999999</v>
      </c>
      <c r="X11" s="8"/>
      <c r="Y11" s="13"/>
      <c r="Z11" s="1">
        <v>44501</v>
      </c>
      <c r="AA11" s="16">
        <v>16319.166999999999</v>
      </c>
      <c r="AB11" s="8">
        <v>23743.03</v>
      </c>
      <c r="AC11" s="13" t="s">
        <v>118</v>
      </c>
      <c r="AD11" s="1">
        <v>44866</v>
      </c>
      <c r="AE11" s="16">
        <v>8872.9629999999997</v>
      </c>
      <c r="AF11" s="8">
        <v>5412.74</v>
      </c>
      <c r="AG11" s="13" t="s">
        <v>118</v>
      </c>
    </row>
    <row r="12" spans="1:33">
      <c r="N12" s="1"/>
      <c r="O12" s="8"/>
      <c r="P12" s="8"/>
      <c r="Q12" s="13"/>
      <c r="R12" s="1">
        <v>43800</v>
      </c>
      <c r="S12" s="8">
        <v>15110.344499999999</v>
      </c>
      <c r="T12" s="8">
        <v>20681.189999999999</v>
      </c>
      <c r="U12" s="13" t="s">
        <v>119</v>
      </c>
      <c r="V12" s="1">
        <v>44166</v>
      </c>
      <c r="W12" s="8">
        <v>15110.344499999999</v>
      </c>
      <c r="X12" s="8"/>
      <c r="Y12" s="13"/>
      <c r="Z12" s="1">
        <v>44531</v>
      </c>
      <c r="AA12" s="16">
        <v>16319.166999999999</v>
      </c>
      <c r="AB12" s="8">
        <v>15824.43</v>
      </c>
      <c r="AC12" s="13" t="s">
        <v>119</v>
      </c>
      <c r="AD12" s="1">
        <v>44896</v>
      </c>
      <c r="AE12" s="8">
        <v>11588.848999999998</v>
      </c>
      <c r="AF12" s="16">
        <v>20466.5</v>
      </c>
      <c r="AG12" s="13" t="s">
        <v>118</v>
      </c>
    </row>
    <row r="13" spans="1:33">
      <c r="N13" s="1"/>
      <c r="O13" s="8"/>
      <c r="P13" s="8"/>
      <c r="Q13" s="13"/>
      <c r="R13" s="1">
        <v>43831</v>
      </c>
      <c r="S13" s="8">
        <v>15110.344499999999</v>
      </c>
      <c r="T13" s="8">
        <v>20681.189999999999</v>
      </c>
      <c r="U13" s="12" t="s">
        <v>118</v>
      </c>
      <c r="V13" s="1">
        <v>44197</v>
      </c>
      <c r="W13" s="8">
        <v>15110.344499999999</v>
      </c>
      <c r="X13" s="16">
        <v>40345.54</v>
      </c>
      <c r="Y13" s="12" t="s">
        <v>119</v>
      </c>
      <c r="Z13" s="1">
        <v>44562</v>
      </c>
      <c r="AA13" s="8">
        <v>16319.166999999999</v>
      </c>
      <c r="AB13" s="16">
        <v>11696.839999999998</v>
      </c>
      <c r="AC13" s="12" t="s">
        <v>118</v>
      </c>
      <c r="AD13" s="1">
        <v>44927</v>
      </c>
      <c r="AE13" s="16"/>
      <c r="AF13" s="8"/>
      <c r="AG13" s="13"/>
    </row>
    <row r="14" spans="1:33">
      <c r="N14" s="1"/>
      <c r="O14" s="8"/>
      <c r="P14" s="8"/>
      <c r="Q14" s="13"/>
      <c r="R14" s="1">
        <v>43862</v>
      </c>
      <c r="S14" s="16">
        <v>15110.344499999999</v>
      </c>
      <c r="T14" s="8">
        <v>16022.81</v>
      </c>
      <c r="U14" s="12" t="s">
        <v>119</v>
      </c>
      <c r="V14" s="1">
        <v>44228</v>
      </c>
      <c r="W14" s="16">
        <v>15110.344499999999</v>
      </c>
      <c r="X14" s="8">
        <v>6442.94</v>
      </c>
      <c r="Y14" s="12" t="s">
        <v>118</v>
      </c>
      <c r="Z14" s="1">
        <v>44593</v>
      </c>
      <c r="AA14" s="8">
        <v>16319.166999999999</v>
      </c>
      <c r="AB14" s="8">
        <v>98037.49</v>
      </c>
      <c r="AC14" s="12"/>
      <c r="AD14" s="1">
        <v>44958</v>
      </c>
      <c r="AE14" s="8"/>
      <c r="AF14" s="8"/>
      <c r="AG14" s="13"/>
    </row>
    <row r="15" spans="1:33">
      <c r="O15" s="9">
        <f>SUM(O3:O14)</f>
        <v>26355.919999999998</v>
      </c>
      <c r="P15" s="9">
        <f>SUM(P3:P14)</f>
        <v>27469.647499999999</v>
      </c>
      <c r="Q15" s="9">
        <f>O15-P15</f>
        <v>-1113.7275000000009</v>
      </c>
      <c r="S15" s="9">
        <f>SUM(S3:S14)</f>
        <v>173594.46700000003</v>
      </c>
      <c r="T15" s="9">
        <f>SUM(T3:T14)</f>
        <v>168164.92300000001</v>
      </c>
      <c r="U15" s="9">
        <f>S15-T15</f>
        <v>5429.5440000000235</v>
      </c>
      <c r="W15" s="9">
        <f>SUM(W3:W14)</f>
        <v>181324.13400000005</v>
      </c>
      <c r="X15" s="9">
        <f>SUM(X3:X14)</f>
        <v>146976.19999999998</v>
      </c>
      <c r="Y15" s="9">
        <f>W15-X15</f>
        <v>34347.934000000067</v>
      </c>
      <c r="AA15" s="9">
        <f>SUM(AA3:AA14)</f>
        <v>192203.53649999996</v>
      </c>
      <c r="AB15" s="9">
        <f>SUM(AB3:AB14)</f>
        <v>265100.61</v>
      </c>
      <c r="AC15" s="9">
        <f>AA15-AB15</f>
        <v>-72897.073500000028</v>
      </c>
      <c r="AE15" s="9">
        <f>SUM(AE3:AE14)</f>
        <v>149578.98199999999</v>
      </c>
      <c r="AF15" s="9">
        <f>SUM(AF3:AF14)</f>
        <v>114384.45000000001</v>
      </c>
      <c r="AG15" s="9">
        <f>AE15-AF15</f>
        <v>35194.531999999977</v>
      </c>
    </row>
    <row r="17" spans="13:28">
      <c r="AB17" s="17">
        <f>AF4+AB13+AB11+AB9+AB8+AB7</f>
        <v>103860.94</v>
      </c>
    </row>
    <row r="18" spans="13:28" ht="21">
      <c r="M18" s="10" t="s">
        <v>121</v>
      </c>
      <c r="AB18" s="17">
        <f>AB17/6</f>
        <v>17310.156666666666</v>
      </c>
    </row>
    <row r="19" spans="13:28">
      <c r="M19" t="s">
        <v>122</v>
      </c>
    </row>
    <row r="20" spans="13:28">
      <c r="M20" t="s">
        <v>123</v>
      </c>
    </row>
    <row r="21" spans="13:28">
      <c r="M21" t="s">
        <v>124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C8B4-EDDF-48FE-A892-AF78D60BC62E}">
  <dimension ref="A1:Y36"/>
  <sheetViews>
    <sheetView topLeftCell="A5" workbookViewId="0">
      <selection activeCell="X13" sqref="X13"/>
    </sheetView>
  </sheetViews>
  <sheetFormatPr defaultRowHeight="15"/>
  <cols>
    <col min="12" max="13" width="9.140625" hidden="1" customWidth="1"/>
    <col min="14" max="14" width="9.140625" customWidth="1"/>
    <col min="15" max="16" width="9.140625" hidden="1" customWidth="1"/>
    <col min="18" max="19" width="9.140625" hidden="1" customWidth="1"/>
    <col min="21" max="22" width="9.140625" hidden="1" customWidth="1"/>
  </cols>
  <sheetData>
    <row r="1" spans="1:25" ht="18.75">
      <c r="A1" s="4" t="s">
        <v>125</v>
      </c>
    </row>
    <row r="2" spans="1:25">
      <c r="L2" t="s">
        <v>115</v>
      </c>
      <c r="M2" t="s">
        <v>116</v>
      </c>
      <c r="O2" t="s">
        <v>115</v>
      </c>
      <c r="P2" t="s">
        <v>116</v>
      </c>
      <c r="R2" t="s">
        <v>115</v>
      </c>
      <c r="S2" t="s">
        <v>116</v>
      </c>
      <c r="U2" t="s">
        <v>115</v>
      </c>
      <c r="V2" t="s">
        <v>116</v>
      </c>
      <c r="X2" t="s">
        <v>115</v>
      </c>
      <c r="Y2" t="s">
        <v>116</v>
      </c>
    </row>
    <row r="3" spans="1:25">
      <c r="K3" s="1">
        <v>43466</v>
      </c>
      <c r="L3">
        <v>537</v>
      </c>
      <c r="M3">
        <v>727</v>
      </c>
      <c r="N3" s="1">
        <v>43525</v>
      </c>
      <c r="O3">
        <v>691</v>
      </c>
      <c r="P3">
        <v>649</v>
      </c>
      <c r="Q3" s="1">
        <v>43891</v>
      </c>
      <c r="R3">
        <v>581</v>
      </c>
      <c r="T3" s="1">
        <v>44256</v>
      </c>
      <c r="U3">
        <v>754</v>
      </c>
      <c r="V3">
        <v>682</v>
      </c>
      <c r="W3" s="1">
        <v>44621</v>
      </c>
      <c r="X3">
        <v>736</v>
      </c>
      <c r="Y3">
        <v>703</v>
      </c>
    </row>
    <row r="4" spans="1:25">
      <c r="K4" s="1">
        <v>43497</v>
      </c>
      <c r="L4">
        <v>647</v>
      </c>
      <c r="M4">
        <v>654</v>
      </c>
      <c r="N4" s="1">
        <v>43556</v>
      </c>
      <c r="O4">
        <v>734</v>
      </c>
      <c r="P4">
        <v>702</v>
      </c>
      <c r="Q4" s="1">
        <v>43922</v>
      </c>
      <c r="R4">
        <v>626</v>
      </c>
      <c r="S4">
        <v>753</v>
      </c>
      <c r="T4" s="1">
        <v>44287</v>
      </c>
      <c r="U4">
        <v>569</v>
      </c>
      <c r="V4">
        <v>690</v>
      </c>
      <c r="W4" s="1">
        <v>44652</v>
      </c>
      <c r="X4">
        <v>418</v>
      </c>
      <c r="Y4">
        <v>586</v>
      </c>
    </row>
    <row r="5" spans="1:25">
      <c r="N5" s="1">
        <v>43586</v>
      </c>
      <c r="O5">
        <v>616</v>
      </c>
      <c r="P5">
        <v>695</v>
      </c>
      <c r="Q5" s="1">
        <v>43952</v>
      </c>
      <c r="R5">
        <v>620</v>
      </c>
      <c r="S5">
        <v>761</v>
      </c>
      <c r="T5" s="1">
        <v>44317</v>
      </c>
      <c r="U5">
        <v>676</v>
      </c>
      <c r="V5">
        <v>619</v>
      </c>
      <c r="W5" s="1">
        <v>44682</v>
      </c>
      <c r="X5">
        <v>652</v>
      </c>
      <c r="Y5">
        <v>360</v>
      </c>
    </row>
    <row r="6" spans="1:25">
      <c r="N6" s="1">
        <v>43617</v>
      </c>
      <c r="O6">
        <v>648</v>
      </c>
      <c r="P6">
        <v>649</v>
      </c>
      <c r="Q6" s="1">
        <v>43983</v>
      </c>
      <c r="R6">
        <v>581</v>
      </c>
      <c r="S6">
        <v>1495</v>
      </c>
      <c r="T6" s="1">
        <v>44348</v>
      </c>
      <c r="U6">
        <v>926</v>
      </c>
      <c r="V6">
        <v>665</v>
      </c>
      <c r="W6" s="1">
        <v>44713</v>
      </c>
      <c r="X6">
        <v>423</v>
      </c>
      <c r="Y6">
        <v>542</v>
      </c>
    </row>
    <row r="7" spans="1:25">
      <c r="N7" s="1">
        <v>43647</v>
      </c>
      <c r="O7">
        <v>821</v>
      </c>
      <c r="P7">
        <v>738</v>
      </c>
      <c r="Q7" s="1">
        <v>44013</v>
      </c>
      <c r="R7">
        <v>1201</v>
      </c>
      <c r="S7">
        <v>2109</v>
      </c>
      <c r="T7" s="1">
        <v>44378</v>
      </c>
      <c r="U7">
        <v>665</v>
      </c>
      <c r="V7">
        <v>827</v>
      </c>
      <c r="W7" s="1">
        <v>44743</v>
      </c>
      <c r="X7">
        <v>599</v>
      </c>
      <c r="Y7">
        <v>649</v>
      </c>
    </row>
    <row r="8" spans="1:25">
      <c r="N8" s="1">
        <v>43678</v>
      </c>
      <c r="O8">
        <v>814</v>
      </c>
      <c r="P8">
        <v>827</v>
      </c>
      <c r="Q8" s="1">
        <v>44044</v>
      </c>
      <c r="R8">
        <v>601</v>
      </c>
      <c r="S8">
        <v>1537</v>
      </c>
      <c r="T8" s="1">
        <v>44409</v>
      </c>
      <c r="U8">
        <v>864</v>
      </c>
      <c r="V8">
        <v>849</v>
      </c>
      <c r="W8" s="1">
        <v>44774</v>
      </c>
      <c r="X8">
        <v>780</v>
      </c>
      <c r="Y8">
        <v>656</v>
      </c>
    </row>
    <row r="9" spans="1:25">
      <c r="N9" s="1">
        <v>43709</v>
      </c>
      <c r="O9">
        <v>640</v>
      </c>
      <c r="P9">
        <v>506</v>
      </c>
      <c r="Q9" s="1">
        <v>44075</v>
      </c>
      <c r="R9">
        <v>756</v>
      </c>
      <c r="S9">
        <v>681</v>
      </c>
      <c r="T9" s="1">
        <v>44440</v>
      </c>
      <c r="U9">
        <v>766</v>
      </c>
      <c r="V9">
        <v>744</v>
      </c>
      <c r="W9" s="1">
        <v>44805</v>
      </c>
      <c r="X9">
        <v>593</v>
      </c>
      <c r="Y9">
        <v>759</v>
      </c>
    </row>
    <row r="10" spans="1:25">
      <c r="N10" s="1">
        <v>43739</v>
      </c>
      <c r="O10">
        <v>973</v>
      </c>
      <c r="P10">
        <v>0</v>
      </c>
      <c r="Q10" s="1">
        <v>44105</v>
      </c>
      <c r="R10">
        <v>1506</v>
      </c>
      <c r="S10">
        <v>279</v>
      </c>
      <c r="T10" s="1">
        <v>44470</v>
      </c>
      <c r="U10">
        <v>658</v>
      </c>
      <c r="V10">
        <v>353</v>
      </c>
      <c r="W10" s="1">
        <v>44835</v>
      </c>
      <c r="X10">
        <v>484</v>
      </c>
      <c r="Y10">
        <v>537</v>
      </c>
    </row>
    <row r="11" spans="1:25">
      <c r="N11" s="1">
        <v>43770</v>
      </c>
      <c r="O11">
        <v>608</v>
      </c>
      <c r="P11">
        <v>695</v>
      </c>
      <c r="Q11" s="1">
        <v>44136</v>
      </c>
      <c r="R11">
        <v>681</v>
      </c>
      <c r="T11" s="1">
        <v>44501</v>
      </c>
      <c r="U11">
        <v>730</v>
      </c>
      <c r="V11">
        <v>1416</v>
      </c>
      <c r="W11" s="1">
        <v>44866</v>
      </c>
      <c r="X11">
        <v>350</v>
      </c>
      <c r="Y11">
        <v>298</v>
      </c>
    </row>
    <row r="12" spans="1:25">
      <c r="N12" s="1">
        <v>43800</v>
      </c>
      <c r="O12">
        <v>780</v>
      </c>
      <c r="P12">
        <v>985</v>
      </c>
      <c r="Q12" s="1">
        <v>44166</v>
      </c>
      <c r="R12">
        <v>120</v>
      </c>
      <c r="T12" s="1">
        <v>44531</v>
      </c>
      <c r="V12">
        <v>747</v>
      </c>
      <c r="W12" s="1">
        <v>44896</v>
      </c>
      <c r="X12">
        <v>461</v>
      </c>
      <c r="Y12">
        <v>861</v>
      </c>
    </row>
    <row r="13" spans="1:25">
      <c r="N13" s="1">
        <v>43831</v>
      </c>
      <c r="O13">
        <v>518</v>
      </c>
      <c r="P13">
        <v>1193</v>
      </c>
      <c r="Q13" s="1">
        <v>44197</v>
      </c>
      <c r="R13">
        <v>1193</v>
      </c>
      <c r="S13">
        <v>683</v>
      </c>
      <c r="T13" s="1">
        <v>44562</v>
      </c>
      <c r="U13">
        <v>1249</v>
      </c>
      <c r="V13">
        <v>1287</v>
      </c>
      <c r="W13" s="1">
        <v>44927</v>
      </c>
    </row>
    <row r="14" spans="1:25">
      <c r="N14" s="1">
        <v>43862</v>
      </c>
      <c r="O14">
        <v>601</v>
      </c>
      <c r="P14">
        <v>824</v>
      </c>
      <c r="Q14" s="1">
        <v>44228</v>
      </c>
      <c r="R14">
        <v>593</v>
      </c>
      <c r="S14">
        <v>1736</v>
      </c>
      <c r="T14" s="1">
        <v>44593</v>
      </c>
      <c r="U14">
        <v>628</v>
      </c>
      <c r="V14">
        <v>2703</v>
      </c>
      <c r="W14" s="1">
        <v>44958</v>
      </c>
    </row>
    <row r="23" spans="11:25">
      <c r="K23" s="15" t="s">
        <v>126</v>
      </c>
    </row>
    <row r="24" spans="11:25">
      <c r="L24" t="s">
        <v>115</v>
      </c>
      <c r="M24" t="s">
        <v>116</v>
      </c>
      <c r="O24" t="s">
        <v>115</v>
      </c>
      <c r="P24" t="s">
        <v>116</v>
      </c>
      <c r="R24" t="s">
        <v>115</v>
      </c>
      <c r="S24" t="s">
        <v>116</v>
      </c>
      <c r="U24" t="s">
        <v>115</v>
      </c>
      <c r="V24" t="s">
        <v>116</v>
      </c>
      <c r="X24" t="s">
        <v>115</v>
      </c>
      <c r="Y24" t="s">
        <v>116</v>
      </c>
    </row>
    <row r="25" spans="11:25">
      <c r="K25" s="1">
        <v>43466</v>
      </c>
      <c r="L25" s="11">
        <v>23.347826086956523</v>
      </c>
      <c r="M25" s="11">
        <v>26.925925925925927</v>
      </c>
      <c r="N25" s="1">
        <v>43525</v>
      </c>
      <c r="O25" s="11">
        <v>23.033333333333335</v>
      </c>
      <c r="P25" s="11">
        <v>21.633333333333333</v>
      </c>
      <c r="Q25" s="1">
        <v>43891</v>
      </c>
      <c r="R25" s="11">
        <v>21.518518518518519</v>
      </c>
      <c r="S25" s="11"/>
      <c r="T25" s="1">
        <v>44256</v>
      </c>
      <c r="U25" s="11">
        <v>44.185185185185183</v>
      </c>
      <c r="V25" s="11">
        <v>22.733333333333334</v>
      </c>
      <c r="W25" s="1">
        <v>44621</v>
      </c>
      <c r="X25">
        <v>22</v>
      </c>
      <c r="Y25">
        <v>22</v>
      </c>
    </row>
    <row r="26" spans="11:25">
      <c r="K26" s="1">
        <v>43497</v>
      </c>
      <c r="L26" s="11">
        <v>23.107142857142858</v>
      </c>
      <c r="M26" s="11">
        <v>24.222222222222221</v>
      </c>
      <c r="N26" s="1">
        <v>43556</v>
      </c>
      <c r="O26" s="11">
        <v>21.588235294117649</v>
      </c>
      <c r="P26" s="11">
        <v>21.272727272727273</v>
      </c>
      <c r="Q26" s="1">
        <v>43922</v>
      </c>
      <c r="R26">
        <v>18</v>
      </c>
      <c r="S26">
        <v>26</v>
      </c>
      <c r="T26" s="1">
        <v>44287</v>
      </c>
      <c r="U26" s="11">
        <v>44.185185185185183</v>
      </c>
      <c r="V26" s="11">
        <v>20.294117647058822</v>
      </c>
      <c r="W26" s="1">
        <v>44652</v>
      </c>
      <c r="X26">
        <v>15</v>
      </c>
      <c r="Y26">
        <v>18</v>
      </c>
    </row>
    <row r="27" spans="11:25">
      <c r="N27" s="1">
        <v>43586</v>
      </c>
      <c r="O27" s="11">
        <v>21.241379310344829</v>
      </c>
      <c r="P27" s="11">
        <v>23.166666666666668</v>
      </c>
      <c r="Q27" s="1">
        <v>43952</v>
      </c>
      <c r="R27">
        <v>18</v>
      </c>
      <c r="S27">
        <v>22</v>
      </c>
      <c r="T27" s="1">
        <v>44317</v>
      </c>
      <c r="U27" s="11">
        <v>44</v>
      </c>
      <c r="V27" s="11">
        <v>23</v>
      </c>
      <c r="W27" s="1">
        <v>44682</v>
      </c>
      <c r="X27">
        <v>17</v>
      </c>
      <c r="Y27">
        <v>13</v>
      </c>
    </row>
    <row r="28" spans="11:25">
      <c r="N28" s="1">
        <v>43617</v>
      </c>
      <c r="O28" s="11">
        <v>23.142857142857142</v>
      </c>
      <c r="P28" s="11">
        <v>24.037037037037038</v>
      </c>
      <c r="Q28" s="1">
        <v>43983</v>
      </c>
      <c r="R28">
        <v>19</v>
      </c>
      <c r="S28">
        <v>10</v>
      </c>
      <c r="T28" s="1">
        <v>44348</v>
      </c>
      <c r="U28" s="11">
        <v>44.185185185185183</v>
      </c>
      <c r="V28" s="11">
        <v>22.931034482758619</v>
      </c>
      <c r="W28" s="1">
        <v>44713</v>
      </c>
      <c r="X28">
        <v>14</v>
      </c>
      <c r="Y28">
        <v>19</v>
      </c>
    </row>
    <row r="29" spans="11:25">
      <c r="N29" s="1">
        <v>43647</v>
      </c>
      <c r="O29" s="11">
        <v>24.147058823529413</v>
      </c>
      <c r="P29" s="11">
        <v>23.806451612903224</v>
      </c>
      <c r="Q29" s="1">
        <v>44013</v>
      </c>
      <c r="R29" s="11">
        <v>38.741935483870968</v>
      </c>
      <c r="S29" s="11">
        <v>58.583333333333336</v>
      </c>
      <c r="T29" s="1">
        <v>44378</v>
      </c>
      <c r="U29" s="11">
        <v>44</v>
      </c>
      <c r="V29" s="11">
        <v>28</v>
      </c>
      <c r="W29" s="1">
        <v>44743</v>
      </c>
      <c r="X29">
        <v>22</v>
      </c>
      <c r="Y29">
        <v>23</v>
      </c>
    </row>
    <row r="30" spans="11:25">
      <c r="N30" s="1">
        <v>43678</v>
      </c>
      <c r="O30" s="11">
        <v>24.666666666666668</v>
      </c>
      <c r="P30" s="11">
        <v>26.677419354838708</v>
      </c>
      <c r="Q30" s="1">
        <v>44044</v>
      </c>
      <c r="R30">
        <v>19</v>
      </c>
      <c r="S30" s="11">
        <v>51.233333333333334</v>
      </c>
      <c r="T30" s="1">
        <v>44409</v>
      </c>
      <c r="U30" s="11">
        <v>44</v>
      </c>
      <c r="V30" s="11">
        <v>27</v>
      </c>
      <c r="W30" s="1">
        <v>44774</v>
      </c>
      <c r="X30">
        <v>27</v>
      </c>
      <c r="Y30">
        <v>21</v>
      </c>
    </row>
    <row r="31" spans="11:25">
      <c r="N31" s="1">
        <v>43709</v>
      </c>
      <c r="O31" s="11">
        <v>19</v>
      </c>
      <c r="P31" s="11">
        <v>0</v>
      </c>
      <c r="Q31" s="1">
        <v>44075</v>
      </c>
      <c r="R31">
        <v>25</v>
      </c>
      <c r="S31">
        <v>11</v>
      </c>
      <c r="T31" s="1">
        <v>44440</v>
      </c>
      <c r="U31" s="11">
        <v>28</v>
      </c>
      <c r="V31" s="11">
        <v>24</v>
      </c>
      <c r="W31" s="1">
        <v>44805</v>
      </c>
      <c r="X31">
        <v>23</v>
      </c>
      <c r="Y31">
        <v>24</v>
      </c>
    </row>
    <row r="32" spans="11:25">
      <c r="N32" s="1">
        <v>43739</v>
      </c>
      <c r="O32" s="11">
        <v>29</v>
      </c>
      <c r="P32" s="11">
        <v>0</v>
      </c>
      <c r="Q32" s="1">
        <v>44105</v>
      </c>
      <c r="R32">
        <v>49</v>
      </c>
      <c r="S32">
        <v>10</v>
      </c>
      <c r="T32" s="1">
        <v>44470</v>
      </c>
      <c r="U32" s="11">
        <v>23</v>
      </c>
      <c r="V32" s="11">
        <v>10</v>
      </c>
      <c r="W32" s="1">
        <v>44835</v>
      </c>
      <c r="X32">
        <v>15</v>
      </c>
      <c r="Y32">
        <v>16</v>
      </c>
    </row>
    <row r="33" spans="14:25">
      <c r="N33" s="1">
        <v>43770</v>
      </c>
      <c r="O33" s="11">
        <v>21</v>
      </c>
      <c r="P33" s="11">
        <v>23</v>
      </c>
      <c r="Q33" s="1">
        <v>44136</v>
      </c>
      <c r="R33">
        <v>27</v>
      </c>
      <c r="T33" s="1">
        <v>44501</v>
      </c>
      <c r="U33">
        <v>730</v>
      </c>
      <c r="V33" s="11">
        <v>23</v>
      </c>
      <c r="W33" s="1">
        <v>44866</v>
      </c>
      <c r="X33">
        <v>11</v>
      </c>
      <c r="Y33">
        <v>12</v>
      </c>
    </row>
    <row r="34" spans="14:25">
      <c r="N34" s="1">
        <v>43800</v>
      </c>
      <c r="O34" s="11">
        <v>21</v>
      </c>
      <c r="P34" s="11">
        <v>43</v>
      </c>
      <c r="Q34" s="1">
        <v>44166</v>
      </c>
      <c r="R34">
        <v>3</v>
      </c>
      <c r="T34" s="1">
        <v>44531</v>
      </c>
      <c r="V34" s="11">
        <v>21</v>
      </c>
      <c r="W34" s="1">
        <v>44896</v>
      </c>
      <c r="X34">
        <v>15</v>
      </c>
      <c r="Y34">
        <v>23</v>
      </c>
    </row>
    <row r="35" spans="14:25">
      <c r="N35" s="1">
        <v>43831</v>
      </c>
      <c r="O35">
        <v>21</v>
      </c>
      <c r="P35">
        <v>21</v>
      </c>
      <c r="Q35" s="1">
        <v>44197</v>
      </c>
      <c r="R35" s="11">
        <v>44.185185185185183</v>
      </c>
      <c r="S35" s="11">
        <v>7.344086021505376</v>
      </c>
      <c r="T35" s="1">
        <v>44562</v>
      </c>
      <c r="U35">
        <v>57</v>
      </c>
      <c r="V35">
        <v>22</v>
      </c>
      <c r="W35" s="1">
        <v>44927</v>
      </c>
    </row>
    <row r="36" spans="14:25">
      <c r="N36" s="1">
        <v>43862</v>
      </c>
      <c r="O36" s="11">
        <v>22.25925925925926</v>
      </c>
      <c r="P36" s="11">
        <v>23.542857142857144</v>
      </c>
      <c r="Q36" s="1">
        <v>44228</v>
      </c>
      <c r="R36" s="11">
        <v>44.185185185185183</v>
      </c>
      <c r="S36" s="11">
        <v>14.588235294117647</v>
      </c>
      <c r="T36" s="1">
        <v>44593</v>
      </c>
      <c r="U36">
        <v>22</v>
      </c>
      <c r="V36">
        <v>84</v>
      </c>
      <c r="W36" s="1">
        <v>44958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99E2-1059-4B0B-86A5-D042EBB6E98F}">
  <dimension ref="A1:X15"/>
  <sheetViews>
    <sheetView workbookViewId="0">
      <selection activeCell="S23" sqref="S23"/>
    </sheetView>
  </sheetViews>
  <sheetFormatPr defaultRowHeight="15"/>
  <cols>
    <col min="11" max="12" width="9.140625" hidden="1" customWidth="1"/>
    <col min="14" max="15" width="9.140625" hidden="1" customWidth="1"/>
    <col min="17" max="18" width="9.140625" hidden="1" customWidth="1"/>
    <col min="20" max="21" width="11.7109375" hidden="1" customWidth="1"/>
  </cols>
  <sheetData>
    <row r="1" spans="1:24" ht="18.75">
      <c r="A1" s="4" t="s">
        <v>127</v>
      </c>
    </row>
    <row r="3" spans="1:24">
      <c r="K3" t="s">
        <v>115</v>
      </c>
      <c r="L3" t="s">
        <v>116</v>
      </c>
      <c r="N3" t="s">
        <v>115</v>
      </c>
      <c r="O3" t="s">
        <v>116</v>
      </c>
      <c r="Q3" t="s">
        <v>115</v>
      </c>
      <c r="R3" t="s">
        <v>116</v>
      </c>
      <c r="T3" t="s">
        <v>115</v>
      </c>
      <c r="U3" t="s">
        <v>116</v>
      </c>
      <c r="W3" t="s">
        <v>115</v>
      </c>
      <c r="X3" t="s">
        <v>116</v>
      </c>
    </row>
    <row r="4" spans="1:24">
      <c r="J4" s="1">
        <v>43466</v>
      </c>
      <c r="K4" s="8">
        <v>24.539962756052141</v>
      </c>
      <c r="L4" s="8">
        <v>21.6689105914718</v>
      </c>
      <c r="M4" s="1">
        <v>43525</v>
      </c>
      <c r="N4" s="8">
        <v>19.070853835021705</v>
      </c>
      <c r="O4" s="8">
        <v>17.10365408320493</v>
      </c>
      <c r="P4" s="1">
        <v>43891</v>
      </c>
      <c r="Q4" s="16">
        <v>26.007477624784851</v>
      </c>
      <c r="R4" s="16"/>
      <c r="S4" s="1">
        <v>44256</v>
      </c>
      <c r="T4" s="16">
        <v>12.665837803855824</v>
      </c>
      <c r="U4" s="8">
        <v>19.883533724340175</v>
      </c>
      <c r="V4" s="1">
        <v>44621</v>
      </c>
      <c r="W4" s="16">
        <v>22.17278125</v>
      </c>
      <c r="X4" s="8">
        <v>0</v>
      </c>
    </row>
    <row r="5" spans="1:24">
      <c r="J5" s="1">
        <v>43497</v>
      </c>
      <c r="K5" s="8">
        <v>20.367789799072643</v>
      </c>
      <c r="L5" s="8">
        <v>17.914907492354736</v>
      </c>
      <c r="M5" s="1">
        <v>43556</v>
      </c>
      <c r="N5" s="8">
        <v>17.953623978201634</v>
      </c>
      <c r="O5" s="8">
        <v>15.812352564102563</v>
      </c>
      <c r="P5" s="1">
        <v>43922</v>
      </c>
      <c r="Q5" s="16">
        <v>24.137930511182109</v>
      </c>
      <c r="R5" s="16">
        <v>20.329999999999998</v>
      </c>
      <c r="S5" s="1">
        <v>44287</v>
      </c>
      <c r="T5" s="8">
        <v>12.665837803855824</v>
      </c>
      <c r="U5" s="8">
        <v>19.33342028985507</v>
      </c>
      <c r="V5" s="1">
        <v>44652</v>
      </c>
      <c r="W5" s="8">
        <v>39.041069377990432</v>
      </c>
      <c r="X5" s="8">
        <v>10.88</v>
      </c>
    </row>
    <row r="6" spans="1:24">
      <c r="M6" s="1">
        <v>43586</v>
      </c>
      <c r="N6" s="8">
        <v>21.392792207792205</v>
      </c>
      <c r="O6" s="8">
        <v>17.5328345323741</v>
      </c>
      <c r="P6" s="1">
        <v>43952</v>
      </c>
      <c r="Q6" s="16">
        <v>24.371523387096772</v>
      </c>
      <c r="R6" s="16">
        <v>19.03</v>
      </c>
      <c r="S6" s="1">
        <v>44317</v>
      </c>
      <c r="T6" s="8">
        <v>12.665837803855824</v>
      </c>
      <c r="U6" s="16">
        <v>19.969499192245557</v>
      </c>
      <c r="V6" s="1">
        <v>44682</v>
      </c>
      <c r="W6" s="8">
        <v>25.029397239263801</v>
      </c>
      <c r="X6" s="8">
        <v>13.15</v>
      </c>
    </row>
    <row r="7" spans="1:24">
      <c r="M7" s="1">
        <v>43617</v>
      </c>
      <c r="N7" s="8">
        <v>20.336358024691357</v>
      </c>
      <c r="O7" s="8">
        <v>19.37973805855162</v>
      </c>
      <c r="P7" s="1">
        <v>43983</v>
      </c>
      <c r="Q7" s="16">
        <v>26.01</v>
      </c>
      <c r="R7" s="16">
        <v>2.98</v>
      </c>
      <c r="S7" s="1">
        <v>44348</v>
      </c>
      <c r="T7" s="8">
        <v>12.665837803855824</v>
      </c>
      <c r="U7" s="16">
        <v>19.972406015037595</v>
      </c>
      <c r="V7" s="1">
        <v>44713</v>
      </c>
      <c r="W7" s="8">
        <v>38.579591016548463</v>
      </c>
      <c r="X7" s="8">
        <v>10.30750922509225</v>
      </c>
    </row>
    <row r="8" spans="1:24">
      <c r="M8" s="1">
        <v>43647</v>
      </c>
      <c r="N8" s="8">
        <v>18.404725943970767</v>
      </c>
      <c r="O8" s="8">
        <v>19.550230352303522</v>
      </c>
      <c r="P8" s="1">
        <v>44013</v>
      </c>
      <c r="Q8" s="16">
        <v>12.581469192339716</v>
      </c>
      <c r="R8" s="16">
        <v>9.0332954006638229</v>
      </c>
      <c r="S8" s="1">
        <v>44378</v>
      </c>
      <c r="T8" s="8">
        <v>12.665837803855824</v>
      </c>
      <c r="U8" s="16">
        <v>22.361293833131803</v>
      </c>
      <c r="V8" s="1">
        <v>44743</v>
      </c>
      <c r="W8" s="8">
        <v>27.244018363939897</v>
      </c>
      <c r="X8" s="16">
        <v>13.853497688751926</v>
      </c>
    </row>
    <row r="9" spans="1:24">
      <c r="M9" s="1">
        <v>43678</v>
      </c>
      <c r="N9" s="8">
        <v>18.562997542997543</v>
      </c>
      <c r="O9" s="8">
        <v>20.560096735187425</v>
      </c>
      <c r="P9" s="1">
        <v>44044</v>
      </c>
      <c r="Q9" s="16">
        <v>25.142004159733776</v>
      </c>
      <c r="R9" s="16">
        <v>10.62</v>
      </c>
      <c r="S9" s="1">
        <v>44409</v>
      </c>
      <c r="T9" s="16">
        <v>12.665837803855824</v>
      </c>
      <c r="U9" s="8">
        <v>23.90512367491166</v>
      </c>
      <c r="V9" s="1">
        <v>44774</v>
      </c>
      <c r="W9" s="16">
        <v>20.922008974358974</v>
      </c>
      <c r="X9" s="8">
        <v>12.787713414634146</v>
      </c>
    </row>
    <row r="10" spans="1:24">
      <c r="M10" s="1">
        <v>43709</v>
      </c>
      <c r="N10" s="8">
        <v>23.61</v>
      </c>
      <c r="O10" s="8">
        <v>0</v>
      </c>
      <c r="P10" s="1">
        <v>44075</v>
      </c>
      <c r="Q10" s="16">
        <v>19.987228174603175</v>
      </c>
      <c r="R10" s="16">
        <v>15.78</v>
      </c>
      <c r="S10" s="1">
        <v>44440</v>
      </c>
      <c r="T10" s="16">
        <v>21.304395561357701</v>
      </c>
      <c r="U10" s="8">
        <v>17.105443548387097</v>
      </c>
      <c r="V10" s="1">
        <v>44805</v>
      </c>
      <c r="W10" s="16">
        <v>27.519674536256321</v>
      </c>
      <c r="X10" s="16">
        <v>16.09</v>
      </c>
    </row>
    <row r="11" spans="1:24">
      <c r="M11" s="1">
        <v>43739</v>
      </c>
      <c r="N11" s="8">
        <v>15.529644912641315</v>
      </c>
      <c r="O11" s="8">
        <v>0</v>
      </c>
      <c r="P11" s="1">
        <v>44105</v>
      </c>
      <c r="Q11" s="16">
        <v>10.029999999999999</v>
      </c>
      <c r="R11" s="16">
        <v>18.169175627240143</v>
      </c>
      <c r="S11" s="1">
        <v>44470</v>
      </c>
      <c r="T11" s="16">
        <v>24.8</v>
      </c>
      <c r="U11" s="8">
        <v>0</v>
      </c>
      <c r="V11" s="1">
        <v>44835</v>
      </c>
      <c r="W11" s="16">
        <v>17.956014462809915</v>
      </c>
      <c r="X11" s="16">
        <v>8.01</v>
      </c>
    </row>
    <row r="12" spans="1:24">
      <c r="M12" s="1">
        <v>43770</v>
      </c>
      <c r="N12" s="8">
        <v>24.85</v>
      </c>
      <c r="O12" s="8">
        <v>18.84</v>
      </c>
      <c r="P12" s="1">
        <v>44136</v>
      </c>
      <c r="Q12" s="16">
        <v>22.188464757709252</v>
      </c>
      <c r="R12" s="16"/>
      <c r="S12" s="1">
        <v>44501</v>
      </c>
      <c r="T12" s="16">
        <v>22.355023287671234</v>
      </c>
      <c r="U12" s="8">
        <v>13.02</v>
      </c>
      <c r="V12" s="1">
        <v>44866</v>
      </c>
      <c r="W12" s="16">
        <v>7.66</v>
      </c>
      <c r="X12" s="8">
        <v>0.15</v>
      </c>
    </row>
    <row r="13" spans="1:24">
      <c r="M13" s="1">
        <v>43800</v>
      </c>
      <c r="N13" s="8">
        <v>19.372236538461536</v>
      </c>
      <c r="O13" s="8">
        <v>21</v>
      </c>
      <c r="P13" s="1">
        <v>44166</v>
      </c>
      <c r="Q13" s="16">
        <v>125.91953749999999</v>
      </c>
      <c r="R13" s="16"/>
      <c r="S13" s="1">
        <v>44531</v>
      </c>
      <c r="T13" s="8"/>
      <c r="U13" s="8">
        <v>12.311378848728246</v>
      </c>
      <c r="V13" s="1">
        <v>44896</v>
      </c>
      <c r="W13" s="8">
        <v>11.706201735357917</v>
      </c>
      <c r="X13" s="8">
        <v>14.9</v>
      </c>
    </row>
    <row r="14" spans="1:24">
      <c r="M14" s="1">
        <v>43831</v>
      </c>
      <c r="N14" s="16">
        <v>29.170549227799228</v>
      </c>
      <c r="O14" s="16">
        <v>17.34</v>
      </c>
      <c r="P14" s="1">
        <v>44197</v>
      </c>
      <c r="Q14" s="8">
        <v>12.665837803855824</v>
      </c>
      <c r="R14" s="8">
        <v>59.071068814055636</v>
      </c>
      <c r="S14" s="1">
        <v>44562</v>
      </c>
      <c r="T14" s="8">
        <v>13.065786228983185</v>
      </c>
      <c r="U14" s="16">
        <v>15.7</v>
      </c>
      <c r="V14" s="1">
        <v>44927</v>
      </c>
    </row>
    <row r="15" spans="1:24">
      <c r="M15" s="1">
        <v>43862</v>
      </c>
      <c r="N15" s="16">
        <v>25.142004159733776</v>
      </c>
      <c r="O15" s="16">
        <v>19.445157766990292</v>
      </c>
      <c r="P15" s="1">
        <v>44228</v>
      </c>
      <c r="Q15" s="16">
        <v>12.665837803855824</v>
      </c>
      <c r="R15" s="8">
        <v>3.7113709677419351</v>
      </c>
      <c r="S15" s="1">
        <v>44593</v>
      </c>
      <c r="T15" s="16">
        <v>25.985934713375794</v>
      </c>
      <c r="U15" s="8">
        <v>34.03</v>
      </c>
      <c r="V15" s="1">
        <v>44958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A85D8-6E69-4926-A39C-94D665D6D944}"/>
</file>

<file path=customXml/itemProps2.xml><?xml version="1.0" encoding="utf-8"?>
<ds:datastoreItem xmlns:ds="http://schemas.openxmlformats.org/officeDocument/2006/customXml" ds:itemID="{752D03BF-5A3D-4F49-8202-567BE6A01B7C}"/>
</file>

<file path=customXml/itemProps3.xml><?xml version="1.0" encoding="utf-8"?>
<ds:datastoreItem xmlns:ds="http://schemas.openxmlformats.org/officeDocument/2006/customXml" ds:itemID="{E715DD99-505D-4619-A969-8A6883B000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2019-06-12T12:41:48Z</dcterms:created>
  <dcterms:modified xsi:type="dcterms:W3CDTF">2023-01-24T10:10:08Z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