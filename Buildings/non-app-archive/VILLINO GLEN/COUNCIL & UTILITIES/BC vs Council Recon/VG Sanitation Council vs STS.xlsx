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VG\Utilities Back Date\"/>
    </mc:Choice>
  </mc:AlternateContent>
  <xr:revisionPtr revIDLastSave="112" documentId="13_ncr:1_{936623B6-824F-45DC-9A00-ABE1774490D6}" xr6:coauthVersionLast="47" xr6:coauthVersionMax="47" xr10:uidLastSave="{3F349AF8-0FA0-44CB-BA17-95E751EC6C0A}"/>
  <bookViews>
    <workbookView xWindow="-28920" yWindow="-3765" windowWidth="29040" windowHeight="15840" firstSheet="1" activeTab="1" xr2:uid="{C3277475-261C-4D78-9DE2-A81B4AE4B6E3}"/>
  </bookViews>
  <sheets>
    <sheet name="Data" sheetId="1" r:id="rId1"/>
    <sheet name="Collected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6" i="1" l="1"/>
  <c r="BI6" i="1"/>
  <c r="BH6" i="1"/>
  <c r="BG6" i="1"/>
  <c r="BF6" i="1"/>
  <c r="BF4" i="1"/>
  <c r="BE4" i="1"/>
  <c r="BE6" i="1" s="1"/>
  <c r="BD4" i="1"/>
  <c r="BD6" i="1" s="1"/>
  <c r="BB4" i="1"/>
  <c r="BC4" i="1"/>
  <c r="BB6" i="1"/>
  <c r="BC6" i="1"/>
  <c r="AA18" i="2"/>
  <c r="AA17" i="2"/>
  <c r="BA4" i="1"/>
  <c r="BA6" i="1" s="1"/>
  <c r="AZ4" i="1"/>
  <c r="AZ6" i="1"/>
  <c r="AY4" i="1"/>
  <c r="AY6" i="1"/>
  <c r="S15" i="2"/>
  <c r="R15" i="2"/>
  <c r="T15" i="2" s="1"/>
  <c r="AE15" i="2"/>
  <c r="AD15" i="2"/>
  <c r="AF15" i="2" s="1"/>
  <c r="AX5" i="1"/>
  <c r="AX4" i="1"/>
  <c r="AX6" i="1" s="1"/>
  <c r="AW4" i="1"/>
  <c r="AW6" i="1" s="1"/>
  <c r="AV4" i="1"/>
  <c r="AV6" i="1" s="1"/>
  <c r="AU4" i="1"/>
  <c r="AU6" i="1" s="1"/>
  <c r="AT6" i="1"/>
  <c r="AT4" i="1"/>
  <c r="AS4" i="1"/>
  <c r="AS6" i="1" s="1"/>
  <c r="AR4" i="1"/>
  <c r="AR6" i="1" s="1"/>
  <c r="AQ4" i="1"/>
  <c r="AQ6" i="1" s="1"/>
  <c r="AP5" i="1"/>
  <c r="AP6" i="1"/>
  <c r="AO5" i="1"/>
  <c r="AO6" i="1" s="1"/>
  <c r="AN5" i="1"/>
  <c r="AN6" i="1"/>
  <c r="AA15" i="2"/>
  <c r="Z15" i="2"/>
  <c r="AJ6" i="1"/>
  <c r="AK6" i="1"/>
  <c r="AL6" i="1"/>
  <c r="AM6" i="1"/>
  <c r="AI6" i="1"/>
  <c r="AB15" i="2" l="1"/>
  <c r="AH5" i="1"/>
  <c r="AH6" i="1"/>
  <c r="AG5" i="1" l="1"/>
  <c r="AG6" i="1" s="1"/>
  <c r="AF5" i="1" l="1"/>
  <c r="AF6" i="1" s="1"/>
  <c r="AE5" i="1"/>
  <c r="AE6" i="1" l="1"/>
  <c r="AD6" i="1" l="1"/>
  <c r="AC6" i="1" l="1"/>
  <c r="W15" i="2" l="1"/>
  <c r="V15" i="2"/>
  <c r="Z4" i="1"/>
  <c r="Z6" i="1" s="1"/>
  <c r="AA6" i="1"/>
  <c r="AB6" i="1"/>
  <c r="X15" i="2" l="1"/>
  <c r="O15" i="2" l="1"/>
  <c r="O16" i="2" s="1"/>
  <c r="N15" i="2"/>
  <c r="W6" i="1"/>
  <c r="X6" i="1"/>
  <c r="Y6" i="1"/>
  <c r="P15" i="2" l="1"/>
  <c r="O6" i="1"/>
  <c r="P6" i="1"/>
  <c r="Q6" i="1"/>
  <c r="R6" i="1"/>
  <c r="S6" i="1"/>
  <c r="T6" i="1"/>
  <c r="U6" i="1"/>
  <c r="V6" i="1"/>
  <c r="N6" i="1"/>
</calcChain>
</file>

<file path=xl/sharedStrings.xml><?xml version="1.0" encoding="utf-8"?>
<sst xmlns="http://schemas.openxmlformats.org/spreadsheetml/2006/main" count="18" uniqueCount="9">
  <si>
    <t>Villino Glen Sanitation Back Date Summary</t>
  </si>
  <si>
    <t>BC Total</t>
  </si>
  <si>
    <t>Council Total</t>
  </si>
  <si>
    <t>Difference</t>
  </si>
  <si>
    <t>Villino Glen Sanitation Council vs BC</t>
  </si>
  <si>
    <t>BC</t>
  </si>
  <si>
    <t>Council</t>
  </si>
  <si>
    <t>Council did a credit</t>
  </si>
  <si>
    <t>COJ Back 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</si>
</sst>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17" fontId="1" fillId="0" borderId="0" xfId="0" applyNumberFormat="1" applyFont="1"/>
    <xf numFmtId="0" fontId="2" fillId="0" borderId="0" xfId="0" applyFont="1"/>
    <xf numFmtId="0" fontId="1" fillId="0" borderId="1" xfId="0" applyFont="1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17" fontId="1" fillId="2" borderId="0" xfId="0" applyNumberFormat="1" applyFont="1" applyFill="1"/>
    <xf numFmtId="164" fontId="0" fillId="0" borderId="0" xfId="1" applyFont="1"/>
    <xf numFmtId="0" fontId="0" fillId="0" borderId="1" xfId="0" applyBorder="1"/>
    <xf numFmtId="166" fontId="0" fillId="0" borderId="1" xfId="0" applyNumberFormat="1" applyBorder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Graph'!$AD$3:$AD$14</c:f>
              <c:numCache>
                <c:formatCode>_-"R"* #,##0.00_-;\-"R"* #,##0.00_-;_-"R"* "-"??_-;_-@_-</c:formatCode>
                <c:ptCount val="12"/>
                <c:pt idx="0">
                  <c:v>8151.0734999999995</c:v>
                </c:pt>
                <c:pt idx="1">
                  <c:v>8151.0734999999995</c:v>
                </c:pt>
                <c:pt idx="2">
                  <c:v>8151.0734999999995</c:v>
                </c:pt>
                <c:pt idx="3">
                  <c:v>8151.0734999999995</c:v>
                </c:pt>
                <c:pt idx="4">
                  <c:v>8151.0734999999995</c:v>
                </c:pt>
                <c:pt idx="5">
                  <c:v>8151.0734999999995</c:v>
                </c:pt>
                <c:pt idx="6">
                  <c:v>8151.0734999999995</c:v>
                </c:pt>
                <c:pt idx="7">
                  <c:v>6813.58</c:v>
                </c:pt>
                <c:pt idx="8">
                  <c:v>5028.74</c:v>
                </c:pt>
                <c:pt idx="9">
                  <c:v>6120.01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0-489A-8C27-1EB0F56740B1}"/>
            </c:ext>
          </c:extLst>
        </c:ser>
        <c:ser>
          <c:idx val="1"/>
          <c:order val="1"/>
          <c:tx>
            <c:strRef>
              <c:f>'Collected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Graph'!$AE$3:$AE$14</c:f>
              <c:numCache>
                <c:formatCode>_-"R"* #,##0.00_-;\-"R"* #,##0.00_-;_-"R"* "-"??_-;_-@_-</c:formatCode>
                <c:ptCount val="12"/>
                <c:pt idx="0">
                  <c:v>824.71</c:v>
                </c:pt>
                <c:pt idx="1">
                  <c:v>7090.62</c:v>
                </c:pt>
                <c:pt idx="2">
                  <c:v>3423.98</c:v>
                </c:pt>
                <c:pt idx="3">
                  <c:v>6621.19</c:v>
                </c:pt>
                <c:pt idx="4">
                  <c:v>8723.5</c:v>
                </c:pt>
                <c:pt idx="5">
                  <c:v>8874.6299999999992</c:v>
                </c:pt>
                <c:pt idx="6">
                  <c:v>10375.94</c:v>
                </c:pt>
                <c:pt idx="7">
                  <c:v>6912.16</c:v>
                </c:pt>
                <c:pt idx="8">
                  <c:v>3207.79</c:v>
                </c:pt>
                <c:pt idx="9">
                  <c:v>11819.06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A0-489A-8C27-1EB0F5674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895495"/>
        <c:axId val="892030344"/>
      </c:barChart>
      <c:dateAx>
        <c:axId val="3248954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30344"/>
        <c:crosses val="autoZero"/>
        <c:auto val="1"/>
        <c:lblOffset val="100"/>
        <c:baseTimeUnit val="months"/>
      </c:dateAx>
      <c:valAx>
        <c:axId val="89203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9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95250</xdr:rowOff>
    </xdr:from>
    <xdr:to>
      <xdr:col>10</xdr:col>
      <xdr:colOff>381000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BAADCE-4421-BCB1-6B33-2B34E0BA7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2098-A8F4-412D-A876-5E42EF935C15}">
  <sheetPr>
    <pageSetUpPr fitToPage="1"/>
  </sheetPr>
  <dimension ref="A1:BJ6"/>
  <sheetViews>
    <sheetView workbookViewId="0">
      <selection activeCell="BK10" sqref="BK10"/>
    </sheetView>
  </sheetViews>
  <sheetFormatPr defaultRowHeight="15"/>
  <cols>
    <col min="1" max="1" width="12.7109375" customWidth="1"/>
    <col min="2" max="4" width="9.28515625" hidden="1" customWidth="1"/>
    <col min="5" max="5" width="10.140625" hidden="1" customWidth="1"/>
    <col min="6" max="8" width="9.28515625" hidden="1" customWidth="1"/>
    <col min="9" max="9" width="10.140625" hidden="1" customWidth="1"/>
    <col min="10" max="10" width="9.28515625" hidden="1" customWidth="1"/>
    <col min="11" max="11" width="9.85546875" hidden="1" customWidth="1"/>
    <col min="12" max="12" width="9.28515625" hidden="1" customWidth="1"/>
    <col min="13" max="13" width="9.85546875" hidden="1" customWidth="1"/>
    <col min="14" max="14" width="9.85546875" bestFit="1" customWidth="1"/>
    <col min="15" max="17" width="9.28515625" hidden="1" customWidth="1"/>
    <col min="18" max="20" width="0" hidden="1" customWidth="1"/>
    <col min="21" max="22" width="9.85546875" hidden="1" customWidth="1"/>
    <col min="23" max="24" width="0" hidden="1" customWidth="1"/>
    <col min="25" max="25" width="10.140625" hidden="1" customWidth="1"/>
    <col min="26" max="26" width="10.140625" bestFit="1" customWidth="1"/>
    <col min="27" max="28" width="10.140625" hidden="1" customWidth="1"/>
    <col min="29" max="29" width="10.85546875" hidden="1" customWidth="1"/>
    <col min="30" max="31" width="0" hidden="1" customWidth="1"/>
    <col min="32" max="33" width="10.140625" hidden="1" customWidth="1"/>
    <col min="34" max="37" width="0" hidden="1" customWidth="1"/>
    <col min="38" max="38" width="11.7109375" bestFit="1" customWidth="1"/>
    <col min="39" max="43" width="10.7109375" hidden="1" customWidth="1"/>
    <col min="44" max="46" width="11.7109375" hidden="1" customWidth="1"/>
    <col min="47" max="47" width="10.7109375" hidden="1" customWidth="1"/>
    <col min="48" max="48" width="11.7109375" hidden="1" customWidth="1"/>
    <col min="49" max="49" width="10.7109375" hidden="1" customWidth="1"/>
    <col min="50" max="50" width="10.7109375" bestFit="1" customWidth="1"/>
    <col min="51" max="52" width="12" hidden="1" customWidth="1"/>
    <col min="53" max="56" width="10.85546875" hidden="1" customWidth="1"/>
    <col min="57" max="57" width="9.85546875" hidden="1" customWidth="1"/>
    <col min="58" max="58" width="12" hidden="1" customWidth="1"/>
    <col min="59" max="60" width="10.85546875" hidden="1" customWidth="1"/>
    <col min="61" max="61" width="12" hidden="1" customWidth="1"/>
    <col min="62" max="62" width="12" bestFit="1" customWidth="1"/>
  </cols>
  <sheetData>
    <row r="1" spans="1:62" ht="18.75">
      <c r="A1" s="2" t="s">
        <v>0</v>
      </c>
    </row>
    <row r="3" spans="1:62">
      <c r="B3" s="1">
        <v>43101</v>
      </c>
      <c r="C3" s="1">
        <v>43132</v>
      </c>
      <c r="D3" s="1">
        <v>43160</v>
      </c>
      <c r="E3" s="1">
        <v>43191</v>
      </c>
      <c r="F3" s="1">
        <v>43221</v>
      </c>
      <c r="G3" s="1">
        <v>43252</v>
      </c>
      <c r="H3" s="1">
        <v>43282</v>
      </c>
      <c r="I3" s="1">
        <v>43313</v>
      </c>
      <c r="J3" s="1">
        <v>43344</v>
      </c>
      <c r="K3" s="1">
        <v>43374</v>
      </c>
      <c r="L3" s="1">
        <v>43405</v>
      </c>
      <c r="M3" s="1">
        <v>43435</v>
      </c>
      <c r="N3" s="7">
        <v>43466</v>
      </c>
      <c r="O3" s="1">
        <v>43497</v>
      </c>
      <c r="P3" s="1">
        <v>43525</v>
      </c>
      <c r="Q3" s="1">
        <v>43556</v>
      </c>
      <c r="R3" s="1">
        <v>43586</v>
      </c>
      <c r="S3" s="1">
        <v>43617</v>
      </c>
      <c r="T3" s="1">
        <v>43647</v>
      </c>
      <c r="U3" s="1">
        <v>43678</v>
      </c>
      <c r="V3" s="1">
        <v>43709</v>
      </c>
      <c r="W3" s="1">
        <v>43739</v>
      </c>
      <c r="X3" s="1">
        <v>43770</v>
      </c>
      <c r="Y3" s="1">
        <v>43800</v>
      </c>
      <c r="Z3" s="7">
        <v>43831</v>
      </c>
      <c r="AA3" s="1">
        <v>43862</v>
      </c>
      <c r="AB3" s="1">
        <v>43891</v>
      </c>
      <c r="AC3" s="1">
        <v>43922</v>
      </c>
      <c r="AD3" s="1">
        <v>43952</v>
      </c>
      <c r="AE3" s="1">
        <v>43983</v>
      </c>
      <c r="AF3" s="1">
        <v>44013</v>
      </c>
      <c r="AG3" s="1">
        <v>44044</v>
      </c>
      <c r="AH3" s="1">
        <v>44075</v>
      </c>
      <c r="AI3" s="1">
        <v>44105</v>
      </c>
      <c r="AJ3" s="1">
        <v>44136</v>
      </c>
      <c r="AK3" s="1">
        <v>44166</v>
      </c>
      <c r="AL3" s="7">
        <v>44197</v>
      </c>
      <c r="AM3" s="1">
        <v>44228</v>
      </c>
      <c r="AN3" s="1">
        <v>44256</v>
      </c>
      <c r="AO3" s="1">
        <v>44287</v>
      </c>
      <c r="AP3" s="1">
        <v>44317</v>
      </c>
      <c r="AQ3" s="1">
        <v>44348</v>
      </c>
      <c r="AR3" s="1">
        <v>44378</v>
      </c>
      <c r="AS3" s="1">
        <v>44409</v>
      </c>
      <c r="AT3" s="1">
        <v>44440</v>
      </c>
      <c r="AU3" s="1">
        <v>44470</v>
      </c>
      <c r="AV3" s="1">
        <v>44501</v>
      </c>
      <c r="AW3" s="1">
        <v>44531</v>
      </c>
      <c r="AX3" s="7">
        <v>44562</v>
      </c>
      <c r="AY3" s="1">
        <v>44593</v>
      </c>
      <c r="AZ3" s="1">
        <v>44621</v>
      </c>
      <c r="BA3" s="1">
        <v>44652</v>
      </c>
      <c r="BB3" s="1">
        <v>44682</v>
      </c>
      <c r="BC3" s="1">
        <v>44713</v>
      </c>
      <c r="BD3" s="1">
        <v>44743</v>
      </c>
      <c r="BE3" s="1">
        <v>44774</v>
      </c>
      <c r="BF3" s="1">
        <v>44805</v>
      </c>
      <c r="BG3" s="1">
        <v>44835</v>
      </c>
      <c r="BH3" s="1">
        <v>44866</v>
      </c>
      <c r="BI3" s="1">
        <v>44896</v>
      </c>
      <c r="BJ3" s="7">
        <v>44927</v>
      </c>
    </row>
    <row r="4" spans="1:62">
      <c r="A4" s="3" t="s">
        <v>1</v>
      </c>
      <c r="B4" s="4">
        <v>5692.32</v>
      </c>
      <c r="C4" s="4">
        <v>5692.32</v>
      </c>
      <c r="D4" s="4">
        <v>5692.32</v>
      </c>
      <c r="E4" s="4">
        <v>5553.4</v>
      </c>
      <c r="F4" s="4">
        <v>5831.24</v>
      </c>
      <c r="G4" s="4">
        <v>5692.32</v>
      </c>
      <c r="H4" s="4">
        <v>7410.07</v>
      </c>
      <c r="I4" s="4">
        <v>7410.07</v>
      </c>
      <c r="J4" s="4">
        <v>7410.07</v>
      </c>
      <c r="K4" s="4">
        <v>7410.07</v>
      </c>
      <c r="L4" s="4">
        <v>7410.07</v>
      </c>
      <c r="M4" s="4">
        <v>7410.07</v>
      </c>
      <c r="N4" s="4">
        <v>7410.07</v>
      </c>
      <c r="O4" s="4">
        <v>7410.07</v>
      </c>
      <c r="P4" s="4">
        <v>7410.07</v>
      </c>
      <c r="Q4" s="4">
        <v>7410.07</v>
      </c>
      <c r="R4" s="4">
        <v>7410.07</v>
      </c>
      <c r="S4" s="4">
        <v>7410.09</v>
      </c>
      <c r="T4" s="4">
        <v>7410.09</v>
      </c>
      <c r="U4" s="4">
        <v>7410.09</v>
      </c>
      <c r="V4" s="4">
        <v>7593.53</v>
      </c>
      <c r="W4" s="4">
        <v>7410.07</v>
      </c>
      <c r="X4" s="4">
        <v>7410.07</v>
      </c>
      <c r="Y4" s="4">
        <v>7410.07</v>
      </c>
      <c r="Z4" s="4">
        <f>6443.54*1.15</f>
        <v>7410.070999999999</v>
      </c>
      <c r="AA4" s="4">
        <v>7410.07</v>
      </c>
      <c r="AB4" s="4">
        <v>7410.07</v>
      </c>
      <c r="AC4" s="4">
        <v>7411.07</v>
      </c>
      <c r="AD4" s="4">
        <v>7411.07</v>
      </c>
      <c r="AE4" s="4">
        <v>7411.07</v>
      </c>
      <c r="AF4" s="4">
        <v>7411.07</v>
      </c>
      <c r="AG4" s="4">
        <v>7411.07</v>
      </c>
      <c r="AH4" s="4">
        <v>7411.07</v>
      </c>
      <c r="AI4" s="4">
        <v>7411.07</v>
      </c>
      <c r="AJ4" s="4">
        <v>7411.07</v>
      </c>
      <c r="AK4" s="4">
        <v>7411.07</v>
      </c>
      <c r="AL4" s="4">
        <v>7411.07</v>
      </c>
      <c r="AM4" s="4">
        <v>7411.07</v>
      </c>
      <c r="AN4" s="4">
        <v>7411.07</v>
      </c>
      <c r="AO4" s="4">
        <v>7411.07</v>
      </c>
      <c r="AP4" s="4">
        <v>7411.07</v>
      </c>
      <c r="AQ4" s="4">
        <f t="shared" ref="AQ4:BG4" si="0">7087.89*1.15</f>
        <v>8151.0734999999995</v>
      </c>
      <c r="AR4" s="4">
        <f t="shared" si="0"/>
        <v>8151.0734999999995</v>
      </c>
      <c r="AS4" s="4">
        <f t="shared" si="0"/>
        <v>8151.0734999999995</v>
      </c>
      <c r="AT4" s="4">
        <f t="shared" si="0"/>
        <v>8151.0734999999995</v>
      </c>
      <c r="AU4" s="4">
        <f t="shared" si="0"/>
        <v>8151.0734999999995</v>
      </c>
      <c r="AV4" s="4">
        <f t="shared" si="0"/>
        <v>8151.0734999999995</v>
      </c>
      <c r="AW4" s="4">
        <f t="shared" si="0"/>
        <v>8151.0734999999995</v>
      </c>
      <c r="AX4" s="4">
        <f t="shared" si="0"/>
        <v>8151.0734999999995</v>
      </c>
      <c r="AY4" s="4">
        <f t="shared" si="0"/>
        <v>8151.0734999999995</v>
      </c>
      <c r="AZ4" s="4">
        <f t="shared" si="0"/>
        <v>8151.0734999999995</v>
      </c>
      <c r="BA4" s="4">
        <f t="shared" si="0"/>
        <v>8151.0734999999995</v>
      </c>
      <c r="BB4" s="4">
        <f t="shared" si="0"/>
        <v>8151.0734999999995</v>
      </c>
      <c r="BC4" s="4">
        <f t="shared" si="0"/>
        <v>8151.0734999999995</v>
      </c>
      <c r="BD4" s="4">
        <f t="shared" si="0"/>
        <v>8151.0734999999995</v>
      </c>
      <c r="BE4" s="4">
        <f t="shared" si="0"/>
        <v>8151.0734999999995</v>
      </c>
      <c r="BF4" s="4">
        <f t="shared" si="0"/>
        <v>8151.0734999999995</v>
      </c>
      <c r="BG4" s="4">
        <v>6813.58</v>
      </c>
      <c r="BH4" s="4">
        <v>5028.74</v>
      </c>
      <c r="BI4" s="4">
        <v>6120.01</v>
      </c>
      <c r="BJ4" s="4"/>
    </row>
    <row r="5" spans="1:62">
      <c r="A5" s="3" t="s">
        <v>2</v>
      </c>
      <c r="B5" s="4">
        <v>4193.5698000000002</v>
      </c>
      <c r="C5" s="4">
        <v>2623.0488</v>
      </c>
      <c r="D5" s="4">
        <v>2735.85</v>
      </c>
      <c r="E5" s="4">
        <v>10206.261499999999</v>
      </c>
      <c r="F5" s="4">
        <v>5846.0594999999994</v>
      </c>
      <c r="G5" s="4">
        <v>6448.8664999999992</v>
      </c>
      <c r="H5" s="4">
        <v>5425.1364999999996</v>
      </c>
      <c r="I5" s="4">
        <v>10704.821</v>
      </c>
      <c r="J5" s="4">
        <v>7386.2544999999991</v>
      </c>
      <c r="K5" s="4">
        <v>9218.744999999999</v>
      </c>
      <c r="L5" s="4">
        <v>6556.0924999999988</v>
      </c>
      <c r="M5" s="4">
        <v>8715.4589999999989</v>
      </c>
      <c r="N5" s="4">
        <v>8715.4589999999989</v>
      </c>
      <c r="O5" s="4">
        <v>6503.0429999999988</v>
      </c>
      <c r="P5" s="4">
        <v>6452.2244999999994</v>
      </c>
      <c r="Q5" s="4">
        <v>6452.2244999999994</v>
      </c>
      <c r="R5" s="4">
        <v>6942.19</v>
      </c>
      <c r="S5" s="4">
        <v>7011.36</v>
      </c>
      <c r="T5" s="4">
        <v>8088.68</v>
      </c>
      <c r="U5" s="4">
        <v>8965</v>
      </c>
      <c r="V5" s="4">
        <v>9742.8700000000008</v>
      </c>
      <c r="W5" s="4">
        <v>0</v>
      </c>
      <c r="X5" s="4">
        <v>7606.64</v>
      </c>
      <c r="Y5" s="4">
        <v>10626.79</v>
      </c>
      <c r="Z5" s="4">
        <v>9041.5400000000009</v>
      </c>
      <c r="AA5" s="4">
        <v>7996.25</v>
      </c>
      <c r="AB5" s="4">
        <v>8183.33</v>
      </c>
      <c r="AC5" s="4">
        <v>8183.33</v>
      </c>
      <c r="AD5" s="4">
        <v>8359.74</v>
      </c>
      <c r="AE5" s="4">
        <f>37551.19-33580.83</f>
        <v>3970.3600000000006</v>
      </c>
      <c r="AF5" s="4">
        <f>2007.2+5778.49+2957.03</f>
        <v>10742.72</v>
      </c>
      <c r="AG5" s="4">
        <f>5646.26+3059</f>
        <v>8705.26</v>
      </c>
      <c r="AH5" s="4">
        <f>10320.69-5646.26+3160.97</f>
        <v>7835.4</v>
      </c>
      <c r="AI5" s="4">
        <v>2957.03</v>
      </c>
      <c r="AJ5" s="9"/>
      <c r="AK5" s="9"/>
      <c r="AL5" s="10">
        <v>23329.360000000001</v>
      </c>
      <c r="AM5" s="10">
        <v>3928.36</v>
      </c>
      <c r="AN5" s="10">
        <f>4759.45+3059</f>
        <v>7818.45</v>
      </c>
      <c r="AO5" s="10">
        <f>4306.06+3466.87</f>
        <v>7772.93</v>
      </c>
      <c r="AP5" s="10">
        <f>4342.79+2753.1</f>
        <v>7095.8899999999994</v>
      </c>
      <c r="AQ5" s="10">
        <v>7623.06</v>
      </c>
      <c r="AR5" s="10">
        <v>10127.549999999999</v>
      </c>
      <c r="AS5" s="10">
        <v>10557.96</v>
      </c>
      <c r="AT5" s="10">
        <v>9248.16</v>
      </c>
      <c r="AU5" s="10">
        <v>3925.72</v>
      </c>
      <c r="AV5" s="10">
        <v>13900.46</v>
      </c>
      <c r="AW5" s="10">
        <v>9331.06</v>
      </c>
      <c r="AX5" s="10">
        <f>9666.12+2579.76-5405.34</f>
        <v>6840.5400000000009</v>
      </c>
      <c r="AY5" s="10">
        <v>15572.93</v>
      </c>
      <c r="AZ5" s="10">
        <v>824.71</v>
      </c>
      <c r="BA5" s="10">
        <v>7090.62</v>
      </c>
      <c r="BB5" s="10">
        <v>3423.98</v>
      </c>
      <c r="BC5" s="10">
        <v>6621.19</v>
      </c>
      <c r="BD5" s="10">
        <v>8723.5</v>
      </c>
      <c r="BE5" s="10">
        <v>8874.6299999999992</v>
      </c>
      <c r="BF5" s="10">
        <v>10375.94</v>
      </c>
      <c r="BG5" s="10">
        <v>6912.16</v>
      </c>
      <c r="BH5" s="10">
        <v>3207.79</v>
      </c>
      <c r="BI5" s="10">
        <v>11819.06</v>
      </c>
      <c r="BJ5" s="10"/>
    </row>
    <row r="6" spans="1:62">
      <c r="A6" s="3" t="s">
        <v>3</v>
      </c>
      <c r="B6" s="4">
        <v>1498.7501999999995</v>
      </c>
      <c r="C6" s="4">
        <v>3069.2711999999997</v>
      </c>
      <c r="D6" s="4">
        <v>2956.47</v>
      </c>
      <c r="E6" s="4">
        <v>-4652.8614999999991</v>
      </c>
      <c r="F6" s="4">
        <v>-14.819499999999607</v>
      </c>
      <c r="G6" s="4">
        <v>-756.54649999999947</v>
      </c>
      <c r="H6" s="4">
        <v>1984.9335000000001</v>
      </c>
      <c r="I6" s="4">
        <v>-3294.7510000000002</v>
      </c>
      <c r="J6" s="4">
        <v>23.815500000000611</v>
      </c>
      <c r="K6" s="4">
        <v>-1808.6749999999993</v>
      </c>
      <c r="L6" s="4">
        <v>853.97750000000087</v>
      </c>
      <c r="M6" s="4">
        <v>-1305.3889999999992</v>
      </c>
      <c r="N6" s="4">
        <f>N4-N5</f>
        <v>-1305.3889999999992</v>
      </c>
      <c r="O6" s="4">
        <f t="shared" ref="O6:Y6" si="1">O4-O5</f>
        <v>907.02700000000095</v>
      </c>
      <c r="P6" s="4">
        <f t="shared" si="1"/>
        <v>957.84550000000036</v>
      </c>
      <c r="Q6" s="4">
        <f t="shared" si="1"/>
        <v>957.84550000000036</v>
      </c>
      <c r="R6" s="4">
        <f t="shared" si="1"/>
        <v>467.88000000000011</v>
      </c>
      <c r="S6" s="4">
        <f t="shared" si="1"/>
        <v>398.73000000000047</v>
      </c>
      <c r="T6" s="4">
        <f t="shared" si="1"/>
        <v>-678.59000000000015</v>
      </c>
      <c r="U6" s="4">
        <f t="shared" si="1"/>
        <v>-1554.9099999999999</v>
      </c>
      <c r="V6" s="4">
        <f t="shared" si="1"/>
        <v>-2149.3400000000011</v>
      </c>
      <c r="W6" s="4">
        <f t="shared" si="1"/>
        <v>7410.07</v>
      </c>
      <c r="X6" s="4">
        <f t="shared" si="1"/>
        <v>-196.57000000000062</v>
      </c>
      <c r="Y6" s="4">
        <f t="shared" si="1"/>
        <v>-3216.7200000000012</v>
      </c>
      <c r="Z6" s="4">
        <f t="shared" ref="Z6:AB6" si="2">Z4-Z5</f>
        <v>-1631.4690000000019</v>
      </c>
      <c r="AA6" s="4">
        <f t="shared" si="2"/>
        <v>-586.18000000000029</v>
      </c>
      <c r="AB6" s="4">
        <f t="shared" si="2"/>
        <v>-773.26000000000022</v>
      </c>
      <c r="AC6" s="4">
        <f t="shared" ref="AC6:AD6" si="3">AC4-AC5</f>
        <v>-772.26000000000022</v>
      </c>
      <c r="AD6" s="4">
        <f t="shared" si="3"/>
        <v>-948.67000000000007</v>
      </c>
      <c r="AE6" s="4">
        <f t="shared" ref="AE6:AF6" si="4">AE4-AE5</f>
        <v>3440.7099999999991</v>
      </c>
      <c r="AF6" s="4">
        <f t="shared" si="4"/>
        <v>-3331.6499999999996</v>
      </c>
      <c r="AG6" s="4">
        <f t="shared" ref="AG6:AH6" si="5">AG4-AG5</f>
        <v>-1294.1900000000005</v>
      </c>
      <c r="AH6" s="4">
        <f t="shared" si="5"/>
        <v>-424.32999999999993</v>
      </c>
      <c r="AI6" s="4">
        <f t="shared" ref="AI6:AM6" si="6">AI4-AI5</f>
        <v>4454.0399999999991</v>
      </c>
      <c r="AJ6" s="4">
        <f t="shared" si="6"/>
        <v>7411.07</v>
      </c>
      <c r="AK6" s="4">
        <f t="shared" si="6"/>
        <v>7411.07</v>
      </c>
      <c r="AL6" s="4">
        <f t="shared" si="6"/>
        <v>-15918.29</v>
      </c>
      <c r="AM6" s="4">
        <f t="shared" si="6"/>
        <v>3482.7099999999996</v>
      </c>
      <c r="AN6" s="4">
        <f t="shared" ref="AN6:AO6" si="7">AN4-AN5</f>
        <v>-407.38000000000011</v>
      </c>
      <c r="AO6" s="4">
        <f t="shared" si="7"/>
        <v>-361.86000000000058</v>
      </c>
      <c r="AP6" s="4">
        <f t="shared" ref="AP6:AQ6" si="8">AP4-AP5</f>
        <v>315.18000000000029</v>
      </c>
      <c r="AQ6" s="4">
        <f t="shared" si="8"/>
        <v>528.01349999999911</v>
      </c>
      <c r="AR6" s="4">
        <f t="shared" ref="AR6:AS6" si="9">AR4-AR5</f>
        <v>-1976.4764999999998</v>
      </c>
      <c r="AS6" s="4">
        <f t="shared" si="9"/>
        <v>-2406.8864999999996</v>
      </c>
      <c r="AT6" s="4">
        <f t="shared" ref="AT6:AU6" si="10">AT4-AT5</f>
        <v>-1097.0865000000003</v>
      </c>
      <c r="AU6" s="4">
        <f t="shared" si="10"/>
        <v>4225.3534999999993</v>
      </c>
      <c r="AV6" s="4">
        <f t="shared" ref="AV6:AW6" si="11">AV4-AV5</f>
        <v>-5749.3864999999996</v>
      </c>
      <c r="AW6" s="4">
        <f t="shared" si="11"/>
        <v>-1179.9865</v>
      </c>
      <c r="AX6" s="4">
        <f t="shared" ref="AX6:AY6" si="12">AX4-AX5</f>
        <v>1310.5334999999986</v>
      </c>
      <c r="AY6" s="4">
        <f t="shared" si="12"/>
        <v>-7421.8565000000008</v>
      </c>
      <c r="AZ6" s="4">
        <f t="shared" ref="AZ6:BA6" si="13">AZ4-AZ5</f>
        <v>7326.3634999999995</v>
      </c>
      <c r="BA6" s="4">
        <f t="shared" si="13"/>
        <v>1060.4534999999996</v>
      </c>
      <c r="BB6" s="4">
        <f t="shared" ref="BB6:BC6" si="14">BB4-BB5</f>
        <v>4727.093499999999</v>
      </c>
      <c r="BC6" s="4">
        <f t="shared" si="14"/>
        <v>1529.8834999999999</v>
      </c>
      <c r="BD6" s="4">
        <f t="shared" ref="BD6:BE6" si="15">BD4-BD5</f>
        <v>-572.42650000000049</v>
      </c>
      <c r="BE6" s="4">
        <f t="shared" si="15"/>
        <v>-723.55649999999969</v>
      </c>
      <c r="BF6" s="4">
        <f t="shared" ref="BF6:BG6" si="16">BF4-BF5</f>
        <v>-2224.866500000001</v>
      </c>
      <c r="BG6" s="4">
        <f t="shared" si="16"/>
        <v>-98.579999999999927</v>
      </c>
      <c r="BH6" s="4">
        <f t="shared" ref="BH6:BI6" si="17">BH4-BH5</f>
        <v>1820.9499999999998</v>
      </c>
      <c r="BI6" s="4">
        <f t="shared" si="17"/>
        <v>-5699.0499999999993</v>
      </c>
      <c r="BJ6" s="4">
        <f t="shared" ref="BJ6" si="18">BJ4-BJ5</f>
        <v>0</v>
      </c>
    </row>
  </sheetData>
  <pageMargins left="0.25" right="0.25" top="0.75" bottom="0.75" header="0.3" footer="0.3"/>
  <pageSetup paperSize="9" scale="86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D2A1-B23D-4A35-81B9-AACBBF4334A1}">
  <dimension ref="A1:AF18"/>
  <sheetViews>
    <sheetView tabSelected="1" topLeftCell="C1" workbookViewId="0">
      <selection activeCell="AE19" sqref="AE19"/>
    </sheetView>
  </sheetViews>
  <sheetFormatPr defaultRowHeight="15"/>
  <cols>
    <col min="12" max="12" width="3.28515625" customWidth="1"/>
    <col min="14" max="15" width="11.5703125" hidden="1" customWidth="1"/>
    <col min="16" max="16" width="10.5703125" hidden="1" customWidth="1"/>
    <col min="18" max="20" width="11.5703125" hidden="1" customWidth="1"/>
    <col min="22" max="22" width="11.7109375" hidden="1" customWidth="1"/>
    <col min="23" max="23" width="12.7109375" hidden="1" customWidth="1"/>
    <col min="24" max="24" width="14.5703125" hidden="1" customWidth="1"/>
    <col min="26" max="26" width="11.7109375" hidden="1" customWidth="1"/>
    <col min="27" max="27" width="12.7109375" hidden="1" customWidth="1"/>
    <col min="28" max="28" width="14.5703125" hidden="1" customWidth="1"/>
    <col min="30" max="31" width="12" bestFit="1" customWidth="1"/>
    <col min="32" max="32" width="28.85546875" bestFit="1" customWidth="1"/>
  </cols>
  <sheetData>
    <row r="1" spans="1:32" ht="18.75">
      <c r="A1" s="2" t="s">
        <v>4</v>
      </c>
    </row>
    <row r="2" spans="1:32">
      <c r="N2" t="s">
        <v>5</v>
      </c>
      <c r="O2" t="s">
        <v>6</v>
      </c>
      <c r="R2" t="s">
        <v>5</v>
      </c>
      <c r="S2" t="s">
        <v>6</v>
      </c>
      <c r="V2" t="s">
        <v>5</v>
      </c>
      <c r="W2" t="s">
        <v>6</v>
      </c>
      <c r="Z2" t="s">
        <v>5</v>
      </c>
      <c r="AA2" t="s">
        <v>6</v>
      </c>
      <c r="AD2" t="s">
        <v>5</v>
      </c>
      <c r="AE2" t="s">
        <v>6</v>
      </c>
    </row>
    <row r="3" spans="1:32">
      <c r="M3" s="1">
        <v>43466</v>
      </c>
      <c r="N3" s="5">
        <v>7410.07</v>
      </c>
      <c r="O3" s="5">
        <v>8715.4589999999989</v>
      </c>
      <c r="Q3" s="1">
        <v>43525</v>
      </c>
      <c r="R3" s="5">
        <v>7410.07</v>
      </c>
      <c r="S3" s="5">
        <v>6452.2244999999994</v>
      </c>
      <c r="U3" s="1">
        <v>43891</v>
      </c>
      <c r="V3" s="8">
        <v>7410.07</v>
      </c>
      <c r="W3" s="8">
        <v>7996.25</v>
      </c>
      <c r="X3" s="5"/>
      <c r="Y3" s="1">
        <v>44256</v>
      </c>
      <c r="Z3" s="8">
        <v>7410.070999999999</v>
      </c>
      <c r="AA3" s="8">
        <v>7818.45</v>
      </c>
      <c r="AB3" s="5"/>
      <c r="AC3" s="1">
        <v>44621</v>
      </c>
      <c r="AD3" s="8">
        <v>8151.0734999999995</v>
      </c>
      <c r="AE3" s="8">
        <v>824.71</v>
      </c>
      <c r="AF3" s="5"/>
    </row>
    <row r="4" spans="1:32">
      <c r="M4" s="1">
        <v>43497</v>
      </c>
      <c r="N4" s="5">
        <v>7410.07</v>
      </c>
      <c r="O4" s="5">
        <v>6503.0429999999988</v>
      </c>
      <c r="Q4" s="1">
        <v>43556</v>
      </c>
      <c r="R4" s="5">
        <v>7410.07</v>
      </c>
      <c r="S4" s="5">
        <v>6452.2244999999994</v>
      </c>
      <c r="U4" s="1">
        <v>43922</v>
      </c>
      <c r="V4" s="8">
        <v>7410.07</v>
      </c>
      <c r="W4" s="8">
        <v>8183.33</v>
      </c>
      <c r="X4" s="5"/>
      <c r="Y4" s="1">
        <v>44287</v>
      </c>
      <c r="Z4" s="8">
        <v>7410.07</v>
      </c>
      <c r="AA4" s="8">
        <v>7772.93</v>
      </c>
      <c r="AB4" s="5"/>
      <c r="AC4" s="1">
        <v>44652</v>
      </c>
      <c r="AD4" s="8">
        <v>8151.0734999999995</v>
      </c>
      <c r="AE4" s="8">
        <v>7090.62</v>
      </c>
      <c r="AF4" s="5"/>
    </row>
    <row r="5" spans="1:32">
      <c r="M5" s="1"/>
      <c r="N5" s="5"/>
      <c r="O5" s="5"/>
      <c r="Q5" s="1">
        <v>43586</v>
      </c>
      <c r="R5" s="5">
        <v>7410.07</v>
      </c>
      <c r="S5" s="5">
        <v>6942.19</v>
      </c>
      <c r="U5" s="1">
        <v>43952</v>
      </c>
      <c r="V5" s="8">
        <v>7410.07</v>
      </c>
      <c r="W5" s="8">
        <v>8359.74</v>
      </c>
      <c r="X5" s="5"/>
      <c r="Y5" s="1">
        <v>44317</v>
      </c>
      <c r="Z5" s="8">
        <v>7410.07</v>
      </c>
      <c r="AA5" s="8">
        <v>7095.8899999999994</v>
      </c>
      <c r="AB5" s="5"/>
      <c r="AC5" s="1">
        <v>44682</v>
      </c>
      <c r="AD5" s="8">
        <v>8151.0734999999995</v>
      </c>
      <c r="AE5" s="8">
        <v>3423.98</v>
      </c>
      <c r="AF5" s="5"/>
    </row>
    <row r="6" spans="1:32">
      <c r="M6" s="1"/>
      <c r="N6" s="5"/>
      <c r="O6" s="5"/>
      <c r="Q6" s="1">
        <v>43617</v>
      </c>
      <c r="R6" s="5">
        <v>7410.09</v>
      </c>
      <c r="S6" s="5">
        <v>7011.36</v>
      </c>
      <c r="U6" s="1">
        <v>43983</v>
      </c>
      <c r="V6" s="8">
        <v>7410.07</v>
      </c>
      <c r="W6" s="8">
        <v>3970.3600000000006</v>
      </c>
      <c r="X6" s="5"/>
      <c r="Y6" s="1">
        <v>44348</v>
      </c>
      <c r="Z6" s="8">
        <v>8151.0734999999995</v>
      </c>
      <c r="AA6" s="8">
        <v>7623.06</v>
      </c>
      <c r="AB6" s="5"/>
      <c r="AC6" s="1">
        <v>44713</v>
      </c>
      <c r="AD6" s="8">
        <v>8151.0734999999995</v>
      </c>
      <c r="AE6" s="8">
        <v>6621.19</v>
      </c>
      <c r="AF6" s="5"/>
    </row>
    <row r="7" spans="1:32">
      <c r="M7" s="1"/>
      <c r="N7" s="5"/>
      <c r="O7" s="5"/>
      <c r="Q7" s="1">
        <v>43647</v>
      </c>
      <c r="R7" s="5">
        <v>7410.09</v>
      </c>
      <c r="S7" s="5">
        <v>8088.68</v>
      </c>
      <c r="U7" s="1">
        <v>44013</v>
      </c>
      <c r="V7" s="8">
        <v>7410.07</v>
      </c>
      <c r="W7" s="8">
        <v>10742.72</v>
      </c>
      <c r="X7" s="5"/>
      <c r="Y7" s="1">
        <v>44378</v>
      </c>
      <c r="Z7" s="8">
        <v>8151.0734999999995</v>
      </c>
      <c r="AA7" s="8">
        <v>10127.549999999999</v>
      </c>
      <c r="AB7" s="5"/>
      <c r="AC7" s="1">
        <v>44743</v>
      </c>
      <c r="AD7" s="8">
        <v>8151.0734999999995</v>
      </c>
      <c r="AE7" s="8">
        <v>8723.5</v>
      </c>
      <c r="AF7" s="5"/>
    </row>
    <row r="8" spans="1:32">
      <c r="M8" s="1"/>
      <c r="N8" s="5"/>
      <c r="O8" s="5"/>
      <c r="Q8" s="1">
        <v>43678</v>
      </c>
      <c r="R8" s="5">
        <v>7410.09</v>
      </c>
      <c r="S8" s="5">
        <v>8965</v>
      </c>
      <c r="U8" s="1">
        <v>44044</v>
      </c>
      <c r="V8" s="8">
        <v>7410.07</v>
      </c>
      <c r="W8" s="8">
        <v>8705.26</v>
      </c>
      <c r="X8" s="5"/>
      <c r="Y8" s="1">
        <v>44409</v>
      </c>
      <c r="Z8" s="8">
        <v>8151.0734999999995</v>
      </c>
      <c r="AA8" s="8">
        <v>10557.96</v>
      </c>
      <c r="AB8" s="5"/>
      <c r="AC8" s="1">
        <v>44774</v>
      </c>
      <c r="AD8" s="8">
        <v>8151.0734999999995</v>
      </c>
      <c r="AE8" s="8">
        <v>8874.6299999999992</v>
      </c>
      <c r="AF8" s="5"/>
    </row>
    <row r="9" spans="1:32">
      <c r="M9" s="1"/>
      <c r="N9" s="5"/>
      <c r="O9" s="5"/>
      <c r="Q9" s="1">
        <v>43709</v>
      </c>
      <c r="R9" s="5">
        <v>7593.53</v>
      </c>
      <c r="S9" s="5">
        <v>9742.8700000000008</v>
      </c>
      <c r="U9" s="1">
        <v>44075</v>
      </c>
      <c r="V9" s="8">
        <v>7411.07</v>
      </c>
      <c r="W9" s="8">
        <v>7835.4</v>
      </c>
      <c r="X9" s="5"/>
      <c r="Y9" s="1">
        <v>44440</v>
      </c>
      <c r="Z9" s="8">
        <v>8151.0734999999995</v>
      </c>
      <c r="AA9" s="8">
        <v>9248.16</v>
      </c>
      <c r="AB9" s="5"/>
      <c r="AC9" s="1">
        <v>44805</v>
      </c>
      <c r="AD9" s="8">
        <v>8151.0734999999995</v>
      </c>
      <c r="AE9" s="8">
        <v>10375.94</v>
      </c>
      <c r="AF9" s="5"/>
    </row>
    <row r="10" spans="1:32">
      <c r="M10" s="1"/>
      <c r="N10" s="5"/>
      <c r="O10" s="5"/>
      <c r="Q10" s="1">
        <v>43739</v>
      </c>
      <c r="R10" s="5">
        <v>7410.07</v>
      </c>
      <c r="S10" s="5">
        <v>0</v>
      </c>
      <c r="T10" t="s">
        <v>7</v>
      </c>
      <c r="U10" s="1">
        <v>44105</v>
      </c>
      <c r="V10" s="8">
        <v>7411.07</v>
      </c>
      <c r="W10" s="8">
        <v>2957.03</v>
      </c>
      <c r="X10" s="5"/>
      <c r="Y10" s="1">
        <v>44470</v>
      </c>
      <c r="Z10" s="8">
        <v>8151.0734999999995</v>
      </c>
      <c r="AA10" s="8">
        <v>3925.72</v>
      </c>
      <c r="AB10" s="5"/>
      <c r="AC10" s="1">
        <v>44835</v>
      </c>
      <c r="AD10" s="8">
        <v>6813.58</v>
      </c>
      <c r="AE10" s="8">
        <v>6912.16</v>
      </c>
      <c r="AF10" s="5"/>
    </row>
    <row r="11" spans="1:32">
      <c r="M11" s="1"/>
      <c r="N11" s="5"/>
      <c r="O11" s="5"/>
      <c r="Q11" s="1">
        <v>43770</v>
      </c>
      <c r="R11" s="5">
        <v>7410.07</v>
      </c>
      <c r="S11" s="5">
        <v>7606.64</v>
      </c>
      <c r="U11" s="1">
        <v>44136</v>
      </c>
      <c r="V11" s="8">
        <v>7411.07</v>
      </c>
      <c r="W11" s="8"/>
      <c r="X11" s="5"/>
      <c r="Y11" s="1">
        <v>44501</v>
      </c>
      <c r="Z11" s="8">
        <v>8151.0734999999995</v>
      </c>
      <c r="AA11" s="8">
        <v>13900.46</v>
      </c>
      <c r="AB11" s="5"/>
      <c r="AC11" s="1">
        <v>44866</v>
      </c>
      <c r="AD11" s="8">
        <v>5028.74</v>
      </c>
      <c r="AE11" s="8">
        <v>3207.79</v>
      </c>
      <c r="AF11" s="5"/>
    </row>
    <row r="12" spans="1:32">
      <c r="M12" s="1"/>
      <c r="N12" s="5"/>
      <c r="O12" s="5"/>
      <c r="Q12" s="1">
        <v>43800</v>
      </c>
      <c r="R12" s="5">
        <v>7410.07</v>
      </c>
      <c r="S12" s="5">
        <v>10626.79</v>
      </c>
      <c r="U12" s="1">
        <v>44166</v>
      </c>
      <c r="V12" s="8">
        <v>7411.07</v>
      </c>
      <c r="W12" s="8"/>
      <c r="X12" s="5"/>
      <c r="Y12" s="1">
        <v>44531</v>
      </c>
      <c r="Z12" s="8">
        <v>8151.0734999999995</v>
      </c>
      <c r="AA12" s="8">
        <v>9331.06</v>
      </c>
      <c r="AB12" s="5"/>
      <c r="AC12" s="1">
        <v>44896</v>
      </c>
      <c r="AD12" s="8">
        <v>6120.01</v>
      </c>
      <c r="AE12" s="8">
        <v>11819.06</v>
      </c>
      <c r="AF12" s="5"/>
    </row>
    <row r="13" spans="1:32">
      <c r="M13" s="1"/>
      <c r="N13" s="5"/>
      <c r="O13" s="5"/>
      <c r="Q13" s="1">
        <v>43831</v>
      </c>
      <c r="R13" s="8">
        <v>7410.070999999999</v>
      </c>
      <c r="S13" s="8">
        <v>9041.5400000000009</v>
      </c>
      <c r="T13" s="5"/>
      <c r="U13" s="1">
        <v>44197</v>
      </c>
      <c r="V13" s="8">
        <v>7410.070999999999</v>
      </c>
      <c r="W13" s="8">
        <v>23329.360000000001</v>
      </c>
      <c r="X13" t="s">
        <v>8</v>
      </c>
      <c r="Y13" s="1">
        <v>44562</v>
      </c>
      <c r="Z13" s="8">
        <v>8151.0734999999995</v>
      </c>
      <c r="AA13" s="8">
        <v>6840.5400000000009</v>
      </c>
      <c r="AB13" t="s">
        <v>8</v>
      </c>
      <c r="AC13" s="1">
        <v>44927</v>
      </c>
      <c r="AD13" s="8"/>
      <c r="AE13" s="8"/>
      <c r="AF13" s="5"/>
    </row>
    <row r="14" spans="1:32">
      <c r="M14" s="1"/>
      <c r="N14" s="5"/>
      <c r="O14" s="5"/>
      <c r="Q14" s="1">
        <v>43862</v>
      </c>
      <c r="R14" s="8">
        <v>7410.07</v>
      </c>
      <c r="S14" s="8">
        <v>7996.25</v>
      </c>
      <c r="T14" s="5"/>
      <c r="U14" s="1">
        <v>44228</v>
      </c>
      <c r="V14" s="8">
        <v>7410.07</v>
      </c>
      <c r="W14" s="5">
        <v>3928.36</v>
      </c>
      <c r="X14" s="5"/>
      <c r="Y14" s="1">
        <v>44593</v>
      </c>
      <c r="Z14" s="8">
        <v>8151.0734999999995</v>
      </c>
      <c r="AA14" s="5">
        <v>15572.93</v>
      </c>
      <c r="AB14" s="5"/>
      <c r="AC14" s="1">
        <v>44958</v>
      </c>
      <c r="AD14" s="8"/>
      <c r="AE14" s="8"/>
      <c r="AF14" s="5"/>
    </row>
    <row r="15" spans="1:32">
      <c r="N15" s="6">
        <f>SUM(N3:N14)</f>
        <v>14820.14</v>
      </c>
      <c r="O15" s="6">
        <f>SUM(O3:O14)</f>
        <v>15218.501999999997</v>
      </c>
      <c r="P15" s="6">
        <f>N15-O15</f>
        <v>-398.36199999999735</v>
      </c>
      <c r="R15" s="6">
        <f>SUM(R3:R14)</f>
        <v>89104.361000000004</v>
      </c>
      <c r="S15" s="6">
        <f>SUM(S3:S14)</f>
        <v>88925.769</v>
      </c>
      <c r="T15" s="6">
        <f>R15-S15</f>
        <v>178.59200000000419</v>
      </c>
      <c r="V15" s="6">
        <f>SUM(V3:V14)</f>
        <v>88924.841000000015</v>
      </c>
      <c r="W15" s="6">
        <f>SUM(W3:W14)</f>
        <v>86007.810000000012</v>
      </c>
      <c r="X15" s="6">
        <f>V15-W15</f>
        <v>2917.0310000000027</v>
      </c>
      <c r="Z15" s="6">
        <f>SUM(Z3:Z14)</f>
        <v>95589.872499999998</v>
      </c>
      <c r="AA15" s="6">
        <f>SUM(AA3:AA14)</f>
        <v>109814.70999999999</v>
      </c>
      <c r="AB15" s="6">
        <f>Z15-AA15</f>
        <v>-14224.837499999994</v>
      </c>
      <c r="AD15" s="6">
        <f>SUM(AD3:AD14)</f>
        <v>75019.844499999992</v>
      </c>
      <c r="AE15" s="6">
        <f>SUM(AE3:AE14)</f>
        <v>67873.58</v>
      </c>
      <c r="AF15" s="6">
        <f>AD15-AE15</f>
        <v>7146.2644999999902</v>
      </c>
    </row>
    <row r="16" spans="1:32">
      <c r="O16" s="5">
        <f>O15/12</f>
        <v>1268.2084999999997</v>
      </c>
    </row>
    <row r="17" spans="27:27">
      <c r="AA17" s="11">
        <f>AE4+AA13+AA12+AA11+AA8+AA7</f>
        <v>57848.19</v>
      </c>
    </row>
    <row r="18" spans="27:27">
      <c r="AA18" s="11">
        <f>AA17/6</f>
        <v>9641.3649999999998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73799A-37A1-4198-81EB-BBFE56AC4209}"/>
</file>

<file path=customXml/itemProps2.xml><?xml version="1.0" encoding="utf-8"?>
<ds:datastoreItem xmlns:ds="http://schemas.openxmlformats.org/officeDocument/2006/customXml" ds:itemID="{D7300EAA-0D0C-474A-96D2-3140DB59583E}"/>
</file>

<file path=customXml/itemProps3.xml><?xml version="1.0" encoding="utf-8"?>
<ds:datastoreItem xmlns:ds="http://schemas.openxmlformats.org/officeDocument/2006/customXml" ds:itemID="{EA6D2860-94C3-43A8-9F65-22461A5E3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2019-06-12T13:54:23Z</dcterms:created>
  <dcterms:modified xsi:type="dcterms:W3CDTF">2023-01-24T09:53:29Z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