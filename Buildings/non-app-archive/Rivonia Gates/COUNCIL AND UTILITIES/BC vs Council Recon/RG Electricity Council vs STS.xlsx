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ziopro.sharepoint.com/sites/Fuzio-Org/Shared Documents/Council Accounts/STS vs Council Reports/RG/Utilities Back Date/"/>
    </mc:Choice>
  </mc:AlternateContent>
  <xr:revisionPtr revIDLastSave="422" documentId="13_ncr:1_{20DCEDA4-7E96-4940-B4A9-4A2E896559D7}" xr6:coauthVersionLast="47" xr6:coauthVersionMax="47" xr10:uidLastSave="{77BF28E5-88ED-483E-BBF5-80D5600DBC70}"/>
  <bookViews>
    <workbookView xWindow="-120" yWindow="-120" windowWidth="20730" windowHeight="11160" firstSheet="3" xr2:uid="{98DB4365-F717-4949-A543-67BF09C37425}"/>
  </bookViews>
  <sheets>
    <sheet name="Data" sheetId="1" r:id="rId1"/>
    <sheet name="Graph" sheetId="2" r:id="rId2"/>
    <sheet name="Consumption Graph" sheetId="3" r:id="rId3"/>
    <sheet name="Rates Graph" sheetId="4" r:id="rId4"/>
    <sheet name="Sheet1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18" i="1" l="1"/>
  <c r="G418" i="1"/>
  <c r="E418" i="1"/>
  <c r="H417" i="1"/>
  <c r="G417" i="1"/>
  <c r="E417" i="1"/>
  <c r="L418" i="1"/>
  <c r="B417" i="1"/>
  <c r="D417" i="1" s="1"/>
  <c r="L417" i="1" s="1"/>
  <c r="E410" i="1"/>
  <c r="H410" i="1"/>
  <c r="G410" i="1"/>
  <c r="H409" i="1"/>
  <c r="G409" i="1"/>
  <c r="E409" i="1"/>
  <c r="L410" i="1"/>
  <c r="B409" i="1"/>
  <c r="D409" i="1" s="1"/>
  <c r="L409" i="1" s="1"/>
  <c r="H402" i="1"/>
  <c r="G402" i="1"/>
  <c r="E402" i="1"/>
  <c r="K401" i="1"/>
  <c r="H401" i="1"/>
  <c r="G401" i="1"/>
  <c r="F401" i="1"/>
  <c r="E401" i="1"/>
  <c r="L402" i="1"/>
  <c r="B401" i="1"/>
  <c r="D401" i="1" s="1"/>
  <c r="L401" i="1" s="1"/>
  <c r="H394" i="1"/>
  <c r="G394" i="1"/>
  <c r="E394" i="1"/>
  <c r="H393" i="1"/>
  <c r="G393" i="1"/>
  <c r="E393" i="1"/>
  <c r="L394" i="1"/>
  <c r="B393" i="1"/>
  <c r="D393" i="1" s="1"/>
  <c r="L393" i="1" s="1"/>
  <c r="G386" i="1"/>
  <c r="E386" i="1"/>
  <c r="G385" i="1"/>
  <c r="E385" i="1"/>
  <c r="D385" i="1"/>
  <c r="L386" i="1"/>
  <c r="H386" i="1"/>
  <c r="H385" i="1"/>
  <c r="B385" i="1"/>
  <c r="L385" i="1" s="1"/>
  <c r="K378" i="1"/>
  <c r="H378" i="1"/>
  <c r="G378" i="1"/>
  <c r="E378" i="1"/>
  <c r="H377" i="1"/>
  <c r="G377" i="1"/>
  <c r="E377" i="1"/>
  <c r="L378" i="1"/>
  <c r="B377" i="1"/>
  <c r="D377" i="1" s="1"/>
  <c r="L377" i="1" s="1"/>
  <c r="AD16" i="2"/>
  <c r="AC16" i="2"/>
  <c r="AE16" i="2" s="1"/>
  <c r="H370" i="1"/>
  <c r="G370" i="1"/>
  <c r="E370" i="1"/>
  <c r="H369" i="1"/>
  <c r="G369" i="1"/>
  <c r="F369" i="1"/>
  <c r="E369" i="1"/>
  <c r="L370" i="1"/>
  <c r="B369" i="1"/>
  <c r="D369" i="1" s="1"/>
  <c r="L369" i="1" s="1"/>
  <c r="H362" i="1"/>
  <c r="G362" i="1"/>
  <c r="E362" i="1"/>
  <c r="H361" i="1"/>
  <c r="G361" i="1"/>
  <c r="E361" i="1"/>
  <c r="L362" i="1"/>
  <c r="B361" i="1"/>
  <c r="D361" i="1" s="1"/>
  <c r="L361" i="1" s="1"/>
  <c r="E355" i="1"/>
  <c r="H354" i="1"/>
  <c r="G354" i="1"/>
  <c r="E354" i="1"/>
  <c r="K353" i="1"/>
  <c r="H353" i="1"/>
  <c r="G353" i="1"/>
  <c r="F353" i="1"/>
  <c r="E353" i="1"/>
  <c r="L354" i="1"/>
  <c r="B353" i="1"/>
  <c r="D353" i="1" s="1"/>
  <c r="L353" i="1" s="1"/>
  <c r="H345" i="1"/>
  <c r="E347" i="1"/>
  <c r="H346" i="1"/>
  <c r="G346" i="1"/>
  <c r="E346" i="1"/>
  <c r="G345" i="1"/>
  <c r="F345" i="1"/>
  <c r="E345" i="1"/>
  <c r="E348" i="1"/>
  <c r="L346" i="1"/>
  <c r="K346" i="1"/>
  <c r="D345" i="1"/>
  <c r="L345" i="1" s="1"/>
  <c r="B345" i="1"/>
  <c r="K337" i="1"/>
  <c r="N16" i="2"/>
  <c r="M16" i="2"/>
  <c r="O16" i="2" s="1"/>
  <c r="R16" i="2"/>
  <c r="Q16" i="2"/>
  <c r="S16" i="2" s="1"/>
  <c r="V16" i="2"/>
  <c r="Y16" i="2"/>
  <c r="K338" i="1"/>
  <c r="H338" i="1"/>
  <c r="G338" i="1"/>
  <c r="E338" i="1"/>
  <c r="H337" i="1"/>
  <c r="G337" i="1"/>
  <c r="E337" i="1"/>
  <c r="L338" i="1"/>
  <c r="B337" i="1"/>
  <c r="D337" i="1" s="1"/>
  <c r="L337" i="1" s="1"/>
  <c r="H329" i="1"/>
  <c r="G329" i="1"/>
  <c r="E329" i="1"/>
  <c r="H330" i="1"/>
  <c r="G330" i="1"/>
  <c r="E330" i="1"/>
  <c r="K330" i="1" s="1"/>
  <c r="L330" i="1"/>
  <c r="E331" i="1"/>
  <c r="B329" i="1"/>
  <c r="D329" i="1" s="1"/>
  <c r="L329" i="1" s="1"/>
  <c r="K322" i="1"/>
  <c r="H322" i="1"/>
  <c r="G322" i="1"/>
  <c r="E322" i="1"/>
  <c r="F321" i="1"/>
  <c r="E321" i="1"/>
  <c r="H321" i="1"/>
  <c r="G321" i="1"/>
  <c r="L322" i="1"/>
  <c r="E324" i="1"/>
  <c r="B321" i="1"/>
  <c r="D321" i="1" s="1"/>
  <c r="E313" i="1"/>
  <c r="K314" i="1"/>
  <c r="H314" i="1"/>
  <c r="G314" i="1"/>
  <c r="E314" i="1"/>
  <c r="H313" i="1"/>
  <c r="G313" i="1"/>
  <c r="L314" i="1"/>
  <c r="E315" i="1"/>
  <c r="B313" i="1"/>
  <c r="D313" i="1" s="1"/>
  <c r="K306" i="1"/>
  <c r="E306" i="1"/>
  <c r="H306" i="1"/>
  <c r="G306" i="1"/>
  <c r="E305" i="1"/>
  <c r="F305" i="1"/>
  <c r="H305" i="1"/>
  <c r="G305" i="1"/>
  <c r="L306" i="1"/>
  <c r="B305" i="1"/>
  <c r="D305" i="1" s="1"/>
  <c r="L305" i="1" s="1"/>
  <c r="H297" i="1"/>
  <c r="G297" i="1"/>
  <c r="H298" i="1"/>
  <c r="G298" i="1"/>
  <c r="E297" i="1"/>
  <c r="F297" i="1"/>
  <c r="L298" i="1"/>
  <c r="B297" i="1"/>
  <c r="D297" i="1" s="1"/>
  <c r="L297" i="1" s="1"/>
  <c r="E290" i="1"/>
  <c r="F289" i="1"/>
  <c r="H290" i="1"/>
  <c r="K290" i="1"/>
  <c r="H289" i="1"/>
  <c r="G289" i="1"/>
  <c r="E289" i="1"/>
  <c r="L290" i="1"/>
  <c r="G290" i="1"/>
  <c r="B289" i="1"/>
  <c r="D289" i="1" s="1"/>
  <c r="L289" i="1" s="1"/>
  <c r="K281" i="1"/>
  <c r="E283" i="1"/>
  <c r="H282" i="1"/>
  <c r="G282" i="1"/>
  <c r="E282" i="1"/>
  <c r="H281" i="1"/>
  <c r="G281" i="1"/>
  <c r="F281" i="1"/>
  <c r="E281" i="1"/>
  <c r="L282" i="1"/>
  <c r="K282" i="1"/>
  <c r="B281" i="1"/>
  <c r="D281" i="1" s="1"/>
  <c r="L281" i="1" s="1"/>
  <c r="K274" i="1"/>
  <c r="K266" i="1"/>
  <c r="E274" i="1"/>
  <c r="E276" i="1" s="1"/>
  <c r="H273" i="1"/>
  <c r="G273" i="1"/>
  <c r="F273" i="1"/>
  <c r="E273" i="1"/>
  <c r="L274" i="1"/>
  <c r="B273" i="1"/>
  <c r="D273" i="1" s="1"/>
  <c r="H266" i="1"/>
  <c r="G266" i="1"/>
  <c r="E266" i="1"/>
  <c r="H265" i="1"/>
  <c r="G265" i="1"/>
  <c r="F265" i="1"/>
  <c r="E265" i="1"/>
  <c r="L266" i="1"/>
  <c r="E267" i="1"/>
  <c r="B265" i="1"/>
  <c r="D265" i="1" s="1"/>
  <c r="L265" i="1" s="1"/>
  <c r="K257" i="1"/>
  <c r="F257" i="1"/>
  <c r="E257" i="1"/>
  <c r="H258" i="1"/>
  <c r="G258" i="1"/>
  <c r="E258" i="1"/>
  <c r="E260" i="1" s="1"/>
  <c r="H257" i="1"/>
  <c r="G257" i="1"/>
  <c r="L258" i="1"/>
  <c r="K258" i="1"/>
  <c r="B257" i="1"/>
  <c r="D257" i="1" s="1"/>
  <c r="L257" i="1" s="1"/>
  <c r="K242" i="1"/>
  <c r="K250" i="1"/>
  <c r="H250" i="1"/>
  <c r="E252" i="1" s="1"/>
  <c r="E253" i="1" s="1"/>
  <c r="G250" i="1"/>
  <c r="E250" i="1"/>
  <c r="H249" i="1"/>
  <c r="G249" i="1"/>
  <c r="F249" i="1"/>
  <c r="E249" i="1"/>
  <c r="L250" i="1"/>
  <c r="K249" i="1"/>
  <c r="E251" i="1"/>
  <c r="B249" i="1"/>
  <c r="D249" i="1" s="1"/>
  <c r="L249" i="1" s="1"/>
  <c r="K241" i="1"/>
  <c r="K233" i="1"/>
  <c r="K234" i="1"/>
  <c r="H242" i="1"/>
  <c r="G242" i="1"/>
  <c r="E242" i="1"/>
  <c r="F241" i="1"/>
  <c r="E241" i="1"/>
  <c r="L242" i="1"/>
  <c r="B241" i="1"/>
  <c r="D241" i="1" s="1"/>
  <c r="L241" i="1" s="1"/>
  <c r="Z16" i="2"/>
  <c r="F234" i="1"/>
  <c r="E236" i="1" s="1"/>
  <c r="E234" i="1"/>
  <c r="G234" i="1"/>
  <c r="F233" i="1"/>
  <c r="E233" i="1"/>
  <c r="L234" i="1"/>
  <c r="H234" i="1"/>
  <c r="H233" i="1"/>
  <c r="G233" i="1"/>
  <c r="B233" i="1"/>
  <c r="D233" i="1" s="1"/>
  <c r="L233" i="1" s="1"/>
  <c r="F226" i="1"/>
  <c r="E227" i="1"/>
  <c r="H226" i="1"/>
  <c r="G226" i="1"/>
  <c r="E226" i="1"/>
  <c r="K226" i="1" s="1"/>
  <c r="H225" i="1"/>
  <c r="G225" i="1"/>
  <c r="F225" i="1"/>
  <c r="E225" i="1"/>
  <c r="L226" i="1"/>
  <c r="B225" i="1"/>
  <c r="D225" i="1" s="1"/>
  <c r="L225" i="1" s="1"/>
  <c r="H217" i="1"/>
  <c r="G217" i="1"/>
  <c r="F217" i="1"/>
  <c r="H218" i="1"/>
  <c r="G218" i="1"/>
  <c r="E218" i="1"/>
  <c r="K218" i="1" s="1"/>
  <c r="L218" i="1"/>
  <c r="E217" i="1"/>
  <c r="B217" i="1"/>
  <c r="D217" i="1" s="1"/>
  <c r="L217" i="1" s="1"/>
  <c r="E419" i="1" l="1"/>
  <c r="K417" i="1"/>
  <c r="E420" i="1"/>
  <c r="K418" i="1"/>
  <c r="E411" i="1"/>
  <c r="K409" i="1"/>
  <c r="E412" i="1"/>
  <c r="K410" i="1"/>
  <c r="E403" i="1"/>
  <c r="E404" i="1"/>
  <c r="K402" i="1"/>
  <c r="E395" i="1"/>
  <c r="K393" i="1"/>
  <c r="E396" i="1"/>
  <c r="K394" i="1"/>
  <c r="E387" i="1"/>
  <c r="K385" i="1"/>
  <c r="E388" i="1"/>
  <c r="K386" i="1"/>
  <c r="E379" i="1"/>
  <c r="K377" i="1"/>
  <c r="E380" i="1"/>
  <c r="E371" i="1"/>
  <c r="K369" i="1"/>
  <c r="E372" i="1"/>
  <c r="K370" i="1"/>
  <c r="E363" i="1"/>
  <c r="K361" i="1"/>
  <c r="E364" i="1"/>
  <c r="K362" i="1"/>
  <c r="E356" i="1"/>
  <c r="K354" i="1"/>
  <c r="K345" i="1"/>
  <c r="E349" i="1"/>
  <c r="E339" i="1"/>
  <c r="E340" i="1"/>
  <c r="E332" i="1"/>
  <c r="E333" i="1" s="1"/>
  <c r="K273" i="1"/>
  <c r="L273" i="1"/>
  <c r="L313" i="1"/>
  <c r="K313" i="1"/>
  <c r="L321" i="1"/>
  <c r="K321" i="1"/>
  <c r="K289" i="1"/>
  <c r="K265" i="1"/>
  <c r="K329" i="1"/>
  <c r="E323" i="1"/>
  <c r="E325" i="1" s="1"/>
  <c r="E316" i="1"/>
  <c r="E317" i="1" s="1"/>
  <c r="E307" i="1"/>
  <c r="K305" i="1"/>
  <c r="E308" i="1"/>
  <c r="E309" i="1" s="1"/>
  <c r="E298" i="1"/>
  <c r="K298" i="1" s="1"/>
  <c r="K297" i="1"/>
  <c r="E299" i="1"/>
  <c r="E291" i="1"/>
  <c r="E292" i="1"/>
  <c r="E284" i="1"/>
  <c r="E285" i="1" s="1"/>
  <c r="AA16" i="2"/>
  <c r="E275" i="1"/>
  <c r="E277" i="1" s="1"/>
  <c r="K225" i="1"/>
  <c r="E268" i="1"/>
  <c r="E269" i="1" s="1"/>
  <c r="E259" i="1"/>
  <c r="E261" i="1" s="1"/>
  <c r="E244" i="1"/>
  <c r="E243" i="1"/>
  <c r="E235" i="1"/>
  <c r="E237" i="1" s="1"/>
  <c r="E219" i="1"/>
  <c r="K217" i="1"/>
  <c r="F210" i="1"/>
  <c r="E210" i="1"/>
  <c r="K210" i="1" s="1"/>
  <c r="F209" i="1"/>
  <c r="E209" i="1"/>
  <c r="E211" i="1" s="1"/>
  <c r="L210" i="1"/>
  <c r="H210" i="1"/>
  <c r="G210" i="1"/>
  <c r="H209" i="1"/>
  <c r="G209" i="1"/>
  <c r="B209" i="1"/>
  <c r="D209" i="1" s="1"/>
  <c r="L209" i="1" s="1"/>
  <c r="E421" i="1" l="1"/>
  <c r="E413" i="1"/>
  <c r="E405" i="1"/>
  <c r="E397" i="1"/>
  <c r="E389" i="1"/>
  <c r="E381" i="1"/>
  <c r="E373" i="1"/>
  <c r="E365" i="1"/>
  <c r="E357" i="1"/>
  <c r="E341" i="1"/>
  <c r="E245" i="1"/>
  <c r="E300" i="1"/>
  <c r="E301" i="1"/>
  <c r="E293" i="1"/>
  <c r="K209" i="1"/>
  <c r="F202" i="1"/>
  <c r="G202" i="1"/>
  <c r="E202" i="1"/>
  <c r="H201" i="1"/>
  <c r="G201" i="1"/>
  <c r="E203" i="1" s="1"/>
  <c r="E201" i="1"/>
  <c r="F201" i="1"/>
  <c r="L202" i="1"/>
  <c r="H202" i="1"/>
  <c r="K202" i="1"/>
  <c r="B201" i="1"/>
  <c r="D201" i="1" s="1"/>
  <c r="L201" i="1" l="1"/>
  <c r="K201" i="1"/>
  <c r="F194" i="1"/>
  <c r="G194" i="1"/>
  <c r="E194" i="1"/>
  <c r="K194" i="1" s="1"/>
  <c r="E193" i="1"/>
  <c r="F193" i="1"/>
  <c r="H193" i="1"/>
  <c r="G193" i="1"/>
  <c r="B193" i="1"/>
  <c r="D193" i="1" s="1"/>
  <c r="L193" i="1" s="1"/>
  <c r="L194" i="1"/>
  <c r="H194" i="1"/>
  <c r="E195" i="1" l="1"/>
  <c r="K193" i="1"/>
  <c r="K186" i="1"/>
  <c r="H186" i="1"/>
  <c r="G186" i="1"/>
  <c r="F186" i="1"/>
  <c r="E186" i="1"/>
  <c r="E187" i="1"/>
  <c r="G185" i="1"/>
  <c r="H185" i="1"/>
  <c r="F185" i="1"/>
  <c r="E185" i="1"/>
  <c r="L186" i="1"/>
  <c r="B185" i="1"/>
  <c r="D185" i="1" s="1"/>
  <c r="K185" i="1" s="1"/>
  <c r="L185" i="1" l="1"/>
  <c r="H180" i="1"/>
  <c r="I180" i="1"/>
  <c r="B179" i="1"/>
  <c r="D179" i="1" s="1"/>
  <c r="I179" i="1" l="1"/>
  <c r="H179" i="1"/>
  <c r="I174" i="1"/>
  <c r="H174" i="1"/>
  <c r="B173" i="1"/>
  <c r="D173" i="1" s="1"/>
  <c r="H173" i="1" s="1"/>
  <c r="I173" i="1" l="1"/>
  <c r="E168" i="1"/>
  <c r="H168" i="1" s="1"/>
  <c r="I168" i="1"/>
  <c r="B167" i="1"/>
  <c r="D167" i="1" s="1"/>
  <c r="I167" i="1" l="1"/>
  <c r="H167" i="1"/>
  <c r="U16" i="2"/>
  <c r="W16" i="2" l="1"/>
  <c r="I162" i="1"/>
  <c r="H162" i="1"/>
  <c r="B161" i="1"/>
  <c r="D161" i="1" s="1"/>
  <c r="H156" i="1"/>
  <c r="H161" i="1" l="1"/>
  <c r="I161" i="1"/>
  <c r="I156" i="1" l="1"/>
  <c r="B155" i="1"/>
  <c r="D155" i="1" s="1"/>
  <c r="H155" i="1" l="1"/>
  <c r="I155" i="1"/>
  <c r="I150" i="1"/>
  <c r="H150" i="1"/>
  <c r="B149" i="1"/>
  <c r="D149" i="1" s="1"/>
  <c r="I149" i="1" l="1"/>
  <c r="H149" i="1"/>
  <c r="I144" i="1"/>
  <c r="H144" i="1"/>
  <c r="I132" i="1"/>
  <c r="E132" i="1"/>
  <c r="H132" i="1" s="1"/>
  <c r="B143" i="1"/>
  <c r="D143" i="1" s="1"/>
  <c r="I143" i="1" l="1"/>
  <c r="H143" i="1"/>
  <c r="B137" i="1"/>
  <c r="D137" i="1" s="1"/>
  <c r="I137" i="1" l="1"/>
  <c r="H137" i="1"/>
  <c r="I126" i="1"/>
  <c r="H126" i="1"/>
  <c r="H131" i="1"/>
  <c r="B131" i="1"/>
  <c r="I131" i="1" l="1"/>
  <c r="L16" i="5" l="1"/>
  <c r="N16" i="5" s="1"/>
  <c r="M16" i="5"/>
  <c r="B125" i="1"/>
  <c r="I120" i="1" l="1"/>
  <c r="H120" i="1"/>
  <c r="I114" i="1"/>
  <c r="H114" i="1"/>
  <c r="I108" i="1"/>
  <c r="H108" i="1"/>
  <c r="H102" i="1"/>
  <c r="I102" i="1"/>
  <c r="I96" i="1"/>
  <c r="H96" i="1"/>
  <c r="E97" i="1"/>
  <c r="I78" i="1"/>
  <c r="H78" i="1"/>
  <c r="I84" i="1"/>
  <c r="H84" i="1"/>
  <c r="E85" i="1"/>
  <c r="D125" i="1"/>
  <c r="I95" i="1"/>
  <c r="I89" i="1"/>
  <c r="I83" i="1"/>
  <c r="I77" i="1"/>
  <c r="I125" i="1" l="1"/>
  <c r="H125" i="1"/>
  <c r="D119" i="1"/>
  <c r="I119" i="1" s="1"/>
  <c r="D113" i="1"/>
  <c r="I113" i="1" s="1"/>
  <c r="D107" i="1"/>
  <c r="I107" i="1" s="1"/>
  <c r="D101" i="1"/>
  <c r="E121" i="1" l="1"/>
  <c r="E115" i="1"/>
  <c r="E109" i="1"/>
  <c r="E103" i="1"/>
  <c r="E228" i="1" l="1"/>
</calcChain>
</file>

<file path=xl/sharedStrings.xml><?xml version="1.0" encoding="utf-8"?>
<sst xmlns="http://schemas.openxmlformats.org/spreadsheetml/2006/main" count="1152" uniqueCount="109">
  <si>
    <t xml:space="preserve">Rivonia Gate Electricity Summary </t>
  </si>
  <si>
    <t>Unit No.</t>
  </si>
  <si>
    <t>Opening reading</t>
  </si>
  <si>
    <t>Closing Reading</t>
  </si>
  <si>
    <t>Cons</t>
  </si>
  <si>
    <t>Elec Amount</t>
  </si>
  <si>
    <t>BC Bulk</t>
  </si>
  <si>
    <t>Council Bulk</t>
  </si>
  <si>
    <t>Difference</t>
  </si>
  <si>
    <t>Reading Dates</t>
  </si>
  <si>
    <t>Days</t>
  </si>
  <si>
    <t>Rate</t>
  </si>
  <si>
    <t>Kwh p/day</t>
  </si>
  <si>
    <t>Estimated?</t>
  </si>
  <si>
    <t>31Dec 2018 - 31Jan 2019</t>
  </si>
  <si>
    <t>Actual</t>
  </si>
  <si>
    <t>1Jan - 31 Jan 2019</t>
  </si>
  <si>
    <t>31Jan - 27Feb 2019</t>
  </si>
  <si>
    <t>1Feb - 28Feb 2019</t>
  </si>
  <si>
    <t>27Feb - 31Mar 2019</t>
  </si>
  <si>
    <t>31Mar - 30Apr 2019</t>
  </si>
  <si>
    <t>1Apr - 30Apr 2019</t>
  </si>
  <si>
    <t>30Apr - 31May 2019</t>
  </si>
  <si>
    <t>1May - 31May 2019</t>
  </si>
  <si>
    <t>31May - 28Jun 2019</t>
  </si>
  <si>
    <t>1Jun - 30Jun 2019</t>
  </si>
  <si>
    <t>28Jun - 30Jul 2019</t>
  </si>
  <si>
    <t>1Jul - 31Jul 2019</t>
  </si>
  <si>
    <t>30Jul - 29Aug 2019</t>
  </si>
  <si>
    <t>1Aug - 31Aug 2019</t>
  </si>
  <si>
    <t>29Aug - 26Sept 2019</t>
  </si>
  <si>
    <t>1Oct - 31Oct 2019</t>
  </si>
  <si>
    <t>26Sep - 30Oct 2019</t>
  </si>
  <si>
    <t>31Oct - 28Nov 2019</t>
  </si>
  <si>
    <t>Unit No.1Dec2019</t>
  </si>
  <si>
    <t>1Dec - 31Dec2019</t>
  </si>
  <si>
    <t>31Jan - 29Feb 2020</t>
  </si>
  <si>
    <t>1Jan -31Jan 2020</t>
  </si>
  <si>
    <t>30Jan - 29Feb 2020</t>
  </si>
  <si>
    <t>1Feb - 29Feb 2020</t>
  </si>
  <si>
    <t>29Feb - 26Mar 2020</t>
  </si>
  <si>
    <t>1Mar - 31Mar 2020</t>
  </si>
  <si>
    <t>26Mar - 30Apr 2020</t>
  </si>
  <si>
    <t>1Apr - 30Apr 2020</t>
  </si>
  <si>
    <t>30Apr - 31May 2020</t>
  </si>
  <si>
    <t>1May - 31May 2020</t>
  </si>
  <si>
    <t>31May - 30Jun 2020</t>
  </si>
  <si>
    <t>1Jun - 30Jun 2020</t>
  </si>
  <si>
    <t>Common Property</t>
  </si>
  <si>
    <t>Demand Charge</t>
  </si>
  <si>
    <t>Sevice Charge</t>
  </si>
  <si>
    <t>30Jun - 31Jul 2020</t>
  </si>
  <si>
    <t>1Jul - 31Jul 2020</t>
  </si>
  <si>
    <t>BC Total</t>
  </si>
  <si>
    <t>Council Total</t>
  </si>
  <si>
    <t>31Jul - 31Aug 2020</t>
  </si>
  <si>
    <t>1Aug - 31Aug 2020</t>
  </si>
  <si>
    <t>31Aug - 30Sept 2020</t>
  </si>
  <si>
    <t>1Sept - 30Sept 2020</t>
  </si>
  <si>
    <t>30Sept - 30Oct 2020</t>
  </si>
  <si>
    <t>1Oct - 31Oct 2020</t>
  </si>
  <si>
    <t>30Oct - 30Nov 2020</t>
  </si>
  <si>
    <t>1Nov - 30Nov 2020</t>
  </si>
  <si>
    <t>1Dec - 31Dec 2020</t>
  </si>
  <si>
    <t>1Jan - 31Jan 2021</t>
  </si>
  <si>
    <t>1Feb - 1Mar 2021</t>
  </si>
  <si>
    <t>1Feb - 28Feb 2021</t>
  </si>
  <si>
    <t>1Mar - 31Mar 2021</t>
  </si>
  <si>
    <t>1Apr - 30Apr 2021</t>
  </si>
  <si>
    <t>1May - 31May 2021</t>
  </si>
  <si>
    <t>1Jun - 30Jun 2021</t>
  </si>
  <si>
    <t>1Jul - 31Jul 2021</t>
  </si>
  <si>
    <t>1Aug - 31Aug 2021</t>
  </si>
  <si>
    <t>1Sept - 30Sept 2021</t>
  </si>
  <si>
    <t>1Oct - 30Oct 2021</t>
  </si>
  <si>
    <t>1Oct - 31Oct 2021</t>
  </si>
  <si>
    <t>1Nov - 30Nov 2021</t>
  </si>
  <si>
    <t>1Dec - 31Dec 2021</t>
  </si>
  <si>
    <t>1Jan - 31Jan 2022</t>
  </si>
  <si>
    <t>1Feb - 28Feb 2022</t>
  </si>
  <si>
    <t>28Feb - 31Mar 2022</t>
  </si>
  <si>
    <t>1Mar - 31Mar 2022</t>
  </si>
  <si>
    <t>31Mar - 30Apr 2022</t>
  </si>
  <si>
    <t>1Apr - 30Apr 2022</t>
  </si>
  <si>
    <t>30Apr - 31May 2022</t>
  </si>
  <si>
    <t>1May - 31May 2022</t>
  </si>
  <si>
    <t>31May - 30Jun 2022</t>
  </si>
  <si>
    <t>1Jun - 30Jun 2022</t>
  </si>
  <si>
    <t>30Jun - 1Aug 2022</t>
  </si>
  <si>
    <t>1Jul - 31Jul 2022</t>
  </si>
  <si>
    <t>1Aug - 31Aug 2022</t>
  </si>
  <si>
    <t>1Sept - 30Sept 2022</t>
  </si>
  <si>
    <t>1Oct - 31Oct 2022</t>
  </si>
  <si>
    <t>1Nov - 30Nov 2022</t>
  </si>
  <si>
    <t>1Dec 2022 - 1Jan 2023</t>
  </si>
  <si>
    <t>1Dec - 31Dec 2022</t>
  </si>
  <si>
    <t>Rivonia Gate Elec Back Date</t>
  </si>
  <si>
    <t>BC</t>
  </si>
  <si>
    <t>Council</t>
  </si>
  <si>
    <t>Estimated / Actual</t>
  </si>
  <si>
    <t>A</t>
  </si>
  <si>
    <t>RG Council Billing is CORRECT</t>
  </si>
  <si>
    <r>
      <t xml:space="preserve">RG Consumption </t>
    </r>
    <r>
      <rPr>
        <u/>
        <sz val="14"/>
        <color theme="1"/>
        <rFont val="Calibri"/>
        <family val="2"/>
        <scheme val="minor"/>
      </rPr>
      <t>BC</t>
    </r>
    <r>
      <rPr>
        <b/>
        <u/>
        <sz val="14"/>
        <color theme="1"/>
        <rFont val="Calibri"/>
        <family val="2"/>
        <scheme val="minor"/>
      </rPr>
      <t xml:space="preserve"> vs Council</t>
    </r>
  </si>
  <si>
    <t>Bulk Cons</t>
  </si>
  <si>
    <t>KWH PER DAY</t>
  </si>
  <si>
    <t>RG Rates BC vs Council</t>
  </si>
  <si>
    <t>STS Bulk Cons vs Total Individual Cons</t>
  </si>
  <si>
    <t>STS Indiv. Tot</t>
  </si>
  <si>
    <t>STS Bulk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</si>
</sst>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&quot;* #,##0.00_-;\-&quot;R&quot;* #,##0.00_-;_-&quot;R&quot;* &quot;-&quot;??_-;_-@_-"/>
    <numFmt numFmtId="165" formatCode="&quot;R&quot;#,##0.00"/>
    <numFmt numFmtId="166" formatCode="_-[$R-436]* #,##0.00_-;\-[$R-436]* #,##0.00_-;_-[$R-436]* &quot;-&quot;??_-;_-@_-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17" fontId="1" fillId="0" borderId="0" xfId="0" applyNumberFormat="1" applyFont="1"/>
    <xf numFmtId="165" fontId="0" fillId="0" borderId="0" xfId="0" applyNumberFormat="1"/>
    <xf numFmtId="0" fontId="1" fillId="0" borderId="2" xfId="0" applyFont="1" applyBorder="1"/>
    <xf numFmtId="0" fontId="0" fillId="0" borderId="1" xfId="0" applyBorder="1"/>
    <xf numFmtId="165" fontId="0" fillId="0" borderId="1" xfId="0" applyNumberFormat="1" applyBorder="1"/>
    <xf numFmtId="17" fontId="0" fillId="0" borderId="0" xfId="0" applyNumberFormat="1"/>
    <xf numFmtId="0" fontId="1" fillId="0" borderId="1" xfId="0" applyFont="1" applyBorder="1"/>
    <xf numFmtId="0" fontId="3" fillId="0" borderId="0" xfId="0" applyFont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/>
    <xf numFmtId="17" fontId="1" fillId="2" borderId="0" xfId="0" applyNumberFormat="1" applyFont="1" applyFill="1"/>
    <xf numFmtId="0" fontId="4" fillId="0" borderId="0" xfId="0" applyFont="1"/>
    <xf numFmtId="164" fontId="0" fillId="0" borderId="0" xfId="1" applyFont="1"/>
    <xf numFmtId="164" fontId="1" fillId="0" borderId="3" xfId="0" applyNumberFormat="1" applyFont="1" applyBorder="1"/>
    <xf numFmtId="0" fontId="1" fillId="0" borderId="1" xfId="0" applyFont="1" applyBorder="1" applyAlignment="1">
      <alignment wrapText="1"/>
    </xf>
    <xf numFmtId="164" fontId="0" fillId="0" borderId="1" xfId="1" applyFont="1" applyBorder="1"/>
    <xf numFmtId="166" fontId="0" fillId="0" borderId="0" xfId="0" applyNumberFormat="1"/>
    <xf numFmtId="1" fontId="0" fillId="0" borderId="0" xfId="0" applyNumberForma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Graph!$AC$3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Graph!$AB$4:$AB$15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Graph!$AC$4:$AC$15</c:f>
              <c:numCache>
                <c:formatCode>_-[$R-436]* #,##0.00_-;\-[$R-436]* #,##0.00_-;_-[$R-436]* "-"??_-;_-@_-</c:formatCode>
                <c:ptCount val="12"/>
                <c:pt idx="0">
                  <c:v>65677.477499999979</c:v>
                </c:pt>
                <c:pt idx="1">
                  <c:v>50677.256999999998</c:v>
                </c:pt>
                <c:pt idx="2">
                  <c:v>32779.519499999995</c:v>
                </c:pt>
                <c:pt idx="3">
                  <c:v>44344.011500000001</c:v>
                </c:pt>
                <c:pt idx="4">
                  <c:v>45514.067499999997</c:v>
                </c:pt>
                <c:pt idx="5">
                  <c:v>33446.220499999996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51-480E-9601-CE5899574281}"/>
            </c:ext>
          </c:extLst>
        </c:ser>
        <c:ser>
          <c:idx val="1"/>
          <c:order val="1"/>
          <c:tx>
            <c:strRef>
              <c:f>Graph!$AD$3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Graph!$AB$4:$AB$15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Graph!$AD$4:$AD$15</c:f>
              <c:numCache>
                <c:formatCode>_-[$R-436]* #,##0.00_-;\-[$R-436]* #,##0.00_-;_-[$R-436]* "-"??_-;_-@_-</c:formatCode>
                <c:ptCount val="12"/>
                <c:pt idx="0">
                  <c:v>68981.082500000004</c:v>
                </c:pt>
                <c:pt idx="1">
                  <c:v>69000.73599999999</c:v>
                </c:pt>
                <c:pt idx="2">
                  <c:v>39959.210999999996</c:v>
                </c:pt>
                <c:pt idx="3">
                  <c:v>50451.845499999996</c:v>
                </c:pt>
                <c:pt idx="4">
                  <c:v>37563.116999999991</c:v>
                </c:pt>
                <c:pt idx="5" formatCode="_-&quot;R&quot;* #,##0.00_-;\-&quot;R&quot;* #,##0.00_-;_-&quot;R&quot;* &quot;-&quot;??_-;_-@_-">
                  <c:v>41552.306000000004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51-480E-9601-CE5899574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9187416"/>
        <c:axId val="249731751"/>
      </c:barChart>
      <c:dateAx>
        <c:axId val="13391874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731751"/>
        <c:crosses val="autoZero"/>
        <c:auto val="1"/>
        <c:lblOffset val="100"/>
        <c:baseTimeUnit val="months"/>
      </c:dateAx>
      <c:valAx>
        <c:axId val="249731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436]* #,##0.00_-;\-[$R-436]* #,##0.00_-;_-[$R-436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187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'Consumption Graph'!$X$25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'Consumption Graph'!$W$26:$W$37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'Consumption Graph'!$X$26:$X$37</c:f>
              <c:numCache>
                <c:formatCode>0</c:formatCode>
                <c:ptCount val="12"/>
                <c:pt idx="0">
                  <c:v>540.90625</c:v>
                </c:pt>
                <c:pt idx="1">
                  <c:v>276.38709677419354</c:v>
                </c:pt>
                <c:pt idx="2">
                  <c:v>327.8</c:v>
                </c:pt>
                <c:pt idx="3">
                  <c:v>524.35483870967744</c:v>
                </c:pt>
                <c:pt idx="4">
                  <c:v>384.83333333333331</c:v>
                </c:pt>
                <c:pt idx="5">
                  <c:v>347.21875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5F-44FD-AB1A-752478BDAA7F}"/>
            </c:ext>
          </c:extLst>
        </c:ser>
        <c:ser>
          <c:idx val="1"/>
          <c:order val="1"/>
          <c:tx>
            <c:strRef>
              <c:f>'Consumption Graph'!$Y$25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'Consumption Graph'!$W$26:$W$37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'Consumption Graph'!$Y$26:$Y$37</c:f>
              <c:numCache>
                <c:formatCode>0</c:formatCode>
                <c:ptCount val="12"/>
                <c:pt idx="0">
                  <c:v>490.74193548387098</c:v>
                </c:pt>
                <c:pt idx="1">
                  <c:v>507.35483870967744</c:v>
                </c:pt>
                <c:pt idx="2">
                  <c:v>377.43333333333334</c:v>
                </c:pt>
                <c:pt idx="3">
                  <c:v>578.45161290322585</c:v>
                </c:pt>
                <c:pt idx="4">
                  <c:v>521.5</c:v>
                </c:pt>
                <c:pt idx="5">
                  <c:v>392.19354838709677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5F-44FD-AB1A-752478BDA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916535"/>
        <c:axId val="808941463"/>
      </c:barChart>
      <c:dateAx>
        <c:axId val="5319165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941463"/>
        <c:crosses val="autoZero"/>
        <c:auto val="1"/>
        <c:lblOffset val="100"/>
        <c:baseTimeUnit val="months"/>
      </c:dateAx>
      <c:valAx>
        <c:axId val="808941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916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'Consumption Graph'!$X$2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'Consumption Graph'!$W$3:$W$14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'Consumption Graph'!$X$3:$X$14</c:f>
              <c:numCache>
                <c:formatCode>General</c:formatCode>
                <c:ptCount val="12"/>
                <c:pt idx="0">
                  <c:v>17309</c:v>
                </c:pt>
                <c:pt idx="1">
                  <c:v>8568</c:v>
                </c:pt>
                <c:pt idx="2">
                  <c:v>9834</c:v>
                </c:pt>
                <c:pt idx="3">
                  <c:v>16255</c:v>
                </c:pt>
                <c:pt idx="4">
                  <c:v>11545</c:v>
                </c:pt>
                <c:pt idx="5">
                  <c:v>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6D-4AA6-8463-F793A7FD4C2C}"/>
            </c:ext>
          </c:extLst>
        </c:ser>
        <c:ser>
          <c:idx val="1"/>
          <c:order val="1"/>
          <c:tx>
            <c:strRef>
              <c:f>'Consumption Graph'!$Y$2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'Consumption Graph'!$W$3:$W$14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'Consumption Graph'!$Y$3:$Y$14</c:f>
              <c:numCache>
                <c:formatCode>General</c:formatCode>
                <c:ptCount val="12"/>
                <c:pt idx="0">
                  <c:v>15213</c:v>
                </c:pt>
                <c:pt idx="1">
                  <c:v>15728</c:v>
                </c:pt>
                <c:pt idx="2">
                  <c:v>11323</c:v>
                </c:pt>
                <c:pt idx="3">
                  <c:v>17932</c:v>
                </c:pt>
                <c:pt idx="4">
                  <c:v>15645</c:v>
                </c:pt>
                <c:pt idx="5">
                  <c:v>12158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6D-4AA6-8463-F793A7FD4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8952215"/>
        <c:axId val="812022472"/>
      </c:barChart>
      <c:dateAx>
        <c:axId val="38895221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022472"/>
        <c:crosses val="autoZero"/>
        <c:auto val="1"/>
        <c:lblOffset val="100"/>
        <c:baseTimeUnit val="months"/>
      </c:dateAx>
      <c:valAx>
        <c:axId val="812022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952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'Rates Graph'!$Y$3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'Rates Graph'!$X$4:$X$15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'Rates Graph'!$Y$4:$Y$15</c:f>
              <c:numCache>
                <c:formatCode>_-[$R-436]* #,##0.00_-;\-[$R-436]* #,##0.00_-;_-[$R-436]* "-"??_-;_-@_-</c:formatCode>
                <c:ptCount val="12"/>
                <c:pt idx="0">
                  <c:v>2.2759648737650928</c:v>
                </c:pt>
                <c:pt idx="1">
                  <c:v>2.9203973506069092</c:v>
                </c:pt>
                <c:pt idx="2">
                  <c:v>2.6883887024608497</c:v>
                </c:pt>
                <c:pt idx="3">
                  <c:v>2.2759649646262687</c:v>
                </c:pt>
                <c:pt idx="4">
                  <c:v>2.694293113902122</c:v>
                </c:pt>
                <c:pt idx="5">
                  <c:v>2.4142309873098728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55-48CD-A21A-94F34ED4D6E5}"/>
            </c:ext>
          </c:extLst>
        </c:ser>
        <c:ser>
          <c:idx val="1"/>
          <c:order val="1"/>
          <c:tx>
            <c:strRef>
              <c:f>'Rates Graph'!$Z$3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'Rates Graph'!$X$4:$X$15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'Rates Graph'!$Z$4:$Z$15</c:f>
              <c:numCache>
                <c:formatCode>_-[$R-436]* #,##0.00_-;\-[$R-436]* #,##0.00_-;_-[$R-436]* "-"??_-;_-@_-</c:formatCode>
                <c:ptCount val="12"/>
                <c:pt idx="0">
                  <c:v>2.8066969696969704</c:v>
                </c:pt>
                <c:pt idx="1">
                  <c:v>2.7559412194811803</c:v>
                </c:pt>
                <c:pt idx="2">
                  <c:v>2.9689398569283756</c:v>
                </c:pt>
                <c:pt idx="3">
                  <c:v>2.4037276656256967</c:v>
                </c:pt>
                <c:pt idx="4">
                  <c:v>2.4964247043783958</c:v>
                </c:pt>
                <c:pt idx="5">
                  <c:v>2.8730552722487253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55-48CD-A21A-94F34ED4D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6915031"/>
        <c:axId val="673064775"/>
      </c:barChart>
      <c:dateAx>
        <c:axId val="131691503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064775"/>
        <c:crosses val="autoZero"/>
        <c:auto val="1"/>
        <c:lblOffset val="100"/>
        <c:baseTimeUnit val="months"/>
      </c:dateAx>
      <c:valAx>
        <c:axId val="673064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436]* #,##0.00_-;\-[$R-436]* #,##0.00_-;_-[$R-436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915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STS</a:t>
            </a:r>
            <a:r>
              <a:rPr lang="en-ZA" baseline="0"/>
              <a:t> Bulk vs Total Individual Cons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Sheet1!$L$3</c:f>
              <c:strCache>
                <c:ptCount val="1"/>
                <c:pt idx="0">
                  <c:v>STS Indiv. Tot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Sheet1!$K$4:$K$15</c:f>
              <c:numCache>
                <c:formatCode>mmm\-yy</c:formatCode>
                <c:ptCount val="12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</c:numCache>
            </c:numRef>
          </c:cat>
          <c:val>
            <c:numRef>
              <c:f>Sheet1!$L$4:$L$15</c:f>
              <c:numCache>
                <c:formatCode>0.00</c:formatCode>
                <c:ptCount val="12"/>
                <c:pt idx="0">
                  <c:v>23975</c:v>
                </c:pt>
                <c:pt idx="1">
                  <c:v>10019</c:v>
                </c:pt>
                <c:pt idx="2">
                  <c:v>23732</c:v>
                </c:pt>
                <c:pt idx="3">
                  <c:v>19830</c:v>
                </c:pt>
                <c:pt idx="4">
                  <c:v>16402</c:v>
                </c:pt>
                <c:pt idx="5">
                  <c:v>17142</c:v>
                </c:pt>
                <c:pt idx="6">
                  <c:v>20710</c:v>
                </c:pt>
                <c:pt idx="7">
                  <c:v>15509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DA-4CF1-B627-A461E3911DFD}"/>
            </c:ext>
          </c:extLst>
        </c:ser>
        <c:ser>
          <c:idx val="1"/>
          <c:order val="1"/>
          <c:tx>
            <c:strRef>
              <c:f>Sheet1!$M$3</c:f>
              <c:strCache>
                <c:ptCount val="1"/>
                <c:pt idx="0">
                  <c:v>STS Bulk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Sheet1!$K$4:$K$15</c:f>
              <c:numCache>
                <c:formatCode>mmm\-yy</c:formatCode>
                <c:ptCount val="12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</c:numCache>
            </c:numRef>
          </c:cat>
          <c:val>
            <c:numRef>
              <c:f>Sheet1!$M$4:$M$15</c:f>
              <c:numCache>
                <c:formatCode>0.00</c:formatCode>
                <c:ptCount val="12"/>
                <c:pt idx="0">
                  <c:v>23680</c:v>
                </c:pt>
                <c:pt idx="1">
                  <c:v>18410</c:v>
                </c:pt>
                <c:pt idx="2">
                  <c:v>22600</c:v>
                </c:pt>
                <c:pt idx="3">
                  <c:v>34500</c:v>
                </c:pt>
                <c:pt idx="4">
                  <c:v>15630</c:v>
                </c:pt>
                <c:pt idx="5">
                  <c:v>16680</c:v>
                </c:pt>
                <c:pt idx="6">
                  <c:v>20050</c:v>
                </c:pt>
                <c:pt idx="7">
                  <c:v>15320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DA-4CF1-B627-A461E3911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04855064"/>
        <c:axId val="704853752"/>
        <c:axId val="0"/>
      </c:bar3DChart>
      <c:dateAx>
        <c:axId val="7048550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853752"/>
        <c:crosses val="autoZero"/>
        <c:auto val="1"/>
        <c:lblOffset val="100"/>
        <c:baseTimeUnit val="months"/>
      </c:dateAx>
      <c:valAx>
        <c:axId val="704853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855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</xdr:row>
      <xdr:rowOff>104775</xdr:rowOff>
    </xdr:from>
    <xdr:to>
      <xdr:col>8</xdr:col>
      <xdr:colOff>276225</xdr:colOff>
      <xdr:row>17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5E14F2-8765-7A80-8B7F-222CFEC81F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21</xdr:row>
      <xdr:rowOff>171450</xdr:rowOff>
    </xdr:from>
    <xdr:to>
      <xdr:col>9</xdr:col>
      <xdr:colOff>209550</xdr:colOff>
      <xdr:row>36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1E3618-1D19-7763-A242-085E9B07A260}"/>
            </a:ext>
            <a:ext uri="{147F2762-F138-4A5C-976F-8EAC2B608ADB}">
              <a16:predDERef xmlns:a16="http://schemas.microsoft.com/office/drawing/2014/main" pred="{7D67A86C-ABA9-4159-A1CA-3B3AD6E46D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</xdr:colOff>
      <xdr:row>1</xdr:row>
      <xdr:rowOff>114300</xdr:rowOff>
    </xdr:from>
    <xdr:to>
      <xdr:col>9</xdr:col>
      <xdr:colOff>133350</xdr:colOff>
      <xdr:row>17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6FCFFF1-FC82-3E0E-9B57-EA3C86F283A4}"/>
            </a:ext>
            <a:ext uri="{147F2762-F138-4A5C-976F-8EAC2B608ADB}">
              <a16:predDERef xmlns:a16="http://schemas.microsoft.com/office/drawing/2014/main" pred="{501E3618-1D19-7763-A242-085E9B07A2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1</xdr:row>
      <xdr:rowOff>114300</xdr:rowOff>
    </xdr:from>
    <xdr:to>
      <xdr:col>9</xdr:col>
      <xdr:colOff>466725</xdr:colOff>
      <xdr:row>17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EDB266-8A8A-3656-661E-059F469D6E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257174</xdr:colOff>
      <xdr:row>1</xdr:row>
      <xdr:rowOff>161924</xdr:rowOff>
    </xdr:from>
    <xdr:to>
      <xdr:col>9</xdr:col>
      <xdr:colOff>190499</xdr:colOff>
      <xdr:row>19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5465A3-1033-4FC1-885E-07B3731D9B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1803-92EB-4C35-B960-A5C19ED013C3}">
  <sheetPr>
    <pageSetUpPr fitToPage="1"/>
  </sheetPr>
  <dimension ref="A1:M421"/>
  <sheetViews>
    <sheetView tabSelected="1" topLeftCell="A395" workbookViewId="0">
      <selection activeCell="K417" sqref="K417:K418"/>
    </sheetView>
  </sheetViews>
  <sheetFormatPr defaultRowHeight="15"/>
  <cols>
    <col min="1" max="1" width="13" customWidth="1"/>
    <col min="2" max="2" width="15.85546875" bestFit="1" customWidth="1"/>
    <col min="3" max="3" width="15.140625" bestFit="1" customWidth="1"/>
    <col min="5" max="5" width="12.140625" bestFit="1" customWidth="1"/>
    <col min="6" max="6" width="18.140625" customWidth="1"/>
    <col min="7" max="7" width="12" bestFit="1" customWidth="1"/>
    <col min="8" max="8" width="11.7109375" bestFit="1" customWidth="1"/>
    <col min="9" max="9" width="18.7109375" bestFit="1" customWidth="1"/>
    <col min="10" max="10" width="10.85546875" bestFit="1" customWidth="1"/>
    <col min="13" max="13" width="10.85546875" bestFit="1" customWidth="1"/>
  </cols>
  <sheetData>
    <row r="1" spans="1:5" ht="18.75">
      <c r="A1" s="1" t="s">
        <v>0</v>
      </c>
    </row>
    <row r="3" spans="1:5">
      <c r="A3" s="14">
        <v>43101</v>
      </c>
    </row>
    <row r="4" spans="1:5" hidden="1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</row>
    <row r="5" spans="1:5" hidden="1">
      <c r="A5" s="5" t="s">
        <v>6</v>
      </c>
      <c r="B5" s="5">
        <v>582586</v>
      </c>
      <c r="C5" s="5">
        <v>584783</v>
      </c>
      <c r="D5" s="5">
        <v>2197</v>
      </c>
      <c r="E5" s="6">
        <v>41801.21</v>
      </c>
    </row>
    <row r="6" spans="1:5" hidden="1">
      <c r="A6" s="5" t="s">
        <v>7</v>
      </c>
      <c r="B6" s="5"/>
      <c r="C6" s="5"/>
      <c r="D6" s="5">
        <v>0</v>
      </c>
      <c r="E6" s="6">
        <v>39126.373199999995</v>
      </c>
    </row>
    <row r="7" spans="1:5" hidden="1">
      <c r="A7" s="5" t="s">
        <v>8</v>
      </c>
      <c r="B7" s="5"/>
      <c r="C7" s="5"/>
      <c r="D7" s="5"/>
      <c r="E7" s="6">
        <v>2674.8368000000046</v>
      </c>
    </row>
    <row r="8" spans="1:5" hidden="1">
      <c r="E8" s="3"/>
    </row>
    <row r="9" spans="1:5" hidden="1">
      <c r="A9" s="2">
        <v>43132</v>
      </c>
      <c r="E9" s="3"/>
    </row>
    <row r="10" spans="1:5" hidden="1">
      <c r="A10" s="4" t="s">
        <v>1</v>
      </c>
      <c r="B10" s="4" t="s">
        <v>2</v>
      </c>
      <c r="C10" s="4" t="s">
        <v>3</v>
      </c>
      <c r="D10" s="4" t="s">
        <v>4</v>
      </c>
      <c r="E10" s="4" t="s">
        <v>5</v>
      </c>
    </row>
    <row r="11" spans="1:5" hidden="1">
      <c r="A11" s="5" t="s">
        <v>6</v>
      </c>
      <c r="B11" s="5">
        <v>584783</v>
      </c>
      <c r="C11" s="5">
        <v>586694</v>
      </c>
      <c r="D11" s="5">
        <v>1911</v>
      </c>
      <c r="E11" s="6">
        <v>41352.14</v>
      </c>
    </row>
    <row r="12" spans="1:5" hidden="1">
      <c r="A12" s="5" t="s">
        <v>7</v>
      </c>
      <c r="B12" s="5"/>
      <c r="C12" s="5"/>
      <c r="D12" s="5">
        <v>0</v>
      </c>
      <c r="E12" s="6">
        <v>34855.260600000001</v>
      </c>
    </row>
    <row r="13" spans="1:5" hidden="1">
      <c r="A13" s="5" t="s">
        <v>8</v>
      </c>
      <c r="B13" s="5"/>
      <c r="C13" s="5"/>
      <c r="D13" s="5"/>
      <c r="E13" s="6">
        <v>6496.879399999998</v>
      </c>
    </row>
    <row r="14" spans="1:5" hidden="1">
      <c r="E14" s="3"/>
    </row>
    <row r="15" spans="1:5" hidden="1">
      <c r="A15" s="2">
        <v>43160</v>
      </c>
      <c r="E15" s="3"/>
    </row>
    <row r="16" spans="1:5" hidden="1">
      <c r="A16" s="4" t="s">
        <v>1</v>
      </c>
      <c r="B16" s="4" t="s">
        <v>2</v>
      </c>
      <c r="C16" s="4" t="s">
        <v>3</v>
      </c>
      <c r="D16" s="4" t="s">
        <v>4</v>
      </c>
      <c r="E16" s="4" t="s">
        <v>5</v>
      </c>
    </row>
    <row r="17" spans="1:5" hidden="1">
      <c r="A17" s="5" t="s">
        <v>6</v>
      </c>
      <c r="B17" s="5">
        <v>586694</v>
      </c>
      <c r="C17" s="5">
        <v>588633</v>
      </c>
      <c r="D17" s="5">
        <v>1939</v>
      </c>
      <c r="E17" s="6">
        <v>43559.89</v>
      </c>
    </row>
    <row r="18" spans="1:5" hidden="1">
      <c r="A18" s="5" t="s">
        <v>7</v>
      </c>
      <c r="B18" s="5"/>
      <c r="C18" s="5"/>
      <c r="D18" s="5">
        <v>0</v>
      </c>
      <c r="E18" s="6">
        <v>35910.946199999998</v>
      </c>
    </row>
    <row r="19" spans="1:5" hidden="1">
      <c r="A19" s="5" t="s">
        <v>8</v>
      </c>
      <c r="B19" s="5"/>
      <c r="C19" s="5"/>
      <c r="D19" s="5"/>
      <c r="E19" s="6">
        <v>7648.9438000000009</v>
      </c>
    </row>
    <row r="20" spans="1:5" hidden="1">
      <c r="E20" s="3"/>
    </row>
    <row r="21" spans="1:5" hidden="1">
      <c r="A21" s="2">
        <v>43191</v>
      </c>
      <c r="E21" s="3"/>
    </row>
    <row r="22" spans="1:5" hidden="1">
      <c r="A22" s="4" t="s">
        <v>1</v>
      </c>
      <c r="B22" s="4" t="s">
        <v>2</v>
      </c>
      <c r="C22" s="4" t="s">
        <v>3</v>
      </c>
      <c r="D22" s="4" t="s">
        <v>4</v>
      </c>
      <c r="E22" s="4" t="s">
        <v>5</v>
      </c>
    </row>
    <row r="23" spans="1:5" hidden="1">
      <c r="A23" s="5" t="s">
        <v>6</v>
      </c>
      <c r="B23" s="5">
        <v>588633</v>
      </c>
      <c r="C23" s="5">
        <v>590480</v>
      </c>
      <c r="D23" s="5">
        <v>1847</v>
      </c>
      <c r="E23" s="6">
        <v>32181.24</v>
      </c>
    </row>
    <row r="24" spans="1:5" hidden="1">
      <c r="A24" s="5" t="s">
        <v>7</v>
      </c>
      <c r="B24" s="5"/>
      <c r="C24" s="5"/>
      <c r="D24" s="5">
        <v>0</v>
      </c>
      <c r="E24" s="6">
        <v>35910.946199999998</v>
      </c>
    </row>
    <row r="25" spans="1:5" hidden="1">
      <c r="A25" s="5" t="s">
        <v>8</v>
      </c>
      <c r="B25" s="5"/>
      <c r="C25" s="5"/>
      <c r="D25" s="5"/>
      <c r="E25" s="6">
        <v>-3729.7061999999969</v>
      </c>
    </row>
    <row r="26" spans="1:5" hidden="1">
      <c r="E26" s="3"/>
    </row>
    <row r="27" spans="1:5" hidden="1">
      <c r="A27" s="2">
        <v>43221</v>
      </c>
      <c r="E27" s="3"/>
    </row>
    <row r="28" spans="1:5" hidden="1">
      <c r="A28" s="4" t="s">
        <v>1</v>
      </c>
      <c r="B28" s="4" t="s">
        <v>2</v>
      </c>
      <c r="C28" s="4" t="s">
        <v>3</v>
      </c>
      <c r="D28" s="4" t="s">
        <v>4</v>
      </c>
      <c r="E28" s="4" t="s">
        <v>5</v>
      </c>
    </row>
    <row r="29" spans="1:5" hidden="1">
      <c r="A29" s="5" t="s">
        <v>6</v>
      </c>
      <c r="B29" s="5">
        <v>590480</v>
      </c>
      <c r="C29" s="5">
        <v>5904800</v>
      </c>
      <c r="D29" s="5">
        <v>5314320</v>
      </c>
      <c r="E29" s="6">
        <v>28208.28</v>
      </c>
    </row>
    <row r="30" spans="1:5" hidden="1">
      <c r="A30" s="5" t="s">
        <v>7</v>
      </c>
      <c r="B30" s="5"/>
      <c r="C30" s="5"/>
      <c r="D30" s="5">
        <v>0</v>
      </c>
      <c r="E30" s="6">
        <v>33378.830499999996</v>
      </c>
    </row>
    <row r="31" spans="1:5" hidden="1">
      <c r="A31" s="5" t="s">
        <v>8</v>
      </c>
      <c r="B31" s="5"/>
      <c r="C31" s="5"/>
      <c r="D31" s="5"/>
      <c r="E31" s="6">
        <v>-5170.5504999999976</v>
      </c>
    </row>
    <row r="32" spans="1:5" hidden="1">
      <c r="E32" s="3"/>
    </row>
    <row r="33" spans="1:5" hidden="1">
      <c r="A33" s="2">
        <v>43252</v>
      </c>
      <c r="E33" s="3"/>
    </row>
    <row r="34" spans="1:5" hidden="1">
      <c r="A34" s="4" t="s">
        <v>1</v>
      </c>
      <c r="B34" s="4" t="s">
        <v>2</v>
      </c>
      <c r="C34" s="4" t="s">
        <v>3</v>
      </c>
      <c r="D34" s="4" t="s">
        <v>4</v>
      </c>
      <c r="E34" s="4" t="s">
        <v>5</v>
      </c>
    </row>
    <row r="35" spans="1:5" hidden="1">
      <c r="A35" s="5" t="s">
        <v>6</v>
      </c>
      <c r="B35" s="5">
        <v>590480</v>
      </c>
      <c r="C35" s="5">
        <v>593914</v>
      </c>
      <c r="D35" s="5">
        <v>3434</v>
      </c>
      <c r="E35" s="6">
        <v>34224.1</v>
      </c>
    </row>
    <row r="36" spans="1:5" hidden="1">
      <c r="A36" s="5" t="s">
        <v>7</v>
      </c>
      <c r="B36" s="5"/>
      <c r="C36" s="5"/>
      <c r="D36" s="5">
        <v>0</v>
      </c>
      <c r="E36" s="6">
        <v>52045.642</v>
      </c>
    </row>
    <row r="37" spans="1:5" hidden="1">
      <c r="A37" s="5" t="s">
        <v>8</v>
      </c>
      <c r="B37" s="5"/>
      <c r="C37" s="5"/>
      <c r="D37" s="5"/>
      <c r="E37" s="6">
        <v>-17821.542000000001</v>
      </c>
    </row>
    <row r="38" spans="1:5" hidden="1">
      <c r="E38" s="3"/>
    </row>
    <row r="39" spans="1:5" hidden="1">
      <c r="A39" s="2">
        <v>43282</v>
      </c>
      <c r="E39" s="3"/>
    </row>
    <row r="40" spans="1:5" hidden="1">
      <c r="A40" s="4" t="s">
        <v>1</v>
      </c>
      <c r="B40" s="4" t="s">
        <v>2</v>
      </c>
      <c r="C40" s="4" t="s">
        <v>3</v>
      </c>
      <c r="D40" s="4" t="s">
        <v>4</v>
      </c>
      <c r="E40" s="4" t="s">
        <v>5</v>
      </c>
    </row>
    <row r="41" spans="1:5" hidden="1">
      <c r="A41" s="5" t="s">
        <v>6</v>
      </c>
      <c r="B41" s="5">
        <v>5939140</v>
      </c>
      <c r="C41" s="5">
        <v>5957550</v>
      </c>
      <c r="D41" s="5">
        <v>18410</v>
      </c>
      <c r="E41" s="6">
        <v>34547.050000000003</v>
      </c>
    </row>
    <row r="42" spans="1:5" hidden="1">
      <c r="A42" s="5" t="s">
        <v>7</v>
      </c>
      <c r="B42" s="5"/>
      <c r="C42" s="5"/>
      <c r="D42" s="5">
        <v>0</v>
      </c>
      <c r="E42" s="6">
        <v>52887.00499999999</v>
      </c>
    </row>
    <row r="43" spans="1:5" hidden="1">
      <c r="A43" s="5" t="s">
        <v>8</v>
      </c>
      <c r="B43" s="5"/>
      <c r="C43" s="5"/>
      <c r="D43" s="5"/>
      <c r="E43" s="6">
        <v>-18339.954999999987</v>
      </c>
    </row>
    <row r="44" spans="1:5" hidden="1">
      <c r="E44" s="3"/>
    </row>
    <row r="45" spans="1:5" hidden="1">
      <c r="A45" s="2">
        <v>43313</v>
      </c>
      <c r="E45" s="3"/>
    </row>
    <row r="46" spans="1:5" hidden="1">
      <c r="A46" s="4" t="s">
        <v>1</v>
      </c>
      <c r="B46" s="4" t="s">
        <v>2</v>
      </c>
      <c r="C46" s="4" t="s">
        <v>3</v>
      </c>
      <c r="D46" s="4" t="s">
        <v>4</v>
      </c>
      <c r="E46" s="4" t="s">
        <v>5</v>
      </c>
    </row>
    <row r="47" spans="1:5" hidden="1">
      <c r="A47" s="5" t="s">
        <v>6</v>
      </c>
      <c r="B47" s="5">
        <v>5957550</v>
      </c>
      <c r="C47" s="5">
        <v>5974170</v>
      </c>
      <c r="D47" s="5">
        <v>16620</v>
      </c>
      <c r="E47" s="6">
        <v>31231.48</v>
      </c>
    </row>
    <row r="48" spans="1:5" hidden="1">
      <c r="A48" s="5" t="s">
        <v>7</v>
      </c>
      <c r="B48" s="5"/>
      <c r="C48" s="5"/>
      <c r="D48" s="5">
        <v>0</v>
      </c>
      <c r="E48" s="6">
        <v>46238.923999999999</v>
      </c>
    </row>
    <row r="49" spans="1:5" hidden="1">
      <c r="A49" s="5" t="s">
        <v>8</v>
      </c>
      <c r="B49" s="5"/>
      <c r="C49" s="5"/>
      <c r="D49" s="5"/>
      <c r="E49" s="6">
        <v>-15007.444</v>
      </c>
    </row>
    <row r="50" spans="1:5" hidden="1">
      <c r="E50" s="3"/>
    </row>
    <row r="51" spans="1:5" hidden="1">
      <c r="A51" s="2">
        <v>43344</v>
      </c>
      <c r="E51" s="3"/>
    </row>
    <row r="52" spans="1:5" hidden="1">
      <c r="A52" s="4" t="s">
        <v>1</v>
      </c>
      <c r="B52" s="4" t="s">
        <v>2</v>
      </c>
      <c r="C52" s="4" t="s">
        <v>3</v>
      </c>
      <c r="D52" s="4" t="s">
        <v>4</v>
      </c>
      <c r="E52" s="4" t="s">
        <v>5</v>
      </c>
    </row>
    <row r="53" spans="1:5" hidden="1">
      <c r="A53" s="5" t="s">
        <v>6</v>
      </c>
      <c r="B53" s="5">
        <v>5974170</v>
      </c>
      <c r="C53" s="5">
        <v>5992690</v>
      </c>
      <c r="D53" s="5">
        <v>18520</v>
      </c>
      <c r="E53" s="6">
        <v>35934.46</v>
      </c>
    </row>
    <row r="54" spans="1:5" hidden="1">
      <c r="A54" s="5" t="s">
        <v>7</v>
      </c>
      <c r="B54" s="5"/>
      <c r="C54" s="5"/>
      <c r="D54" s="5">
        <v>0</v>
      </c>
      <c r="E54" s="6">
        <v>35417.515999999996</v>
      </c>
    </row>
    <row r="55" spans="1:5" hidden="1">
      <c r="A55" s="5" t="s">
        <v>8</v>
      </c>
      <c r="B55" s="5"/>
      <c r="C55" s="5"/>
      <c r="D55" s="5"/>
      <c r="E55" s="6">
        <v>516.94400000000314</v>
      </c>
    </row>
    <row r="56" spans="1:5" hidden="1">
      <c r="E56" s="3"/>
    </row>
    <row r="57" spans="1:5" hidden="1">
      <c r="A57" s="2">
        <v>43374</v>
      </c>
      <c r="E57" s="3"/>
    </row>
    <row r="58" spans="1:5" hidden="1">
      <c r="A58" s="4" t="s">
        <v>1</v>
      </c>
      <c r="B58" s="4" t="s">
        <v>2</v>
      </c>
      <c r="C58" s="4" t="s">
        <v>3</v>
      </c>
      <c r="D58" s="4" t="s">
        <v>4</v>
      </c>
      <c r="E58" s="4" t="s">
        <v>5</v>
      </c>
    </row>
    <row r="59" spans="1:5" hidden="1">
      <c r="A59" s="5" t="s">
        <v>6</v>
      </c>
      <c r="B59" s="5">
        <v>5992690</v>
      </c>
      <c r="C59" s="5">
        <v>6015180</v>
      </c>
      <c r="D59" s="5">
        <v>22490</v>
      </c>
      <c r="E59" s="6">
        <v>22704.5</v>
      </c>
    </row>
    <row r="60" spans="1:5" hidden="1">
      <c r="A60" s="5" t="s">
        <v>7</v>
      </c>
      <c r="B60" s="5"/>
      <c r="C60" s="5"/>
      <c r="D60" s="5">
        <v>0</v>
      </c>
      <c r="E60" s="6">
        <v>39384.337499999994</v>
      </c>
    </row>
    <row r="61" spans="1:5" hidden="1">
      <c r="A61" s="5" t="s">
        <v>8</v>
      </c>
      <c r="B61" s="5"/>
      <c r="C61" s="5"/>
      <c r="D61" s="5"/>
      <c r="E61" s="6">
        <v>-16679.837499999994</v>
      </c>
    </row>
    <row r="62" spans="1:5" hidden="1">
      <c r="E62" s="3"/>
    </row>
    <row r="63" spans="1:5" hidden="1">
      <c r="A63" s="2">
        <v>43405</v>
      </c>
      <c r="E63" s="3"/>
    </row>
    <row r="64" spans="1:5" hidden="1">
      <c r="A64" s="4" t="s">
        <v>1</v>
      </c>
      <c r="B64" s="4" t="s">
        <v>2</v>
      </c>
      <c r="C64" s="4" t="s">
        <v>3</v>
      </c>
      <c r="D64" s="4" t="s">
        <v>4</v>
      </c>
      <c r="E64" s="4" t="s">
        <v>5</v>
      </c>
    </row>
    <row r="65" spans="1:10" hidden="1">
      <c r="A65" s="5" t="s">
        <v>6</v>
      </c>
      <c r="B65" s="5">
        <v>6015180</v>
      </c>
      <c r="C65" s="5">
        <v>6036980</v>
      </c>
      <c r="D65" s="5">
        <v>21800</v>
      </c>
      <c r="E65" s="6">
        <v>22872.1</v>
      </c>
    </row>
    <row r="66" spans="1:10" hidden="1">
      <c r="A66" s="5" t="s">
        <v>7</v>
      </c>
      <c r="B66" s="5"/>
      <c r="C66" s="5"/>
      <c r="D66" s="5">
        <v>0</v>
      </c>
      <c r="E66" s="6">
        <v>39384.337499999994</v>
      </c>
    </row>
    <row r="67" spans="1:10" hidden="1">
      <c r="A67" s="5" t="s">
        <v>8</v>
      </c>
      <c r="B67" s="5"/>
      <c r="C67" s="5"/>
      <c r="D67" s="5"/>
      <c r="E67" s="6">
        <v>-16512.237499999996</v>
      </c>
    </row>
    <row r="68" spans="1:10" hidden="1">
      <c r="E68" s="3"/>
    </row>
    <row r="69" spans="1:10" hidden="1">
      <c r="A69" s="2">
        <v>43435</v>
      </c>
      <c r="E69" s="3"/>
    </row>
    <row r="70" spans="1:10" hidden="1">
      <c r="A70" s="4" t="s">
        <v>1</v>
      </c>
      <c r="B70" s="4" t="s">
        <v>2</v>
      </c>
      <c r="C70" s="4" t="s">
        <v>3</v>
      </c>
      <c r="D70" s="4" t="s">
        <v>4</v>
      </c>
      <c r="E70" s="4" t="s">
        <v>5</v>
      </c>
    </row>
    <row r="71" spans="1:10" hidden="1">
      <c r="A71" s="5" t="s">
        <v>6</v>
      </c>
      <c r="B71" s="5">
        <v>6036980</v>
      </c>
      <c r="C71" s="5">
        <v>6059120</v>
      </c>
      <c r="D71" s="5">
        <v>22140</v>
      </c>
      <c r="E71" s="6">
        <v>28161.39</v>
      </c>
    </row>
    <row r="72" spans="1:10" hidden="1">
      <c r="A72" s="5" t="s">
        <v>7</v>
      </c>
      <c r="B72" s="5"/>
      <c r="C72" s="5"/>
      <c r="D72" s="5">
        <v>0</v>
      </c>
      <c r="E72" s="6">
        <v>40119.360000000001</v>
      </c>
    </row>
    <row r="73" spans="1:10" hidden="1">
      <c r="A73" s="5" t="s">
        <v>8</v>
      </c>
      <c r="B73" s="5"/>
      <c r="C73" s="5"/>
      <c r="D73" s="5"/>
      <c r="E73" s="6">
        <v>-11957.970000000001</v>
      </c>
    </row>
    <row r="74" spans="1:10">
      <c r="E74" s="3"/>
    </row>
    <row r="75" spans="1:10">
      <c r="A75" s="14">
        <v>43466</v>
      </c>
      <c r="E75" s="3"/>
    </row>
    <row r="76" spans="1:10" hidden="1">
      <c r="A76" s="4" t="s">
        <v>1</v>
      </c>
      <c r="B76" s="4" t="s">
        <v>2</v>
      </c>
      <c r="C76" s="4" t="s">
        <v>3</v>
      </c>
      <c r="D76" s="4" t="s">
        <v>4</v>
      </c>
      <c r="E76" s="4" t="s">
        <v>5</v>
      </c>
      <c r="F76" s="8" t="s">
        <v>9</v>
      </c>
      <c r="G76" s="8" t="s">
        <v>10</v>
      </c>
      <c r="H76" s="8" t="s">
        <v>11</v>
      </c>
      <c r="I76" s="8" t="s">
        <v>12</v>
      </c>
      <c r="J76" s="8" t="s">
        <v>13</v>
      </c>
    </row>
    <row r="77" spans="1:10" hidden="1">
      <c r="A77" s="5" t="s">
        <v>6</v>
      </c>
      <c r="B77" s="5">
        <v>6059120</v>
      </c>
      <c r="C77" s="5">
        <v>6082800</v>
      </c>
      <c r="D77" s="5">
        <v>23680</v>
      </c>
      <c r="E77" s="6">
        <v>29296.34</v>
      </c>
      <c r="F77" s="5" t="s">
        <v>14</v>
      </c>
      <c r="G77" s="5">
        <v>31</v>
      </c>
      <c r="H77" s="3">
        <v>1.3</v>
      </c>
      <c r="I77" s="5">
        <f>D77/G77</f>
        <v>763.87096774193549</v>
      </c>
      <c r="J77" s="5" t="s">
        <v>15</v>
      </c>
    </row>
    <row r="78" spans="1:10" hidden="1">
      <c r="A78" s="5" t="s">
        <v>7</v>
      </c>
      <c r="B78" s="5"/>
      <c r="C78" s="5"/>
      <c r="D78" s="5">
        <v>29538</v>
      </c>
      <c r="E78" s="6">
        <v>44068</v>
      </c>
      <c r="F78" s="5" t="s">
        <v>16</v>
      </c>
      <c r="G78" s="5">
        <v>31</v>
      </c>
      <c r="H78" s="6">
        <f>E78/D78</f>
        <v>1.4919087277405376</v>
      </c>
      <c r="I78" s="5">
        <f>D78/G78</f>
        <v>952.83870967741939</v>
      </c>
      <c r="J78" s="5"/>
    </row>
    <row r="79" spans="1:10" hidden="1">
      <c r="A79" s="5" t="s">
        <v>8</v>
      </c>
      <c r="B79" s="5"/>
      <c r="C79" s="5"/>
      <c r="D79" s="5"/>
      <c r="E79" s="6">
        <v>-14771.66</v>
      </c>
      <c r="F79" s="5"/>
      <c r="G79" s="5"/>
      <c r="H79" s="5"/>
      <c r="I79" s="5"/>
      <c r="J79" s="5"/>
    </row>
    <row r="80" spans="1:10" hidden="1">
      <c r="E80" s="3"/>
    </row>
    <row r="81" spans="1:10" hidden="1">
      <c r="A81" s="2">
        <v>43497</v>
      </c>
      <c r="E81" s="3"/>
    </row>
    <row r="82" spans="1:10" hidden="1">
      <c r="A82" s="4" t="s">
        <v>1</v>
      </c>
      <c r="B82" s="4" t="s">
        <v>2</v>
      </c>
      <c r="C82" s="4" t="s">
        <v>3</v>
      </c>
      <c r="D82" s="4" t="s">
        <v>4</v>
      </c>
      <c r="E82" s="4" t="s">
        <v>5</v>
      </c>
      <c r="F82" s="8" t="s">
        <v>9</v>
      </c>
      <c r="G82" s="8" t="s">
        <v>10</v>
      </c>
      <c r="H82" s="8" t="s">
        <v>11</v>
      </c>
      <c r="I82" s="8" t="s">
        <v>12</v>
      </c>
      <c r="J82" s="8" t="s">
        <v>13</v>
      </c>
    </row>
    <row r="83" spans="1:10" hidden="1">
      <c r="A83" s="5" t="s">
        <v>6</v>
      </c>
      <c r="B83" s="5">
        <v>6082800</v>
      </c>
      <c r="C83" s="5">
        <v>6101210</v>
      </c>
      <c r="D83" s="5">
        <v>18410</v>
      </c>
      <c r="E83" s="6">
        <v>22696.880000000001</v>
      </c>
      <c r="F83" s="5" t="s">
        <v>17</v>
      </c>
      <c r="G83" s="5">
        <v>27</v>
      </c>
      <c r="H83" s="3">
        <v>1.3</v>
      </c>
      <c r="I83" s="5">
        <f>D83/G83</f>
        <v>681.85185185185185</v>
      </c>
      <c r="J83" s="5" t="s">
        <v>15</v>
      </c>
    </row>
    <row r="84" spans="1:10" hidden="1">
      <c r="A84" s="5" t="s">
        <v>7</v>
      </c>
      <c r="B84" s="5"/>
      <c r="C84" s="5"/>
      <c r="D84" s="5">
        <v>23666</v>
      </c>
      <c r="E84" s="6">
        <v>36797.5</v>
      </c>
      <c r="F84" s="5" t="s">
        <v>18</v>
      </c>
      <c r="G84" s="5">
        <v>28</v>
      </c>
      <c r="H84" s="6">
        <f>E84/D84</f>
        <v>1.5548677427533171</v>
      </c>
      <c r="I84" s="5">
        <f>D84/G84</f>
        <v>845.21428571428567</v>
      </c>
      <c r="J84" s="5"/>
    </row>
    <row r="85" spans="1:10" hidden="1">
      <c r="A85" s="5" t="s">
        <v>8</v>
      </c>
      <c r="B85" s="5"/>
      <c r="C85" s="5"/>
      <c r="D85" s="5"/>
      <c r="E85" s="6">
        <f>E83-E84</f>
        <v>-14100.619999999999</v>
      </c>
      <c r="F85" s="5"/>
      <c r="G85" s="5"/>
      <c r="H85" s="5"/>
      <c r="I85" s="5"/>
      <c r="J85" s="5"/>
    </row>
    <row r="86" spans="1:10" hidden="1">
      <c r="E86" s="3"/>
    </row>
    <row r="87" spans="1:10" hidden="1">
      <c r="A87" s="2">
        <v>43525</v>
      </c>
      <c r="E87" s="3"/>
    </row>
    <row r="88" spans="1:10" hidden="1">
      <c r="A88" s="4" t="s">
        <v>1</v>
      </c>
      <c r="B88" s="4" t="s">
        <v>2</v>
      </c>
      <c r="C88" s="4" t="s">
        <v>3</v>
      </c>
      <c r="D88" s="4" t="s">
        <v>4</v>
      </c>
      <c r="E88" s="4" t="s">
        <v>5</v>
      </c>
      <c r="F88" s="8" t="s">
        <v>9</v>
      </c>
      <c r="G88" s="8" t="s">
        <v>10</v>
      </c>
      <c r="H88" s="8" t="s">
        <v>11</v>
      </c>
      <c r="I88" s="8" t="s">
        <v>12</v>
      </c>
      <c r="J88" s="8" t="s">
        <v>13</v>
      </c>
    </row>
    <row r="89" spans="1:10" hidden="1">
      <c r="A89" s="5" t="s">
        <v>6</v>
      </c>
      <c r="B89" s="5">
        <v>6101210</v>
      </c>
      <c r="C89" s="5">
        <v>6123810</v>
      </c>
      <c r="D89" s="5">
        <v>22600</v>
      </c>
      <c r="E89" s="6">
        <v>30400.79</v>
      </c>
      <c r="F89" s="5" t="s">
        <v>19</v>
      </c>
      <c r="G89" s="5">
        <v>32</v>
      </c>
      <c r="H89" s="3">
        <v>1.3</v>
      </c>
      <c r="I89" s="5">
        <f>D89/G89</f>
        <v>706.25</v>
      </c>
      <c r="J89" s="5" t="s">
        <v>15</v>
      </c>
    </row>
    <row r="90" spans="1:10" hidden="1">
      <c r="A90" s="5" t="s">
        <v>7</v>
      </c>
      <c r="B90" s="5"/>
      <c r="C90" s="5"/>
      <c r="D90" s="5">
        <v>0</v>
      </c>
      <c r="E90" s="6">
        <v>32332.45</v>
      </c>
      <c r="F90" s="5"/>
      <c r="G90" s="5"/>
      <c r="H90" s="5"/>
      <c r="I90" s="5"/>
      <c r="J90" s="5"/>
    </row>
    <row r="91" spans="1:10" hidden="1">
      <c r="A91" s="5" t="s">
        <v>8</v>
      </c>
      <c r="B91" s="5"/>
      <c r="C91" s="5"/>
      <c r="D91" s="5"/>
      <c r="E91" s="6">
        <v>-9926.8925000000017</v>
      </c>
      <c r="F91" s="5"/>
      <c r="G91" s="5"/>
      <c r="H91" s="5"/>
      <c r="I91" s="5"/>
      <c r="J91" s="5"/>
    </row>
    <row r="92" spans="1:10" hidden="1">
      <c r="E92" s="3"/>
    </row>
    <row r="93" spans="1:10" hidden="1">
      <c r="A93" s="2">
        <v>43556</v>
      </c>
      <c r="E93" s="3"/>
    </row>
    <row r="94" spans="1:10" hidden="1">
      <c r="A94" s="4" t="s">
        <v>1</v>
      </c>
      <c r="B94" s="4" t="s">
        <v>2</v>
      </c>
      <c r="C94" s="4" t="s">
        <v>3</v>
      </c>
      <c r="D94" s="4" t="s">
        <v>4</v>
      </c>
      <c r="E94" s="4" t="s">
        <v>5</v>
      </c>
      <c r="F94" s="8" t="s">
        <v>9</v>
      </c>
      <c r="G94" s="8" t="s">
        <v>10</v>
      </c>
      <c r="H94" s="8" t="s">
        <v>11</v>
      </c>
      <c r="I94" s="8" t="s">
        <v>12</v>
      </c>
      <c r="J94" s="8" t="s">
        <v>13</v>
      </c>
    </row>
    <row r="95" spans="1:10" hidden="1">
      <c r="A95" s="5" t="s">
        <v>6</v>
      </c>
      <c r="B95" s="5">
        <v>6123810</v>
      </c>
      <c r="C95" s="5">
        <v>6158310</v>
      </c>
      <c r="D95" s="5">
        <v>34500</v>
      </c>
      <c r="E95" s="6">
        <v>26572.2</v>
      </c>
      <c r="F95" s="5" t="s">
        <v>20</v>
      </c>
      <c r="G95" s="5">
        <v>30</v>
      </c>
      <c r="H95" s="6">
        <v>1.54</v>
      </c>
      <c r="I95" s="5">
        <f>D95/G95</f>
        <v>1150</v>
      </c>
      <c r="J95" s="5" t="s">
        <v>15</v>
      </c>
    </row>
    <row r="96" spans="1:10" hidden="1">
      <c r="A96" s="5" t="s">
        <v>7</v>
      </c>
      <c r="B96" s="5"/>
      <c r="C96" s="5"/>
      <c r="D96" s="5">
        <v>19817</v>
      </c>
      <c r="E96" s="6">
        <v>40726.120000000003</v>
      </c>
      <c r="F96" s="5" t="s">
        <v>21</v>
      </c>
      <c r="G96" s="5">
        <v>30</v>
      </c>
      <c r="H96" s="6">
        <f>E96/D96</f>
        <v>2.0551102588686483</v>
      </c>
      <c r="I96" s="5">
        <f>D96/G96</f>
        <v>660.56666666666672</v>
      </c>
      <c r="J96" s="5"/>
    </row>
    <row r="97" spans="1:10" hidden="1">
      <c r="A97" s="5" t="s">
        <v>8</v>
      </c>
      <c r="B97" s="5"/>
      <c r="C97" s="5"/>
      <c r="D97" s="5"/>
      <c r="E97" s="6">
        <f>E95-E96</f>
        <v>-14153.920000000002</v>
      </c>
      <c r="F97" s="5"/>
      <c r="G97" s="5"/>
      <c r="H97" s="5"/>
      <c r="I97" s="5"/>
      <c r="J97" s="5"/>
    </row>
    <row r="98" spans="1:10" hidden="1"/>
    <row r="99" spans="1:10" hidden="1">
      <c r="A99" s="2">
        <v>43586</v>
      </c>
      <c r="E99" s="3"/>
    </row>
    <row r="100" spans="1:10" hidden="1">
      <c r="A100" s="4" t="s">
        <v>1</v>
      </c>
      <c r="B100" s="4" t="s">
        <v>2</v>
      </c>
      <c r="C100" s="4" t="s">
        <v>3</v>
      </c>
      <c r="D100" s="4" t="s">
        <v>4</v>
      </c>
      <c r="E100" s="4" t="s">
        <v>5</v>
      </c>
      <c r="F100" s="8" t="s">
        <v>9</v>
      </c>
      <c r="G100" s="8" t="s">
        <v>10</v>
      </c>
      <c r="H100" s="8" t="s">
        <v>11</v>
      </c>
      <c r="I100" s="8" t="s">
        <v>12</v>
      </c>
      <c r="J100" s="8" t="s">
        <v>13</v>
      </c>
    </row>
    <row r="101" spans="1:10" hidden="1">
      <c r="A101" s="5" t="s">
        <v>6</v>
      </c>
      <c r="B101" s="5">
        <v>6158310</v>
      </c>
      <c r="C101" s="5">
        <v>6158310</v>
      </c>
      <c r="D101" s="5">
        <f>C101-B101</f>
        <v>0</v>
      </c>
      <c r="E101" s="6">
        <v>25275.49</v>
      </c>
      <c r="F101" s="5" t="s">
        <v>22</v>
      </c>
      <c r="G101" s="5">
        <v>31</v>
      </c>
      <c r="H101" s="5">
        <v>1.77</v>
      </c>
      <c r="I101" s="5">
        <v>0</v>
      </c>
      <c r="J101" s="5" t="s">
        <v>15</v>
      </c>
    </row>
    <row r="102" spans="1:10" hidden="1">
      <c r="A102" s="5" t="s">
        <v>7</v>
      </c>
      <c r="B102" s="5"/>
      <c r="C102" s="5"/>
      <c r="D102" s="5">
        <v>19049</v>
      </c>
      <c r="E102" s="6">
        <v>35943.35</v>
      </c>
      <c r="F102" s="5" t="s">
        <v>23</v>
      </c>
      <c r="G102" s="5">
        <v>30</v>
      </c>
      <c r="H102" s="6">
        <f>E102/D102</f>
        <v>1.8868890755420231</v>
      </c>
      <c r="I102" s="5">
        <f>D102/G102</f>
        <v>634.9666666666667</v>
      </c>
      <c r="J102" s="5"/>
    </row>
    <row r="103" spans="1:10" hidden="1">
      <c r="A103" s="5" t="s">
        <v>8</v>
      </c>
      <c r="B103" s="5"/>
      <c r="C103" s="5"/>
      <c r="D103" s="5"/>
      <c r="E103" s="6">
        <f>E101-E102</f>
        <v>-10667.859999999997</v>
      </c>
      <c r="F103" s="5"/>
      <c r="G103" s="5"/>
      <c r="H103" s="5"/>
      <c r="I103" s="5"/>
      <c r="J103" s="5"/>
    </row>
    <row r="104" spans="1:10" hidden="1"/>
    <row r="105" spans="1:10" hidden="1">
      <c r="A105" s="2">
        <v>43617</v>
      </c>
      <c r="E105" s="3"/>
    </row>
    <row r="106" spans="1:10" hidden="1">
      <c r="A106" s="4" t="s">
        <v>1</v>
      </c>
      <c r="B106" s="4" t="s">
        <v>2</v>
      </c>
      <c r="C106" s="4" t="s">
        <v>3</v>
      </c>
      <c r="D106" s="4" t="s">
        <v>4</v>
      </c>
      <c r="E106" s="4" t="s">
        <v>5</v>
      </c>
      <c r="F106" s="8" t="s">
        <v>9</v>
      </c>
      <c r="G106" s="8" t="s">
        <v>10</v>
      </c>
      <c r="H106" s="8" t="s">
        <v>11</v>
      </c>
      <c r="I106" s="8" t="s">
        <v>12</v>
      </c>
      <c r="J106" s="8" t="s">
        <v>13</v>
      </c>
    </row>
    <row r="107" spans="1:10" hidden="1">
      <c r="A107" s="5" t="s">
        <v>6</v>
      </c>
      <c r="B107" s="5">
        <v>6158310</v>
      </c>
      <c r="C107" s="5">
        <v>6174990</v>
      </c>
      <c r="D107" s="5">
        <f>C107-B107</f>
        <v>16680</v>
      </c>
      <c r="E107" s="6">
        <v>22970.29</v>
      </c>
      <c r="F107" s="5" t="s">
        <v>24</v>
      </c>
      <c r="G107" s="5">
        <v>28</v>
      </c>
      <c r="H107" s="6">
        <v>1.54</v>
      </c>
      <c r="I107" s="5">
        <f>D107/G107</f>
        <v>595.71428571428567</v>
      </c>
      <c r="J107" s="5" t="s">
        <v>15</v>
      </c>
    </row>
    <row r="108" spans="1:10" hidden="1">
      <c r="A108" s="5" t="s">
        <v>7</v>
      </c>
      <c r="B108" s="5"/>
      <c r="C108" s="5"/>
      <c r="D108" s="5">
        <v>20778</v>
      </c>
      <c r="E108" s="6">
        <v>59813.32</v>
      </c>
      <c r="F108" s="5" t="s">
        <v>25</v>
      </c>
      <c r="G108" s="5">
        <v>30</v>
      </c>
      <c r="H108" s="5">
        <f>E108/D108</f>
        <v>2.8786851477524302</v>
      </c>
      <c r="I108" s="5">
        <f>D108/G108</f>
        <v>692.6</v>
      </c>
      <c r="J108" s="5"/>
    </row>
    <row r="109" spans="1:10" hidden="1">
      <c r="A109" s="5" t="s">
        <v>8</v>
      </c>
      <c r="B109" s="5"/>
      <c r="C109" s="5"/>
      <c r="D109" s="5"/>
      <c r="E109" s="6">
        <f>E107-E108</f>
        <v>-36843.03</v>
      </c>
      <c r="F109" s="5"/>
      <c r="G109" s="5"/>
      <c r="H109" s="5"/>
      <c r="I109" s="5"/>
      <c r="J109" s="5"/>
    </row>
    <row r="110" spans="1:10" hidden="1"/>
    <row r="111" spans="1:10" hidden="1">
      <c r="A111" s="2">
        <v>43647</v>
      </c>
      <c r="E111" s="3"/>
    </row>
    <row r="112" spans="1:10" hidden="1">
      <c r="A112" s="4" t="s">
        <v>1</v>
      </c>
      <c r="B112" s="4" t="s">
        <v>2</v>
      </c>
      <c r="C112" s="4" t="s">
        <v>3</v>
      </c>
      <c r="D112" s="4" t="s">
        <v>4</v>
      </c>
      <c r="E112" s="4" t="s">
        <v>5</v>
      </c>
      <c r="F112" s="8" t="s">
        <v>9</v>
      </c>
      <c r="G112" s="8" t="s">
        <v>10</v>
      </c>
      <c r="H112" s="8" t="s">
        <v>11</v>
      </c>
      <c r="I112" s="8" t="s">
        <v>12</v>
      </c>
      <c r="J112" s="8" t="s">
        <v>13</v>
      </c>
    </row>
    <row r="113" spans="1:10" hidden="1">
      <c r="A113" s="5" t="s">
        <v>6</v>
      </c>
      <c r="B113" s="5">
        <v>6174990</v>
      </c>
      <c r="C113" s="5">
        <v>6195040</v>
      </c>
      <c r="D113" s="5">
        <f>C113-B113</f>
        <v>20050</v>
      </c>
      <c r="E113" s="6">
        <v>31272.1</v>
      </c>
      <c r="F113" s="5" t="s">
        <v>26</v>
      </c>
      <c r="G113" s="5">
        <v>32</v>
      </c>
      <c r="H113" s="6">
        <v>1.74</v>
      </c>
      <c r="I113" s="5">
        <f>D113/G113</f>
        <v>626.5625</v>
      </c>
      <c r="J113" s="5" t="s">
        <v>15</v>
      </c>
    </row>
    <row r="114" spans="1:10" hidden="1">
      <c r="A114" s="5" t="s">
        <v>7</v>
      </c>
      <c r="B114" s="5"/>
      <c r="C114" s="5"/>
      <c r="D114" s="5">
        <v>24020</v>
      </c>
      <c r="E114" s="6">
        <v>63226.36</v>
      </c>
      <c r="F114" s="5" t="s">
        <v>27</v>
      </c>
      <c r="G114" s="5">
        <v>31</v>
      </c>
      <c r="H114" s="5">
        <f>E114/D114</f>
        <v>2.6322381348875936</v>
      </c>
      <c r="I114" s="5">
        <f>D114/G114</f>
        <v>774.83870967741939</v>
      </c>
      <c r="J114" s="5"/>
    </row>
    <row r="115" spans="1:10" hidden="1">
      <c r="A115" s="5" t="s">
        <v>8</v>
      </c>
      <c r="B115" s="5"/>
      <c r="C115" s="5"/>
      <c r="D115" s="5"/>
      <c r="E115" s="6">
        <f>E113-E114</f>
        <v>-31954.260000000002</v>
      </c>
      <c r="F115" s="5"/>
      <c r="G115" s="5"/>
      <c r="H115" s="5"/>
      <c r="I115" s="5"/>
      <c r="J115" s="5"/>
    </row>
    <row r="116" spans="1:10" hidden="1"/>
    <row r="117" spans="1:10" hidden="1">
      <c r="A117" s="2">
        <v>43678</v>
      </c>
      <c r="E117" s="3"/>
    </row>
    <row r="118" spans="1:10" hidden="1">
      <c r="A118" s="4" t="s">
        <v>1</v>
      </c>
      <c r="B118" s="4" t="s">
        <v>2</v>
      </c>
      <c r="C118" s="4" t="s">
        <v>3</v>
      </c>
      <c r="D118" s="4" t="s">
        <v>4</v>
      </c>
      <c r="E118" s="4" t="s">
        <v>5</v>
      </c>
      <c r="F118" s="8" t="s">
        <v>9</v>
      </c>
      <c r="G118" s="8" t="s">
        <v>10</v>
      </c>
      <c r="H118" s="8" t="s">
        <v>11</v>
      </c>
      <c r="I118" s="8" t="s">
        <v>12</v>
      </c>
      <c r="J118" s="8" t="s">
        <v>13</v>
      </c>
    </row>
    <row r="119" spans="1:10" hidden="1">
      <c r="A119" s="5" t="s">
        <v>6</v>
      </c>
      <c r="B119" s="5">
        <v>6195040</v>
      </c>
      <c r="C119" s="5">
        <v>6210360</v>
      </c>
      <c r="D119" s="5">
        <f>C119-B119</f>
        <v>15320</v>
      </c>
      <c r="E119" s="6">
        <v>35197.660000000003</v>
      </c>
      <c r="F119" s="5" t="s">
        <v>28</v>
      </c>
      <c r="G119" s="5">
        <v>30</v>
      </c>
      <c r="H119" s="6">
        <v>2.61</v>
      </c>
      <c r="I119" s="5">
        <f>D119/G119</f>
        <v>510.66666666666669</v>
      </c>
      <c r="J119" s="5" t="s">
        <v>15</v>
      </c>
    </row>
    <row r="120" spans="1:10" hidden="1">
      <c r="A120" s="5" t="s">
        <v>7</v>
      </c>
      <c r="B120" s="5"/>
      <c r="C120" s="5"/>
      <c r="D120" s="5">
        <v>18907</v>
      </c>
      <c r="E120" s="6">
        <v>52269.66</v>
      </c>
      <c r="F120" s="5" t="s">
        <v>29</v>
      </c>
      <c r="G120" s="5">
        <v>31</v>
      </c>
      <c r="H120" s="6">
        <f>E120/D120</f>
        <v>2.7645665626487546</v>
      </c>
      <c r="I120" s="5">
        <f>D120/G120</f>
        <v>609.90322580645159</v>
      </c>
      <c r="J120" s="5"/>
    </row>
    <row r="121" spans="1:10" hidden="1">
      <c r="A121" s="5" t="s">
        <v>8</v>
      </c>
      <c r="B121" s="5"/>
      <c r="C121" s="5"/>
      <c r="D121" s="5"/>
      <c r="E121" s="6">
        <f>E119-E120</f>
        <v>-17072</v>
      </c>
      <c r="F121" s="5"/>
      <c r="G121" s="5"/>
      <c r="H121" s="5"/>
      <c r="I121" s="5"/>
      <c r="J121" s="5"/>
    </row>
    <row r="122" spans="1:10" hidden="1"/>
    <row r="123" spans="1:10" hidden="1">
      <c r="A123" s="2">
        <v>43709</v>
      </c>
      <c r="E123" s="3"/>
    </row>
    <row r="124" spans="1:10" hidden="1">
      <c r="A124" s="4" t="s">
        <v>1</v>
      </c>
      <c r="B124" s="4" t="s">
        <v>2</v>
      </c>
      <c r="C124" s="4" t="s">
        <v>3</v>
      </c>
      <c r="D124" s="4" t="s">
        <v>4</v>
      </c>
      <c r="E124" s="4" t="s">
        <v>5</v>
      </c>
      <c r="F124" s="8" t="s">
        <v>9</v>
      </c>
      <c r="G124" s="8" t="s">
        <v>10</v>
      </c>
      <c r="H124" s="8" t="s">
        <v>11</v>
      </c>
      <c r="I124" s="8" t="s">
        <v>12</v>
      </c>
      <c r="J124" s="8" t="s">
        <v>13</v>
      </c>
    </row>
    <row r="125" spans="1:10" hidden="1">
      <c r="A125" s="5" t="s">
        <v>6</v>
      </c>
      <c r="B125" s="5">
        <f>C119</f>
        <v>6210360</v>
      </c>
      <c r="C125" s="5">
        <v>6225680</v>
      </c>
      <c r="D125" s="5">
        <f>C125-B125</f>
        <v>15320</v>
      </c>
      <c r="E125" s="6">
        <v>57052.992699999995</v>
      </c>
      <c r="F125" s="5" t="s">
        <v>30</v>
      </c>
      <c r="G125" s="5">
        <v>28</v>
      </c>
      <c r="H125" s="6">
        <f>E125/D125</f>
        <v>3.72408568537859</v>
      </c>
      <c r="I125" s="5">
        <f>D125/G125</f>
        <v>547.14285714285711</v>
      </c>
      <c r="J125" s="5" t="s">
        <v>15</v>
      </c>
    </row>
    <row r="126" spans="1:10" hidden="1">
      <c r="A126" s="5" t="s">
        <v>7</v>
      </c>
      <c r="B126" s="5"/>
      <c r="C126" s="5"/>
      <c r="D126" s="5">
        <v>27123</v>
      </c>
      <c r="E126" s="6">
        <v>48154.63</v>
      </c>
      <c r="F126" s="5" t="s">
        <v>31</v>
      </c>
      <c r="G126" s="5">
        <v>30</v>
      </c>
      <c r="H126" s="6">
        <f>E126/D126</f>
        <v>1.7754168049257086</v>
      </c>
      <c r="I126" s="5">
        <f>D126/G126</f>
        <v>904.1</v>
      </c>
      <c r="J126" s="5" t="s">
        <v>15</v>
      </c>
    </row>
    <row r="127" spans="1:10" hidden="1">
      <c r="A127" s="5" t="s">
        <v>8</v>
      </c>
      <c r="B127" s="5"/>
      <c r="C127" s="5"/>
      <c r="D127" s="5"/>
      <c r="E127" s="6"/>
      <c r="F127" s="5"/>
      <c r="G127" s="5"/>
      <c r="H127" s="5"/>
      <c r="I127" s="5"/>
      <c r="J127" s="5"/>
    </row>
    <row r="128" spans="1:10" hidden="1"/>
    <row r="129" spans="1:10" hidden="1">
      <c r="A129" s="2">
        <v>43739</v>
      </c>
      <c r="E129" s="3"/>
    </row>
    <row r="130" spans="1:10" hidden="1">
      <c r="A130" s="4" t="s">
        <v>1</v>
      </c>
      <c r="B130" s="4" t="s">
        <v>2</v>
      </c>
      <c r="C130" s="4" t="s">
        <v>3</v>
      </c>
      <c r="D130" s="4" t="s">
        <v>4</v>
      </c>
      <c r="E130" s="4" t="s">
        <v>5</v>
      </c>
      <c r="F130" s="8" t="s">
        <v>9</v>
      </c>
      <c r="G130" s="8" t="s">
        <v>10</v>
      </c>
      <c r="H130" s="8" t="s">
        <v>11</v>
      </c>
      <c r="I130" s="8" t="s">
        <v>12</v>
      </c>
      <c r="J130" s="8" t="s">
        <v>13</v>
      </c>
    </row>
    <row r="131" spans="1:10" hidden="1">
      <c r="A131" s="5" t="s">
        <v>6</v>
      </c>
      <c r="B131" s="5">
        <f>C125</f>
        <v>6225680</v>
      </c>
      <c r="C131" s="5">
        <v>6230820</v>
      </c>
      <c r="D131" s="5">
        <v>15140</v>
      </c>
      <c r="E131" s="6">
        <v>60284.952699999987</v>
      </c>
      <c r="F131" s="5" t="s">
        <v>32</v>
      </c>
      <c r="G131" s="5">
        <v>34</v>
      </c>
      <c r="H131" s="6">
        <f>E131/D131</f>
        <v>3.9818330713342132</v>
      </c>
      <c r="I131" s="5">
        <f>D131/G131</f>
        <v>445.29411764705884</v>
      </c>
      <c r="J131" s="5" t="s">
        <v>15</v>
      </c>
    </row>
    <row r="132" spans="1:10" hidden="1">
      <c r="A132" s="5" t="s">
        <v>7</v>
      </c>
      <c r="B132" s="5"/>
      <c r="C132" s="5"/>
      <c r="D132" s="5">
        <v>27122</v>
      </c>
      <c r="E132" s="6">
        <f>41660.28*1.15</f>
        <v>47909.321999999993</v>
      </c>
      <c r="F132" s="5" t="s">
        <v>31</v>
      </c>
      <c r="G132" s="5">
        <v>31</v>
      </c>
      <c r="H132" s="6">
        <f>E132/D132</f>
        <v>1.7664376520905536</v>
      </c>
      <c r="I132" s="5">
        <f>D132/G132</f>
        <v>874.90322580645159</v>
      </c>
      <c r="J132" s="5" t="s">
        <v>15</v>
      </c>
    </row>
    <row r="133" spans="1:10" hidden="1">
      <c r="A133" s="5" t="s">
        <v>8</v>
      </c>
      <c r="B133" s="5"/>
      <c r="C133" s="5"/>
      <c r="D133" s="5"/>
      <c r="E133" s="6"/>
      <c r="F133" s="5"/>
      <c r="G133" s="5"/>
      <c r="H133" s="5"/>
      <c r="I133" s="5"/>
      <c r="J133" s="5"/>
    </row>
    <row r="134" spans="1:10" hidden="1"/>
    <row r="135" spans="1:10" hidden="1">
      <c r="A135" s="2">
        <v>43770</v>
      </c>
      <c r="E135" s="3"/>
    </row>
    <row r="136" spans="1:10" hidden="1">
      <c r="A136" s="4" t="s">
        <v>1</v>
      </c>
      <c r="B136" s="4" t="s">
        <v>2</v>
      </c>
      <c r="C136" s="4" t="s">
        <v>3</v>
      </c>
      <c r="D136" s="4" t="s">
        <v>4</v>
      </c>
      <c r="E136" s="4" t="s">
        <v>5</v>
      </c>
      <c r="F136" s="8" t="s">
        <v>9</v>
      </c>
      <c r="G136" s="8" t="s">
        <v>10</v>
      </c>
      <c r="H136" s="8" t="s">
        <v>11</v>
      </c>
      <c r="I136" s="8" t="s">
        <v>12</v>
      </c>
      <c r="J136" s="8" t="s">
        <v>13</v>
      </c>
    </row>
    <row r="137" spans="1:10" hidden="1">
      <c r="A137" s="5" t="s">
        <v>6</v>
      </c>
      <c r="B137" s="5">
        <f>C131</f>
        <v>6230820</v>
      </c>
      <c r="C137" s="5">
        <v>6273910</v>
      </c>
      <c r="D137" s="5">
        <f>C137-B137</f>
        <v>43090</v>
      </c>
      <c r="E137" s="6">
        <v>52830.436499999989</v>
      </c>
      <c r="F137" s="5" t="s">
        <v>33</v>
      </c>
      <c r="G137" s="5">
        <v>28</v>
      </c>
      <c r="H137" s="6">
        <f>E137/D137</f>
        <v>1.2260486539800415</v>
      </c>
      <c r="I137" s="5">
        <f>D137/G137</f>
        <v>1538.9285714285713</v>
      </c>
      <c r="J137" s="5" t="s">
        <v>15</v>
      </c>
    </row>
    <row r="138" spans="1:10" hidden="1">
      <c r="A138" s="5" t="s">
        <v>7</v>
      </c>
      <c r="B138" s="5"/>
      <c r="C138" s="5"/>
      <c r="D138" s="5"/>
      <c r="E138" s="6"/>
      <c r="F138" s="5"/>
      <c r="G138" s="5"/>
      <c r="H138" s="6"/>
      <c r="I138" s="5"/>
      <c r="J138" s="5"/>
    </row>
    <row r="139" spans="1:10" hidden="1">
      <c r="A139" s="5" t="s">
        <v>8</v>
      </c>
      <c r="B139" s="5"/>
      <c r="C139" s="5"/>
      <c r="D139" s="5"/>
      <c r="E139" s="6"/>
      <c r="F139" s="5"/>
      <c r="G139" s="5"/>
      <c r="H139" s="5"/>
      <c r="I139" s="5"/>
      <c r="J139" s="5"/>
    </row>
    <row r="140" spans="1:10" hidden="1"/>
    <row r="141" spans="1:10" hidden="1">
      <c r="A141" s="2">
        <v>43800</v>
      </c>
      <c r="E141" s="3"/>
    </row>
    <row r="142" spans="1:10" hidden="1">
      <c r="A142" s="4" t="s">
        <v>34</v>
      </c>
      <c r="B142" s="4" t="s">
        <v>2</v>
      </c>
      <c r="C142" s="4" t="s">
        <v>3</v>
      </c>
      <c r="D142" s="4" t="s">
        <v>4</v>
      </c>
      <c r="E142" s="4" t="s">
        <v>5</v>
      </c>
      <c r="F142" s="8" t="s">
        <v>9</v>
      </c>
      <c r="G142" s="8" t="s">
        <v>10</v>
      </c>
      <c r="H142" s="8" t="s">
        <v>11</v>
      </c>
      <c r="I142" s="8" t="s">
        <v>12</v>
      </c>
      <c r="J142" s="8" t="s">
        <v>13</v>
      </c>
    </row>
    <row r="143" spans="1:10" hidden="1">
      <c r="A143" s="5" t="s">
        <v>6</v>
      </c>
      <c r="B143" s="5">
        <f>C137</f>
        <v>6273910</v>
      </c>
      <c r="C143" s="5">
        <v>6292820</v>
      </c>
      <c r="D143" s="5">
        <f>C143-B143</f>
        <v>18910</v>
      </c>
      <c r="E143" s="6">
        <v>63368.063599999994</v>
      </c>
      <c r="F143" s="5" t="s">
        <v>33</v>
      </c>
      <c r="G143" s="5">
        <v>28</v>
      </c>
      <c r="H143" s="6">
        <f>E143/D143</f>
        <v>3.3510345637228975</v>
      </c>
      <c r="I143" s="5">
        <f>D143/G143</f>
        <v>675.35714285714289</v>
      </c>
      <c r="J143" s="5" t="s">
        <v>15</v>
      </c>
    </row>
    <row r="144" spans="1:10" hidden="1">
      <c r="A144" s="5" t="s">
        <v>7</v>
      </c>
      <c r="B144" s="5"/>
      <c r="C144" s="5"/>
      <c r="D144" s="5">
        <v>22064</v>
      </c>
      <c r="E144" s="6">
        <v>45478</v>
      </c>
      <c r="F144" s="5" t="s">
        <v>35</v>
      </c>
      <c r="G144" s="5">
        <v>31</v>
      </c>
      <c r="H144" s="6">
        <f>E144/D144</f>
        <v>2.0611856417693981</v>
      </c>
      <c r="I144" s="5">
        <f>D144/G144</f>
        <v>711.74193548387098</v>
      </c>
      <c r="J144" s="5" t="s">
        <v>15</v>
      </c>
    </row>
    <row r="145" spans="1:10" hidden="1">
      <c r="A145" s="5" t="s">
        <v>8</v>
      </c>
      <c r="B145" s="5"/>
      <c r="C145" s="5"/>
      <c r="D145" s="5"/>
      <c r="E145" s="6"/>
      <c r="F145" s="5"/>
      <c r="G145" s="5"/>
      <c r="H145" s="5"/>
      <c r="I145" s="5"/>
      <c r="J145" s="5"/>
    </row>
    <row r="147" spans="1:10">
      <c r="A147" s="14">
        <v>43831</v>
      </c>
      <c r="E147" s="3"/>
    </row>
    <row r="148" spans="1:10" hidden="1">
      <c r="A148" s="4" t="s">
        <v>34</v>
      </c>
      <c r="B148" s="4" t="s">
        <v>2</v>
      </c>
      <c r="C148" s="4" t="s">
        <v>3</v>
      </c>
      <c r="D148" s="4" t="s">
        <v>4</v>
      </c>
      <c r="E148" s="4" t="s">
        <v>5</v>
      </c>
      <c r="F148" s="8" t="s">
        <v>9</v>
      </c>
      <c r="G148" s="8" t="s">
        <v>10</v>
      </c>
      <c r="H148" s="8" t="s">
        <v>11</v>
      </c>
      <c r="I148" s="8" t="s">
        <v>12</v>
      </c>
      <c r="J148" s="8" t="s">
        <v>13</v>
      </c>
    </row>
    <row r="149" spans="1:10" hidden="1">
      <c r="A149" s="5" t="s">
        <v>6</v>
      </c>
      <c r="B149" s="5">
        <f>C143</f>
        <v>6292820</v>
      </c>
      <c r="C149" s="5">
        <v>6319860</v>
      </c>
      <c r="D149" s="5">
        <f>C149-B149</f>
        <v>27040</v>
      </c>
      <c r="E149" s="6">
        <v>56360.329299999998</v>
      </c>
      <c r="F149" s="5" t="s">
        <v>36</v>
      </c>
      <c r="G149" s="5">
        <v>30</v>
      </c>
      <c r="H149" s="6">
        <f>E149/D149</f>
        <v>2.0843317048816568</v>
      </c>
      <c r="I149" s="5">
        <f>D149/G149</f>
        <v>901.33333333333337</v>
      </c>
      <c r="J149" s="5" t="s">
        <v>15</v>
      </c>
    </row>
    <row r="150" spans="1:10" hidden="1">
      <c r="A150" s="5" t="s">
        <v>7</v>
      </c>
      <c r="B150" s="5"/>
      <c r="C150" s="5"/>
      <c r="D150" s="5">
        <v>33339</v>
      </c>
      <c r="E150" s="6">
        <v>54082.05</v>
      </c>
      <c r="F150" s="5" t="s">
        <v>37</v>
      </c>
      <c r="G150" s="5">
        <v>31</v>
      </c>
      <c r="H150" s="6">
        <f>E150/D150</f>
        <v>1.6221857284261676</v>
      </c>
      <c r="I150" s="5">
        <f>D150/G150</f>
        <v>1075.4516129032259</v>
      </c>
      <c r="J150" s="5" t="s">
        <v>15</v>
      </c>
    </row>
    <row r="151" spans="1:10" hidden="1">
      <c r="A151" s="5" t="s">
        <v>8</v>
      </c>
      <c r="B151" s="5"/>
      <c r="C151" s="5"/>
      <c r="D151" s="5"/>
      <c r="E151" s="6"/>
      <c r="F151" s="5"/>
      <c r="G151" s="5"/>
      <c r="H151" s="5"/>
      <c r="I151" s="5"/>
      <c r="J151" s="5"/>
    </row>
    <row r="152" spans="1:10" hidden="1"/>
    <row r="153" spans="1:10" hidden="1">
      <c r="A153" s="14">
        <v>43862</v>
      </c>
      <c r="E153" s="3"/>
    </row>
    <row r="154" spans="1:10" hidden="1">
      <c r="A154" s="4" t="s">
        <v>34</v>
      </c>
      <c r="B154" s="4" t="s">
        <v>2</v>
      </c>
      <c r="C154" s="4" t="s">
        <v>3</v>
      </c>
      <c r="D154" s="4" t="s">
        <v>4</v>
      </c>
      <c r="E154" s="4" t="s">
        <v>5</v>
      </c>
      <c r="F154" s="8" t="s">
        <v>9</v>
      </c>
      <c r="G154" s="8" t="s">
        <v>10</v>
      </c>
      <c r="H154" s="8" t="s">
        <v>11</v>
      </c>
      <c r="I154" s="8" t="s">
        <v>12</v>
      </c>
      <c r="J154" s="8" t="s">
        <v>13</v>
      </c>
    </row>
    <row r="155" spans="1:10" hidden="1">
      <c r="A155" s="5" t="s">
        <v>6</v>
      </c>
      <c r="B155" s="5">
        <f>C149</f>
        <v>6319860</v>
      </c>
      <c r="C155" s="5">
        <v>6344040</v>
      </c>
      <c r="D155" s="5">
        <f>C155-B155</f>
        <v>24180</v>
      </c>
      <c r="E155" s="6">
        <v>63647.360000000001</v>
      </c>
      <c r="F155" s="5" t="s">
        <v>38</v>
      </c>
      <c r="G155" s="5">
        <v>30</v>
      </c>
      <c r="H155" s="6">
        <f>E155/D155</f>
        <v>2.6322315963606284</v>
      </c>
      <c r="I155" s="5">
        <f>D155/G155</f>
        <v>806</v>
      </c>
      <c r="J155" s="5" t="s">
        <v>15</v>
      </c>
    </row>
    <row r="156" spans="1:10" hidden="1">
      <c r="A156" s="5" t="s">
        <v>7</v>
      </c>
      <c r="B156" s="5"/>
      <c r="C156" s="5"/>
      <c r="D156" s="5">
        <v>29984</v>
      </c>
      <c r="E156" s="6">
        <v>51091.199999999997</v>
      </c>
      <c r="F156" s="5" t="s">
        <v>39</v>
      </c>
      <c r="G156" s="5">
        <v>29</v>
      </c>
      <c r="H156" s="6">
        <f>E156/D156</f>
        <v>1.7039487726787619</v>
      </c>
      <c r="I156" s="5">
        <f>D156/G156</f>
        <v>1033.9310344827586</v>
      </c>
      <c r="J156" s="5" t="s">
        <v>15</v>
      </c>
    </row>
    <row r="157" spans="1:10" hidden="1">
      <c r="A157" s="5" t="s">
        <v>8</v>
      </c>
      <c r="B157" s="5"/>
      <c r="C157" s="5"/>
      <c r="D157" s="5"/>
      <c r="E157" s="6"/>
      <c r="F157" s="5"/>
      <c r="G157" s="5"/>
      <c r="H157" s="5"/>
      <c r="I157" s="5"/>
      <c r="J157" s="5"/>
    </row>
    <row r="158" spans="1:10" hidden="1"/>
    <row r="159" spans="1:10" hidden="1">
      <c r="A159" s="14">
        <v>43891</v>
      </c>
      <c r="E159" s="3"/>
    </row>
    <row r="160" spans="1:10" hidden="1">
      <c r="A160" s="4" t="s">
        <v>34</v>
      </c>
      <c r="B160" s="4" t="s">
        <v>2</v>
      </c>
      <c r="C160" s="4" t="s">
        <v>3</v>
      </c>
      <c r="D160" s="4" t="s">
        <v>4</v>
      </c>
      <c r="E160" s="4" t="s">
        <v>5</v>
      </c>
      <c r="F160" s="8" t="s">
        <v>9</v>
      </c>
      <c r="G160" s="8" t="s">
        <v>10</v>
      </c>
      <c r="H160" s="8" t="s">
        <v>11</v>
      </c>
      <c r="I160" s="8" t="s">
        <v>12</v>
      </c>
      <c r="J160" s="8" t="s">
        <v>13</v>
      </c>
    </row>
    <row r="161" spans="1:10" hidden="1">
      <c r="A161" s="5" t="s">
        <v>6</v>
      </c>
      <c r="B161" s="5">
        <f>C155</f>
        <v>6344040</v>
      </c>
      <c r="C161" s="5">
        <v>6362690</v>
      </c>
      <c r="D161" s="5">
        <f>C161-B161</f>
        <v>18650</v>
      </c>
      <c r="E161" s="6">
        <v>43512.805299999993</v>
      </c>
      <c r="F161" s="5" t="s">
        <v>40</v>
      </c>
      <c r="G161" s="5">
        <v>26</v>
      </c>
      <c r="H161" s="6">
        <f>E161/D161</f>
        <v>2.3331262895442357</v>
      </c>
      <c r="I161" s="5">
        <f>D161/G161</f>
        <v>717.30769230769226</v>
      </c>
      <c r="J161" s="5" t="s">
        <v>15</v>
      </c>
    </row>
    <row r="162" spans="1:10" hidden="1">
      <c r="A162" s="5" t="s">
        <v>7</v>
      </c>
      <c r="B162" s="5"/>
      <c r="C162" s="5"/>
      <c r="D162" s="5">
        <v>21690</v>
      </c>
      <c r="E162" s="6">
        <v>42345.55</v>
      </c>
      <c r="F162" s="5" t="s">
        <v>41</v>
      </c>
      <c r="G162" s="5">
        <v>31</v>
      </c>
      <c r="H162" s="6">
        <f>E162/D162</f>
        <v>1.9523075149838636</v>
      </c>
      <c r="I162" s="5">
        <f>D162/G162</f>
        <v>699.67741935483866</v>
      </c>
      <c r="J162" s="5" t="s">
        <v>15</v>
      </c>
    </row>
    <row r="163" spans="1:10" hidden="1">
      <c r="A163" s="5" t="s">
        <v>8</v>
      </c>
      <c r="B163" s="5"/>
      <c r="C163" s="5"/>
      <c r="D163" s="5"/>
      <c r="E163" s="6"/>
      <c r="F163" s="5"/>
      <c r="G163" s="5"/>
      <c r="H163" s="5"/>
      <c r="I163" s="5"/>
      <c r="J163" s="5"/>
    </row>
    <row r="164" spans="1:10" hidden="1"/>
    <row r="165" spans="1:10" hidden="1">
      <c r="A165" s="14">
        <v>43922</v>
      </c>
      <c r="E165" s="3"/>
    </row>
    <row r="166" spans="1:10" hidden="1">
      <c r="A166" s="4" t="s">
        <v>34</v>
      </c>
      <c r="B166" s="4" t="s">
        <v>2</v>
      </c>
      <c r="C166" s="4" t="s">
        <v>3</v>
      </c>
      <c r="D166" s="4" t="s">
        <v>4</v>
      </c>
      <c r="E166" s="4" t="s">
        <v>5</v>
      </c>
      <c r="F166" s="8" t="s">
        <v>9</v>
      </c>
      <c r="G166" s="8" t="s">
        <v>10</v>
      </c>
      <c r="H166" s="8" t="s">
        <v>11</v>
      </c>
      <c r="I166" s="8" t="s">
        <v>12</v>
      </c>
      <c r="J166" s="8" t="s">
        <v>13</v>
      </c>
    </row>
    <row r="167" spans="1:10" hidden="1">
      <c r="A167" s="5" t="s">
        <v>6</v>
      </c>
      <c r="B167" s="5">
        <f>C161</f>
        <v>6362690</v>
      </c>
      <c r="C167" s="5">
        <v>6372750</v>
      </c>
      <c r="D167" s="5">
        <f>C167-B167</f>
        <v>10060</v>
      </c>
      <c r="E167" s="6">
        <v>19598.345999999994</v>
      </c>
      <c r="F167" s="5" t="s">
        <v>42</v>
      </c>
      <c r="G167" s="5">
        <v>34</v>
      </c>
      <c r="H167" s="6">
        <f>E167/D167</f>
        <v>1.9481457256461228</v>
      </c>
      <c r="I167" s="5">
        <f>D167/G167</f>
        <v>295.88235294117646</v>
      </c>
      <c r="J167" s="5" t="s">
        <v>15</v>
      </c>
    </row>
    <row r="168" spans="1:10" hidden="1">
      <c r="A168" s="5" t="s">
        <v>7</v>
      </c>
      <c r="B168" s="5"/>
      <c r="C168" s="5"/>
      <c r="D168" s="5">
        <v>10048</v>
      </c>
      <c r="E168" s="6">
        <f>23179.82*1.15</f>
        <v>26656.792999999998</v>
      </c>
      <c r="F168" s="5" t="s">
        <v>43</v>
      </c>
      <c r="G168" s="5">
        <v>30</v>
      </c>
      <c r="H168" s="6">
        <f>E168/D168</f>
        <v>2.6529451632165602</v>
      </c>
      <c r="I168" s="5">
        <f>D168/G168</f>
        <v>334.93333333333334</v>
      </c>
      <c r="J168" s="5" t="s">
        <v>15</v>
      </c>
    </row>
    <row r="169" spans="1:10" hidden="1">
      <c r="A169" s="5" t="s">
        <v>8</v>
      </c>
      <c r="B169" s="5"/>
      <c r="C169" s="5"/>
      <c r="D169" s="5"/>
      <c r="E169" s="6"/>
      <c r="F169" s="5"/>
      <c r="G169" s="5"/>
      <c r="H169" s="5"/>
      <c r="I169" s="5"/>
      <c r="J169" s="5"/>
    </row>
    <row r="170" spans="1:10" hidden="1"/>
    <row r="171" spans="1:10" hidden="1">
      <c r="A171" s="14">
        <v>43952</v>
      </c>
      <c r="E171" s="3"/>
    </row>
    <row r="172" spans="1:10" hidden="1">
      <c r="A172" s="4" t="s">
        <v>34</v>
      </c>
      <c r="B172" s="4" t="s">
        <v>2</v>
      </c>
      <c r="C172" s="4" t="s">
        <v>3</v>
      </c>
      <c r="D172" s="4" t="s">
        <v>4</v>
      </c>
      <c r="E172" s="4" t="s">
        <v>5</v>
      </c>
      <c r="F172" s="8" t="s">
        <v>9</v>
      </c>
      <c r="G172" s="8" t="s">
        <v>10</v>
      </c>
      <c r="H172" s="8" t="s">
        <v>11</v>
      </c>
      <c r="I172" s="8" t="s">
        <v>12</v>
      </c>
      <c r="J172" s="8" t="s">
        <v>13</v>
      </c>
    </row>
    <row r="173" spans="1:10" hidden="1">
      <c r="A173" s="5" t="s">
        <v>6</v>
      </c>
      <c r="B173" s="5">
        <f>C167</f>
        <v>6372750</v>
      </c>
      <c r="C173" s="5">
        <v>6383240</v>
      </c>
      <c r="D173" s="5">
        <f>C173-B173</f>
        <v>10490</v>
      </c>
      <c r="E173" s="6">
        <v>20435.578199999996</v>
      </c>
      <c r="F173" s="5" t="s">
        <v>44</v>
      </c>
      <c r="G173" s="5">
        <v>31</v>
      </c>
      <c r="H173" s="6">
        <f>E173/D173</f>
        <v>1.9481008770257384</v>
      </c>
      <c r="I173" s="5">
        <f>D173/G173</f>
        <v>338.38709677419354</v>
      </c>
      <c r="J173" s="5" t="s">
        <v>15</v>
      </c>
    </row>
    <row r="174" spans="1:10" hidden="1">
      <c r="A174" s="5" t="s">
        <v>7</v>
      </c>
      <c r="B174" s="5"/>
      <c r="C174" s="5"/>
      <c r="D174" s="5">
        <v>12469</v>
      </c>
      <c r="E174" s="6">
        <v>31783.81</v>
      </c>
      <c r="F174" s="5" t="s">
        <v>45</v>
      </c>
      <c r="G174" s="5">
        <v>31</v>
      </c>
      <c r="H174" s="6">
        <f>E174/D174</f>
        <v>2.549026385435881</v>
      </c>
      <c r="I174" s="5">
        <f>D174/G174</f>
        <v>402.22580645161293</v>
      </c>
      <c r="J174" s="5"/>
    </row>
    <row r="175" spans="1:10" hidden="1">
      <c r="A175" s="5" t="s">
        <v>8</v>
      </c>
      <c r="B175" s="5"/>
      <c r="C175" s="5"/>
      <c r="D175" s="5"/>
      <c r="E175" s="6"/>
      <c r="F175" s="5"/>
      <c r="G175" s="5"/>
      <c r="H175" s="5"/>
      <c r="I175" s="5"/>
      <c r="J175" s="5"/>
    </row>
    <row r="176" spans="1:10" hidden="1"/>
    <row r="177" spans="1:13" hidden="1">
      <c r="A177" s="14">
        <v>43983</v>
      </c>
      <c r="E177" s="3"/>
    </row>
    <row r="178" spans="1:13" hidden="1">
      <c r="A178" s="4" t="s">
        <v>34</v>
      </c>
      <c r="B178" s="4" t="s">
        <v>2</v>
      </c>
      <c r="C178" s="4" t="s">
        <v>3</v>
      </c>
      <c r="D178" s="4" t="s">
        <v>4</v>
      </c>
      <c r="E178" s="4" t="s">
        <v>5</v>
      </c>
      <c r="F178" s="8" t="s">
        <v>9</v>
      </c>
      <c r="G178" s="8" t="s">
        <v>10</v>
      </c>
      <c r="H178" s="8" t="s">
        <v>11</v>
      </c>
      <c r="I178" s="8" t="s">
        <v>12</v>
      </c>
      <c r="J178" s="8" t="s">
        <v>13</v>
      </c>
    </row>
    <row r="179" spans="1:13" hidden="1">
      <c r="A179" s="5" t="s">
        <v>6</v>
      </c>
      <c r="B179" s="5">
        <f>C173</f>
        <v>6383240</v>
      </c>
      <c r="C179" s="5">
        <v>6400356</v>
      </c>
      <c r="D179" s="5">
        <f>C179-B179</f>
        <v>17116</v>
      </c>
      <c r="E179" s="6">
        <v>35357.465299999996</v>
      </c>
      <c r="F179" s="5" t="s">
        <v>46</v>
      </c>
      <c r="G179" s="5">
        <v>30</v>
      </c>
      <c r="H179" s="6">
        <f>E179/D179</f>
        <v>2.0657551589156342</v>
      </c>
      <c r="I179" s="5">
        <f>D179/G179</f>
        <v>570.5333333333333</v>
      </c>
      <c r="J179" s="5" t="s">
        <v>15</v>
      </c>
    </row>
    <row r="180" spans="1:13" hidden="1">
      <c r="A180" s="5" t="s">
        <v>7</v>
      </c>
      <c r="B180" s="5"/>
      <c r="C180" s="5"/>
      <c r="D180" s="5">
        <v>20925</v>
      </c>
      <c r="E180" s="6">
        <v>70554.52</v>
      </c>
      <c r="F180" s="5" t="s">
        <v>47</v>
      </c>
      <c r="G180" s="5">
        <v>30</v>
      </c>
      <c r="H180" s="6">
        <f>E180/D180</f>
        <v>3.3717811230585428</v>
      </c>
      <c r="I180" s="5">
        <f>D180/G180</f>
        <v>697.5</v>
      </c>
      <c r="J180" s="5" t="s">
        <v>15</v>
      </c>
    </row>
    <row r="181" spans="1:13" hidden="1">
      <c r="A181" s="5" t="s">
        <v>8</v>
      </c>
      <c r="B181" s="5"/>
      <c r="C181" s="5"/>
      <c r="D181" s="5"/>
      <c r="E181" s="6"/>
      <c r="F181" s="5"/>
      <c r="G181" s="5"/>
      <c r="H181" s="5"/>
      <c r="I181" s="5"/>
      <c r="J181" s="5"/>
    </row>
    <row r="182" spans="1:13" hidden="1"/>
    <row r="183" spans="1:13" hidden="1">
      <c r="A183" s="14">
        <v>44013</v>
      </c>
      <c r="E183" s="3"/>
    </row>
    <row r="184" spans="1:13" ht="30" hidden="1">
      <c r="A184" s="4" t="s">
        <v>34</v>
      </c>
      <c r="B184" s="4" t="s">
        <v>2</v>
      </c>
      <c r="C184" s="4" t="s">
        <v>3</v>
      </c>
      <c r="D184" s="4" t="s">
        <v>4</v>
      </c>
      <c r="E184" s="4" t="s">
        <v>5</v>
      </c>
      <c r="F184" s="8" t="s">
        <v>48</v>
      </c>
      <c r="G184" s="18" t="s">
        <v>49</v>
      </c>
      <c r="H184" s="18" t="s">
        <v>50</v>
      </c>
      <c r="I184" s="18" t="s">
        <v>9</v>
      </c>
      <c r="J184" s="8" t="s">
        <v>10</v>
      </c>
      <c r="K184" s="8" t="s">
        <v>11</v>
      </c>
      <c r="L184" s="18" t="s">
        <v>12</v>
      </c>
      <c r="M184" s="8" t="s">
        <v>13</v>
      </c>
    </row>
    <row r="185" spans="1:13" hidden="1">
      <c r="A185" s="5" t="s">
        <v>6</v>
      </c>
      <c r="B185" s="5">
        <f>C179</f>
        <v>6400356</v>
      </c>
      <c r="C185" s="5">
        <v>6419981</v>
      </c>
      <c r="D185" s="5">
        <f>C185-B185</f>
        <v>19625</v>
      </c>
      <c r="E185" s="6">
        <f>35569.42304*1.15</f>
        <v>40904.836495999996</v>
      </c>
      <c r="F185" s="19">
        <f>(368.07*16)*1.15</f>
        <v>6772.4879999999994</v>
      </c>
      <c r="G185" s="19">
        <f>20709.98*1.15</f>
        <v>23816.476999999999</v>
      </c>
      <c r="H185" s="19">
        <f>2385.14*1.15</f>
        <v>2742.9109999999996</v>
      </c>
      <c r="I185" s="5" t="s">
        <v>51</v>
      </c>
      <c r="J185" s="5">
        <v>31</v>
      </c>
      <c r="K185" s="6">
        <f>E185/D185</f>
        <v>2.08432287877707</v>
      </c>
      <c r="L185" s="5">
        <f>D185/J185</f>
        <v>633.06451612903231</v>
      </c>
      <c r="M185" s="5" t="s">
        <v>15</v>
      </c>
    </row>
    <row r="186" spans="1:13" hidden="1">
      <c r="A186" s="5" t="s">
        <v>7</v>
      </c>
      <c r="B186" s="5"/>
      <c r="C186" s="5"/>
      <c r="D186" s="5">
        <v>22778</v>
      </c>
      <c r="E186" s="6">
        <f>(668.98+3269.7+6495.3+4229.84+109.33+20406.81)*1.15</f>
        <v>40456.953999999998</v>
      </c>
      <c r="F186" s="19">
        <f>988.57+2100.13</f>
        <v>3088.7000000000003</v>
      </c>
      <c r="G186" s="19">
        <f>20709.98*1.15</f>
        <v>23816.476999999999</v>
      </c>
      <c r="H186" s="19">
        <f>2385.14*1.15</f>
        <v>2742.9109999999996</v>
      </c>
      <c r="I186" s="5" t="s">
        <v>52</v>
      </c>
      <c r="J186" s="5">
        <v>31</v>
      </c>
      <c r="K186" s="6">
        <f>E186/D186</f>
        <v>1.7761416278865572</v>
      </c>
      <c r="L186" s="5">
        <f>D186/J186</f>
        <v>734.77419354838707</v>
      </c>
      <c r="M186" s="5" t="s">
        <v>15</v>
      </c>
    </row>
    <row r="187" spans="1:13" hidden="1">
      <c r="A187" s="5" t="s">
        <v>53</v>
      </c>
      <c r="B187" s="5"/>
      <c r="C187" s="5"/>
      <c r="D187" s="5"/>
      <c r="E187" s="6">
        <f>E185+F185+G185+H185</f>
        <v>74236.712495999993</v>
      </c>
      <c r="F187" s="5"/>
      <c r="G187" s="5"/>
      <c r="H187" s="5"/>
      <c r="I187" s="5"/>
      <c r="J187" s="5"/>
      <c r="K187" s="6"/>
      <c r="L187" s="5"/>
      <c r="M187" s="5"/>
    </row>
    <row r="188" spans="1:13" hidden="1">
      <c r="A188" s="5" t="s">
        <v>54</v>
      </c>
      <c r="B188" s="5"/>
      <c r="C188" s="5"/>
      <c r="D188" s="5"/>
      <c r="E188" s="6">
        <v>71660.149999999994</v>
      </c>
      <c r="F188" s="5"/>
      <c r="G188" s="5"/>
      <c r="H188" s="5"/>
      <c r="I188" s="5"/>
      <c r="J188" s="5"/>
      <c r="K188" s="6"/>
      <c r="L188" s="5"/>
      <c r="M188" s="5"/>
    </row>
    <row r="189" spans="1:13" hidden="1">
      <c r="A189" s="5" t="s">
        <v>8</v>
      </c>
      <c r="B189" s="5"/>
      <c r="C189" s="5"/>
      <c r="D189" s="5"/>
      <c r="E189" s="6"/>
      <c r="F189" s="5"/>
      <c r="G189" s="5"/>
      <c r="H189" s="5"/>
      <c r="I189" s="5"/>
      <c r="J189" s="5"/>
      <c r="K189" s="5"/>
      <c r="L189" s="5"/>
      <c r="M189" s="5"/>
    </row>
    <row r="190" spans="1:13" hidden="1"/>
    <row r="191" spans="1:13" hidden="1">
      <c r="A191" s="14">
        <v>44044</v>
      </c>
      <c r="E191" s="3"/>
    </row>
    <row r="192" spans="1:13" ht="30" hidden="1">
      <c r="A192" s="4" t="s">
        <v>34</v>
      </c>
      <c r="B192" s="4" t="s">
        <v>2</v>
      </c>
      <c r="C192" s="4" t="s">
        <v>3</v>
      </c>
      <c r="D192" s="4" t="s">
        <v>4</v>
      </c>
      <c r="E192" s="4" t="s">
        <v>5</v>
      </c>
      <c r="F192" s="8" t="s">
        <v>48</v>
      </c>
      <c r="G192" s="18" t="s">
        <v>49</v>
      </c>
      <c r="H192" s="18" t="s">
        <v>50</v>
      </c>
      <c r="I192" s="18" t="s">
        <v>9</v>
      </c>
      <c r="J192" s="8" t="s">
        <v>10</v>
      </c>
      <c r="K192" s="8" t="s">
        <v>11</v>
      </c>
      <c r="L192" s="18" t="s">
        <v>12</v>
      </c>
      <c r="M192" s="8" t="s">
        <v>13</v>
      </c>
    </row>
    <row r="193" spans="1:13" hidden="1">
      <c r="A193" s="5" t="s">
        <v>6</v>
      </c>
      <c r="B193" s="5">
        <f>C185</f>
        <v>6419981</v>
      </c>
      <c r="C193" s="5">
        <v>6435927</v>
      </c>
      <c r="D193" s="5">
        <f>C193-B193</f>
        <v>15946</v>
      </c>
      <c r="E193" s="6">
        <f>30943.79*1.15</f>
        <v>35585.358499999995</v>
      </c>
      <c r="F193" s="19">
        <f>(108.96*16)*1.15</f>
        <v>2004.8639999999998</v>
      </c>
      <c r="G193" s="19">
        <f>17999.19*1.15</f>
        <v>20699.068499999998</v>
      </c>
      <c r="H193" s="19">
        <f>2385.14*1.15</f>
        <v>2742.9109999999996</v>
      </c>
      <c r="I193" s="5" t="s">
        <v>55</v>
      </c>
      <c r="J193" s="5">
        <v>31</v>
      </c>
      <c r="K193" s="6">
        <f>E193/D193</f>
        <v>2.2316166123165679</v>
      </c>
      <c r="L193" s="5">
        <f>D193/J193</f>
        <v>514.38709677419354</v>
      </c>
      <c r="M193" s="5" t="s">
        <v>15</v>
      </c>
    </row>
    <row r="194" spans="1:13" hidden="1">
      <c r="A194" s="5" t="s">
        <v>7</v>
      </c>
      <c r="B194" s="5"/>
      <c r="C194" s="5"/>
      <c r="D194" s="5">
        <v>20285</v>
      </c>
      <c r="E194" s="6">
        <f>(668.98+3269.7+6495.3+3676.18+97.37+18173.33)*1.15</f>
        <v>37237.989000000001</v>
      </c>
      <c r="F194" s="19">
        <f>880.37+1870.28</f>
        <v>2750.65</v>
      </c>
      <c r="G194" s="19">
        <f>17999.19*1.15</f>
        <v>20699.068499999998</v>
      </c>
      <c r="H194" s="19">
        <f>2385.14*1.15</f>
        <v>2742.9109999999996</v>
      </c>
      <c r="I194" s="5" t="s">
        <v>56</v>
      </c>
      <c r="J194" s="5">
        <v>31</v>
      </c>
      <c r="K194" s="6">
        <f>E194/D194</f>
        <v>1.8357401528222825</v>
      </c>
      <c r="L194" s="5">
        <f>D194/J194</f>
        <v>654.35483870967744</v>
      </c>
      <c r="M194" s="5" t="s">
        <v>15</v>
      </c>
    </row>
    <row r="195" spans="1:13" hidden="1">
      <c r="A195" s="5" t="s">
        <v>53</v>
      </c>
      <c r="B195" s="5"/>
      <c r="C195" s="5"/>
      <c r="D195" s="5"/>
      <c r="E195" s="6">
        <f>E193+F193+G193+H193</f>
        <v>61032.201999999997</v>
      </c>
      <c r="F195" s="5"/>
      <c r="G195" s="5"/>
      <c r="H195" s="5"/>
      <c r="I195" s="5"/>
      <c r="J195" s="5"/>
      <c r="K195" s="6"/>
      <c r="L195" s="5"/>
      <c r="M195" s="5"/>
    </row>
    <row r="196" spans="1:13" hidden="1">
      <c r="A196" s="5" t="s">
        <v>54</v>
      </c>
      <c r="B196" s="5"/>
      <c r="C196" s="5"/>
      <c r="D196" s="5"/>
      <c r="E196" s="6">
        <v>64386</v>
      </c>
      <c r="F196" s="5"/>
      <c r="G196" s="5"/>
      <c r="H196" s="5"/>
      <c r="I196" s="5"/>
      <c r="J196" s="5"/>
      <c r="K196" s="6"/>
      <c r="L196" s="5"/>
      <c r="M196" s="5"/>
    </row>
    <row r="197" spans="1:13" hidden="1">
      <c r="A197" s="5" t="s">
        <v>8</v>
      </c>
      <c r="B197" s="5"/>
      <c r="C197" s="5"/>
      <c r="D197" s="5"/>
      <c r="E197" s="6"/>
      <c r="F197" s="5"/>
      <c r="G197" s="5"/>
      <c r="H197" s="5"/>
      <c r="I197" s="5"/>
      <c r="J197" s="5"/>
      <c r="K197" s="5"/>
      <c r="L197" s="5"/>
      <c r="M197" s="5"/>
    </row>
    <row r="198" spans="1:13" hidden="1"/>
    <row r="199" spans="1:13" hidden="1">
      <c r="A199" s="14">
        <v>44075</v>
      </c>
      <c r="E199" s="3"/>
    </row>
    <row r="200" spans="1:13" ht="30" hidden="1">
      <c r="A200" s="4" t="s">
        <v>34</v>
      </c>
      <c r="B200" s="4" t="s">
        <v>2</v>
      </c>
      <c r="C200" s="4" t="s">
        <v>3</v>
      </c>
      <c r="D200" s="4" t="s">
        <v>4</v>
      </c>
      <c r="E200" s="4" t="s">
        <v>5</v>
      </c>
      <c r="F200" s="8" t="s">
        <v>48</v>
      </c>
      <c r="G200" s="18" t="s">
        <v>49</v>
      </c>
      <c r="H200" s="18" t="s">
        <v>50</v>
      </c>
      <c r="I200" s="18" t="s">
        <v>9</v>
      </c>
      <c r="J200" s="8" t="s">
        <v>10</v>
      </c>
      <c r="K200" s="8" t="s">
        <v>11</v>
      </c>
      <c r="L200" s="18" t="s">
        <v>12</v>
      </c>
      <c r="M200" s="8" t="s">
        <v>13</v>
      </c>
    </row>
    <row r="201" spans="1:13" hidden="1">
      <c r="A201" s="5" t="s">
        <v>6</v>
      </c>
      <c r="B201" s="5">
        <f>C193</f>
        <v>6435927</v>
      </c>
      <c r="C201" s="5">
        <v>6452636</v>
      </c>
      <c r="D201" s="5">
        <f>C201-B201</f>
        <v>16709</v>
      </c>
      <c r="E201" s="6">
        <f>31809.95*1.15</f>
        <v>36581.442499999997</v>
      </c>
      <c r="F201" s="19">
        <f>(533.57*16)*1.15</f>
        <v>9817.6880000000001</v>
      </c>
      <c r="G201" s="19">
        <f>2385.14*1.15</f>
        <v>2742.9109999999996</v>
      </c>
      <c r="H201" s="19">
        <f>2567.16*1.15</f>
        <v>2952.2339999999995</v>
      </c>
      <c r="I201" s="5" t="s">
        <v>57</v>
      </c>
      <c r="J201" s="5">
        <v>30</v>
      </c>
      <c r="K201" s="6">
        <f>E201/D201</f>
        <v>2.1893256628164459</v>
      </c>
      <c r="L201" s="5">
        <f>D201/J201</f>
        <v>556.9666666666667</v>
      </c>
      <c r="M201" s="5" t="s">
        <v>15</v>
      </c>
    </row>
    <row r="202" spans="1:13" hidden="1">
      <c r="A202" s="5" t="s">
        <v>7</v>
      </c>
      <c r="B202" s="5"/>
      <c r="C202" s="5"/>
      <c r="D202" s="5">
        <v>20020</v>
      </c>
      <c r="E202" s="6">
        <f>(647.4+3269.7+6495.3+4068.75+96.1+13941.93+868.87+1845.84)*1.15</f>
        <v>35918.9735</v>
      </c>
      <c r="F202" s="19">
        <f>(2567.16+508.03)*1.15</f>
        <v>3536.468499999999</v>
      </c>
      <c r="G202" s="19">
        <f>2308.2*1.15</f>
        <v>2654.4299999999994</v>
      </c>
      <c r="H202" s="19">
        <f>2385.14*1.15</f>
        <v>2742.9109999999996</v>
      </c>
      <c r="I202" s="5" t="s">
        <v>58</v>
      </c>
      <c r="J202" s="5">
        <v>31</v>
      </c>
      <c r="K202" s="6">
        <f>E202/D202</f>
        <v>1.7941545204795204</v>
      </c>
      <c r="L202" s="5">
        <f>D202/J202</f>
        <v>645.80645161290317</v>
      </c>
      <c r="M202" s="5" t="s">
        <v>15</v>
      </c>
    </row>
    <row r="203" spans="1:13" hidden="1">
      <c r="A203" s="5" t="s">
        <v>53</v>
      </c>
      <c r="B203" s="5"/>
      <c r="C203" s="5"/>
      <c r="D203" s="5"/>
      <c r="E203" s="6">
        <f>E201+F201+G201+H201</f>
        <v>52094.275499999996</v>
      </c>
      <c r="F203" s="5"/>
      <c r="G203" s="5"/>
      <c r="H203" s="5"/>
      <c r="I203" s="5"/>
      <c r="J203" s="5"/>
      <c r="K203" s="6"/>
      <c r="L203" s="5"/>
      <c r="M203" s="5"/>
    </row>
    <row r="204" spans="1:13" hidden="1">
      <c r="A204" s="5" t="s">
        <v>54</v>
      </c>
      <c r="B204" s="5"/>
      <c r="C204" s="5"/>
      <c r="D204" s="5"/>
      <c r="E204" s="6">
        <v>42033.67</v>
      </c>
      <c r="F204" s="5"/>
      <c r="G204" s="5"/>
      <c r="H204" s="5"/>
      <c r="I204" s="5"/>
      <c r="J204" s="5"/>
      <c r="K204" s="6"/>
      <c r="L204" s="5"/>
      <c r="M204" s="5"/>
    </row>
    <row r="205" spans="1:13" hidden="1">
      <c r="A205" s="5" t="s">
        <v>8</v>
      </c>
      <c r="B205" s="5"/>
      <c r="C205" s="5"/>
      <c r="D205" s="5"/>
      <c r="E205" s="6"/>
      <c r="F205" s="5"/>
      <c r="G205" s="5"/>
      <c r="H205" s="5"/>
      <c r="I205" s="5"/>
      <c r="J205" s="5"/>
      <c r="K205" s="5"/>
      <c r="L205" s="5"/>
      <c r="M205" s="5"/>
    </row>
    <row r="206" spans="1:13" hidden="1"/>
    <row r="207" spans="1:13" hidden="1">
      <c r="A207" s="14">
        <v>44105</v>
      </c>
      <c r="E207" s="3"/>
    </row>
    <row r="208" spans="1:13" ht="30" hidden="1">
      <c r="A208" s="4" t="s">
        <v>34</v>
      </c>
      <c r="B208" s="4" t="s">
        <v>2</v>
      </c>
      <c r="C208" s="4" t="s">
        <v>3</v>
      </c>
      <c r="D208" s="4" t="s">
        <v>4</v>
      </c>
      <c r="E208" s="4" t="s">
        <v>5</v>
      </c>
      <c r="F208" s="8" t="s">
        <v>48</v>
      </c>
      <c r="G208" s="18" t="s">
        <v>49</v>
      </c>
      <c r="H208" s="18" t="s">
        <v>50</v>
      </c>
      <c r="I208" s="18" t="s">
        <v>9</v>
      </c>
      <c r="J208" s="8" t="s">
        <v>10</v>
      </c>
      <c r="K208" s="8" t="s">
        <v>11</v>
      </c>
      <c r="L208" s="18" t="s">
        <v>12</v>
      </c>
      <c r="M208" s="8" t="s">
        <v>13</v>
      </c>
    </row>
    <row r="209" spans="1:13" hidden="1">
      <c r="A209" s="5" t="s">
        <v>6</v>
      </c>
      <c r="B209" s="5">
        <f>C201</f>
        <v>6452636</v>
      </c>
      <c r="C209" s="5">
        <v>6474419</v>
      </c>
      <c r="D209" s="5">
        <f>C209-B209</f>
        <v>21783</v>
      </c>
      <c r="E209" s="6">
        <f>39403.98*1.15</f>
        <v>45314.576999999997</v>
      </c>
      <c r="F209" s="19">
        <f>2385.14*1.15</f>
        <v>2742.9109999999996</v>
      </c>
      <c r="G209" s="19">
        <f>2385.14*1.15</f>
        <v>2742.9109999999996</v>
      </c>
      <c r="H209" s="19">
        <f>2567.16*1.15</f>
        <v>2952.2339999999995</v>
      </c>
      <c r="I209" s="5" t="s">
        <v>59</v>
      </c>
      <c r="J209" s="5">
        <v>30</v>
      </c>
      <c r="K209" s="6">
        <f>E209/D209</f>
        <v>2.0802725519900838</v>
      </c>
      <c r="L209" s="5">
        <f>D209/J209</f>
        <v>726.1</v>
      </c>
      <c r="M209" s="5" t="s">
        <v>15</v>
      </c>
    </row>
    <row r="210" spans="1:13" hidden="1">
      <c r="A210" s="5" t="s">
        <v>7</v>
      </c>
      <c r="B210" s="5"/>
      <c r="C210" s="5"/>
      <c r="D210" s="5">
        <v>27128</v>
      </c>
      <c r="E210" s="6">
        <f>(668.98+3269.7+6495.3+6721.68+130.21+18891.94+1177.36)*1.15</f>
        <v>42958.445499999994</v>
      </c>
      <c r="F210" s="19">
        <f>(2501.2+4241.02)*1.15</f>
        <v>7753.5529999999999</v>
      </c>
      <c r="G210" s="19">
        <f>2308.2*1.15</f>
        <v>2654.4299999999994</v>
      </c>
      <c r="H210" s="19">
        <f>2385.14*1.15</f>
        <v>2742.9109999999996</v>
      </c>
      <c r="I210" s="5" t="s">
        <v>60</v>
      </c>
      <c r="J210" s="5">
        <v>31</v>
      </c>
      <c r="K210" s="6">
        <f>E210/D210</f>
        <v>1.5835463543202593</v>
      </c>
      <c r="L210" s="5">
        <f>D210/J210</f>
        <v>875.09677419354841</v>
      </c>
      <c r="M210" s="5" t="s">
        <v>15</v>
      </c>
    </row>
    <row r="211" spans="1:13" hidden="1">
      <c r="A211" s="5" t="s">
        <v>53</v>
      </c>
      <c r="B211" s="5"/>
      <c r="C211" s="5"/>
      <c r="D211" s="5"/>
      <c r="E211" s="6">
        <f>E209+F209+G209+H209</f>
        <v>53752.632999999994</v>
      </c>
      <c r="F211" s="5"/>
      <c r="G211" s="5"/>
      <c r="H211" s="5"/>
      <c r="I211" s="5"/>
      <c r="J211" s="5"/>
      <c r="K211" s="6"/>
      <c r="L211" s="5"/>
      <c r="M211" s="5"/>
    </row>
    <row r="212" spans="1:13" hidden="1">
      <c r="A212" s="5" t="s">
        <v>54</v>
      </c>
      <c r="B212" s="5"/>
      <c r="C212" s="5"/>
      <c r="D212" s="5"/>
      <c r="E212" s="6">
        <v>42033.67</v>
      </c>
      <c r="F212" s="5"/>
      <c r="G212" s="5"/>
      <c r="H212" s="5"/>
      <c r="I212" s="5"/>
      <c r="J212" s="5"/>
      <c r="K212" s="6"/>
      <c r="L212" s="5"/>
      <c r="M212" s="5"/>
    </row>
    <row r="213" spans="1:13" hidden="1">
      <c r="A213" s="5" t="s">
        <v>8</v>
      </c>
      <c r="B213" s="5"/>
      <c r="C213" s="5"/>
      <c r="D213" s="5"/>
      <c r="E213" s="6"/>
      <c r="F213" s="5"/>
      <c r="G213" s="5"/>
      <c r="H213" s="5"/>
      <c r="I213" s="5"/>
      <c r="J213" s="5"/>
      <c r="K213" s="5"/>
      <c r="L213" s="5"/>
      <c r="M213" s="5"/>
    </row>
    <row r="214" spans="1:13" hidden="1"/>
    <row r="215" spans="1:13" hidden="1">
      <c r="A215" s="14">
        <v>44136</v>
      </c>
      <c r="E215" s="3"/>
    </row>
    <row r="216" spans="1:13" ht="30" hidden="1">
      <c r="A216" s="4" t="s">
        <v>34</v>
      </c>
      <c r="B216" s="4" t="s">
        <v>2</v>
      </c>
      <c r="C216" s="4" t="s">
        <v>3</v>
      </c>
      <c r="D216" s="4" t="s">
        <v>4</v>
      </c>
      <c r="E216" s="4" t="s">
        <v>5</v>
      </c>
      <c r="F216" s="8" t="s">
        <v>48</v>
      </c>
      <c r="G216" s="18" t="s">
        <v>49</v>
      </c>
      <c r="H216" s="18" t="s">
        <v>50</v>
      </c>
      <c r="I216" s="18" t="s">
        <v>9</v>
      </c>
      <c r="J216" s="8" t="s">
        <v>10</v>
      </c>
      <c r="K216" s="8" t="s">
        <v>11</v>
      </c>
      <c r="L216" s="18" t="s">
        <v>12</v>
      </c>
      <c r="M216" s="8" t="s">
        <v>13</v>
      </c>
    </row>
    <row r="217" spans="1:13" hidden="1">
      <c r="A217" s="5" t="s">
        <v>6</v>
      </c>
      <c r="B217" s="5">
        <f>C209</f>
        <v>6474419</v>
      </c>
      <c r="C217" s="5">
        <v>6497258</v>
      </c>
      <c r="D217" s="5">
        <f>C217-B217</f>
        <v>22839</v>
      </c>
      <c r="E217" s="6">
        <f>39403.98*1.15</f>
        <v>45314.576999999997</v>
      </c>
      <c r="F217" s="19">
        <f>(338.55*16)*1.15</f>
        <v>6229.32</v>
      </c>
      <c r="G217" s="19">
        <f>3839.89*1.15</f>
        <v>4415.8734999999997</v>
      </c>
      <c r="H217" s="19">
        <f>2308.2*1.15</f>
        <v>2654.4299999999994</v>
      </c>
      <c r="I217" s="5" t="s">
        <v>61</v>
      </c>
      <c r="J217" s="5">
        <v>31</v>
      </c>
      <c r="K217" s="6">
        <f>E217/D217</f>
        <v>1.9840876132930512</v>
      </c>
      <c r="L217" s="5">
        <f>D217/J217</f>
        <v>736.74193548387098</v>
      </c>
      <c r="M217" s="5" t="s">
        <v>15</v>
      </c>
    </row>
    <row r="218" spans="1:13" hidden="1">
      <c r="A218" s="5" t="s">
        <v>7</v>
      </c>
      <c r="B218" s="5"/>
      <c r="C218" s="5"/>
      <c r="D218" s="5">
        <v>26739</v>
      </c>
      <c r="E218" s="6">
        <f>(647.4+3269.7+6495.3+6085.92+128.35+18621.04+1160.47+2465.34)*1.15</f>
        <v>44704.548000000003</v>
      </c>
      <c r="F218" s="19"/>
      <c r="G218" s="19">
        <f>3839.89*1.15</f>
        <v>4415.8734999999997</v>
      </c>
      <c r="H218" s="19">
        <f>2308.2*1.15</f>
        <v>2654.4299999999994</v>
      </c>
      <c r="I218" s="5" t="s">
        <v>62</v>
      </c>
      <c r="J218" s="5">
        <v>30</v>
      </c>
      <c r="K218" s="6">
        <f>E218/D218</f>
        <v>1.6718855604173679</v>
      </c>
      <c r="L218" s="5">
        <f>D218/J218</f>
        <v>891.3</v>
      </c>
      <c r="M218" s="5" t="s">
        <v>15</v>
      </c>
    </row>
    <row r="219" spans="1:13" hidden="1">
      <c r="A219" s="5" t="s">
        <v>53</v>
      </c>
      <c r="B219" s="5"/>
      <c r="C219" s="5"/>
      <c r="D219" s="5"/>
      <c r="E219" s="6">
        <f>E217+F217+G217+H217</f>
        <v>58614.200499999999</v>
      </c>
      <c r="F219" s="5"/>
      <c r="G219" s="5"/>
      <c r="H219" s="5"/>
      <c r="I219" s="5"/>
      <c r="J219" s="5"/>
      <c r="K219" s="6"/>
      <c r="L219" s="5"/>
      <c r="M219" s="5"/>
    </row>
    <row r="220" spans="1:13" hidden="1">
      <c r="A220" s="5" t="s">
        <v>54</v>
      </c>
      <c r="B220" s="5"/>
      <c r="C220" s="5"/>
      <c r="D220" s="5"/>
      <c r="E220" s="6">
        <v>42033.67</v>
      </c>
      <c r="F220" s="5"/>
      <c r="G220" s="5"/>
      <c r="H220" s="5"/>
      <c r="I220" s="5"/>
      <c r="J220" s="5"/>
      <c r="K220" s="6"/>
      <c r="L220" s="5"/>
      <c r="M220" s="5"/>
    </row>
    <row r="221" spans="1:13" hidden="1">
      <c r="A221" s="5" t="s">
        <v>8</v>
      </c>
      <c r="B221" s="5"/>
      <c r="C221" s="5"/>
      <c r="D221" s="5"/>
      <c r="E221" s="6"/>
      <c r="F221" s="5"/>
      <c r="G221" s="5"/>
      <c r="H221" s="5"/>
      <c r="I221" s="5"/>
      <c r="J221" s="5"/>
      <c r="K221" s="5"/>
      <c r="L221" s="5"/>
      <c r="M221" s="5"/>
    </row>
    <row r="222" spans="1:13" hidden="1"/>
    <row r="223" spans="1:13" hidden="1">
      <c r="A223" s="14">
        <v>44166</v>
      </c>
      <c r="E223" s="3"/>
    </row>
    <row r="224" spans="1:13" ht="30" hidden="1">
      <c r="A224" s="4" t="s">
        <v>34</v>
      </c>
      <c r="B224" s="4" t="s">
        <v>2</v>
      </c>
      <c r="C224" s="4" t="s">
        <v>3</v>
      </c>
      <c r="D224" s="4" t="s">
        <v>4</v>
      </c>
      <c r="E224" s="4" t="s">
        <v>5</v>
      </c>
      <c r="F224" s="8" t="s">
        <v>48</v>
      </c>
      <c r="G224" s="18" t="s">
        <v>49</v>
      </c>
      <c r="H224" s="18" t="s">
        <v>50</v>
      </c>
      <c r="I224" s="18" t="s">
        <v>9</v>
      </c>
      <c r="J224" s="8" t="s">
        <v>10</v>
      </c>
      <c r="K224" s="8" t="s">
        <v>11</v>
      </c>
      <c r="L224" s="18" t="s">
        <v>12</v>
      </c>
      <c r="M224" s="8" t="s">
        <v>13</v>
      </c>
    </row>
    <row r="225" spans="1:13" hidden="1">
      <c r="A225" s="5" t="s">
        <v>6</v>
      </c>
      <c r="B225" s="5">
        <f>C217</f>
        <v>6497258</v>
      </c>
      <c r="C225" s="5">
        <v>6516950</v>
      </c>
      <c r="D225" s="5">
        <f>C225-B225</f>
        <v>19692</v>
      </c>
      <c r="E225" s="6">
        <f>37624.04066*1.15</f>
        <v>43267.646758999996</v>
      </c>
      <c r="F225" s="19">
        <f>(97.79*16)*1.15</f>
        <v>1799.336</v>
      </c>
      <c r="G225" s="19">
        <f>3220.18*1.15</f>
        <v>3703.2069999999994</v>
      </c>
      <c r="H225" s="19">
        <f>2385.14*1.15</f>
        <v>2742.9109999999996</v>
      </c>
      <c r="I225" s="5" t="s">
        <v>63</v>
      </c>
      <c r="J225" s="5">
        <v>31</v>
      </c>
      <c r="K225" s="6">
        <f>E225/D225</f>
        <v>2.1972195185354457</v>
      </c>
      <c r="L225" s="5">
        <f>D225/J225</f>
        <v>635.22580645161293</v>
      </c>
      <c r="M225" s="5" t="s">
        <v>15</v>
      </c>
    </row>
    <row r="226" spans="1:13" hidden="1">
      <c r="A226" s="5" t="s">
        <v>7</v>
      </c>
      <c r="B226" s="5"/>
      <c r="C226" s="5"/>
      <c r="D226" s="5">
        <v>23290</v>
      </c>
      <c r="E226" s="6">
        <f>(668.98+3269.7+6495.3+5103.72+111.79+16219.16+1010.79+2147.34)*1.15</f>
        <v>40280.796999999999</v>
      </c>
      <c r="F226" s="19">
        <f>43869.36-46726.92</f>
        <v>-2857.5599999999977</v>
      </c>
      <c r="G226" s="19">
        <f>3220.18*1.15</f>
        <v>3703.2069999999994</v>
      </c>
      <c r="H226" s="19">
        <f>2385.14*1.15</f>
        <v>2742.9109999999996</v>
      </c>
      <c r="I226" s="5" t="s">
        <v>63</v>
      </c>
      <c r="J226" s="5">
        <v>31</v>
      </c>
      <c r="K226" s="6">
        <f>E226/D226</f>
        <v>1.7295318591670243</v>
      </c>
      <c r="L226" s="5">
        <f>D226/J226</f>
        <v>751.29032258064512</v>
      </c>
      <c r="M226" s="5" t="s">
        <v>15</v>
      </c>
    </row>
    <row r="227" spans="1:13" hidden="1">
      <c r="A227" s="5" t="s">
        <v>53</v>
      </c>
      <c r="B227" s="5"/>
      <c r="C227" s="5"/>
      <c r="D227" s="5"/>
      <c r="E227" s="6">
        <f>E225+F225+G225+H225</f>
        <v>51513.100759000001</v>
      </c>
      <c r="F227" s="5"/>
      <c r="G227" s="5"/>
      <c r="H227" s="5"/>
      <c r="I227" s="5"/>
      <c r="J227" s="5"/>
      <c r="K227" s="6"/>
      <c r="L227" s="5"/>
      <c r="M227" s="5"/>
    </row>
    <row r="228" spans="1:13" hidden="1">
      <c r="A228" s="5" t="s">
        <v>54</v>
      </c>
      <c r="B228" s="5"/>
      <c r="C228" s="5"/>
      <c r="D228" s="5"/>
      <c r="E228" s="6">
        <f>E226+F226+G226+H226</f>
        <v>43869.355000000003</v>
      </c>
      <c r="F228" s="5"/>
      <c r="G228" s="5"/>
      <c r="H228" s="5"/>
      <c r="I228" s="5"/>
      <c r="J228" s="5"/>
      <c r="K228" s="6"/>
      <c r="L228" s="5"/>
      <c r="M228" s="5"/>
    </row>
    <row r="229" spans="1:13" hidden="1">
      <c r="A229" s="5" t="s">
        <v>8</v>
      </c>
      <c r="B229" s="5"/>
      <c r="C229" s="5"/>
      <c r="D229" s="5"/>
      <c r="E229" s="6"/>
      <c r="F229" s="5"/>
      <c r="G229" s="5"/>
      <c r="H229" s="5"/>
      <c r="I229" s="5"/>
      <c r="J229" s="5"/>
      <c r="K229" s="5"/>
      <c r="L229" s="5"/>
      <c r="M229" s="5"/>
    </row>
    <row r="231" spans="1:13">
      <c r="A231" s="14">
        <v>44197</v>
      </c>
      <c r="E231" s="3"/>
    </row>
    <row r="232" spans="1:13" ht="30" hidden="1">
      <c r="A232" s="4" t="s">
        <v>1</v>
      </c>
      <c r="B232" s="4" t="s">
        <v>2</v>
      </c>
      <c r="C232" s="4" t="s">
        <v>3</v>
      </c>
      <c r="D232" s="4" t="s">
        <v>4</v>
      </c>
      <c r="E232" s="4" t="s">
        <v>5</v>
      </c>
      <c r="F232" s="8" t="s">
        <v>48</v>
      </c>
      <c r="G232" s="18" t="s">
        <v>49</v>
      </c>
      <c r="H232" s="18" t="s">
        <v>50</v>
      </c>
      <c r="I232" s="18" t="s">
        <v>9</v>
      </c>
      <c r="J232" s="8" t="s">
        <v>10</v>
      </c>
      <c r="K232" s="8" t="s">
        <v>11</v>
      </c>
      <c r="L232" s="18" t="s">
        <v>12</v>
      </c>
      <c r="M232" s="8" t="s">
        <v>13</v>
      </c>
    </row>
    <row r="233" spans="1:13" hidden="1">
      <c r="A233" s="5" t="s">
        <v>6</v>
      </c>
      <c r="B233" s="5">
        <f>C225</f>
        <v>6516950</v>
      </c>
      <c r="C233" s="5">
        <v>6538275</v>
      </c>
      <c r="D233" s="5">
        <f>C233-B233</f>
        <v>21325</v>
      </c>
      <c r="E233" s="6">
        <f>42445.61659*1.15</f>
        <v>48812.459078499996</v>
      </c>
      <c r="F233" s="19">
        <f>(212.19*16)*1.15</f>
        <v>3904.2959999999998</v>
      </c>
      <c r="G233" s="19">
        <f>3220.18*1.15</f>
        <v>3703.2069999999994</v>
      </c>
      <c r="H233" s="19">
        <f>2385.14*1.15</f>
        <v>2742.9109999999996</v>
      </c>
      <c r="I233" s="5" t="s">
        <v>64</v>
      </c>
      <c r="J233" s="5">
        <v>31</v>
      </c>
      <c r="K233" s="6">
        <f>1.83*1.15</f>
        <v>2.1044999999999998</v>
      </c>
      <c r="L233" s="5">
        <f>D233/J233</f>
        <v>687.90322580645159</v>
      </c>
      <c r="M233" s="5" t="s">
        <v>15</v>
      </c>
    </row>
    <row r="234" spans="1:13" hidden="1">
      <c r="A234" s="5" t="s">
        <v>7</v>
      </c>
      <c r="B234" s="5"/>
      <c r="C234" s="5"/>
      <c r="D234" s="5">
        <v>25242</v>
      </c>
      <c r="E234" s="6">
        <f>(668.98+3269.7+6495.3+5876.73+121.16+17578.53+1095.5+2327.31)*1.15</f>
        <v>43048.191499999986</v>
      </c>
      <c r="F234" s="5">
        <f>49924.55-50055.19</f>
        <v>-130.63999999999942</v>
      </c>
      <c r="G234" s="19">
        <f>3707.9*1.15</f>
        <v>4264.085</v>
      </c>
      <c r="H234" s="19">
        <f>2385.14*1.15</f>
        <v>2742.9109999999996</v>
      </c>
      <c r="I234" s="5" t="s">
        <v>64</v>
      </c>
      <c r="J234" s="5">
        <v>31</v>
      </c>
      <c r="K234" s="6">
        <f>E234/D234</f>
        <v>1.7054192021234444</v>
      </c>
      <c r="L234" s="5">
        <f>D234/J234</f>
        <v>814.25806451612902</v>
      </c>
      <c r="M234" s="5" t="s">
        <v>15</v>
      </c>
    </row>
    <row r="235" spans="1:13" hidden="1">
      <c r="A235" s="5" t="s">
        <v>53</v>
      </c>
      <c r="B235" s="5"/>
      <c r="C235" s="5"/>
      <c r="D235" s="5"/>
      <c r="E235" s="6">
        <f>E233+F233+G233+H233</f>
        <v>59162.873078500001</v>
      </c>
      <c r="F235" s="5"/>
      <c r="G235" s="5"/>
      <c r="H235" s="5"/>
      <c r="I235" s="5"/>
      <c r="J235" s="5"/>
      <c r="K235" s="6"/>
      <c r="L235" s="5"/>
      <c r="M235" s="5"/>
    </row>
    <row r="236" spans="1:13" hidden="1">
      <c r="A236" s="5" t="s">
        <v>54</v>
      </c>
      <c r="B236" s="5"/>
      <c r="C236" s="5"/>
      <c r="D236" s="5"/>
      <c r="E236" s="6">
        <f>E234+F234+G234+H234</f>
        <v>49924.547499999986</v>
      </c>
      <c r="F236" s="5"/>
      <c r="G236" s="5"/>
      <c r="H236" s="5"/>
      <c r="I236" s="5"/>
      <c r="J236" s="5"/>
      <c r="K236" s="6"/>
      <c r="L236" s="5"/>
      <c r="M236" s="5"/>
    </row>
    <row r="237" spans="1:13" hidden="1">
      <c r="A237" s="5" t="s">
        <v>8</v>
      </c>
      <c r="B237" s="5"/>
      <c r="C237" s="5"/>
      <c r="D237" s="5"/>
      <c r="E237" s="6">
        <f>E235-E236</f>
        <v>9238.3255785000147</v>
      </c>
      <c r="F237" s="5"/>
      <c r="G237" s="5"/>
      <c r="H237" s="5"/>
      <c r="I237" s="5"/>
      <c r="J237" s="5"/>
      <c r="K237" s="5"/>
      <c r="L237" s="5"/>
      <c r="M237" s="5"/>
    </row>
    <row r="238" spans="1:13" hidden="1"/>
    <row r="239" spans="1:13" hidden="1">
      <c r="A239" s="14">
        <v>44228</v>
      </c>
      <c r="E239" s="3"/>
    </row>
    <row r="240" spans="1:13" ht="30" hidden="1">
      <c r="A240" s="4" t="s">
        <v>1</v>
      </c>
      <c r="B240" s="4" t="s">
        <v>2</v>
      </c>
      <c r="C240" s="4" t="s">
        <v>3</v>
      </c>
      <c r="D240" s="4" t="s">
        <v>4</v>
      </c>
      <c r="E240" s="4" t="s">
        <v>5</v>
      </c>
      <c r="F240" s="8" t="s">
        <v>48</v>
      </c>
      <c r="G240" s="18" t="s">
        <v>49</v>
      </c>
      <c r="H240" s="18" t="s">
        <v>50</v>
      </c>
      <c r="I240" s="18" t="s">
        <v>9</v>
      </c>
      <c r="J240" s="8" t="s">
        <v>10</v>
      </c>
      <c r="K240" s="8" t="s">
        <v>11</v>
      </c>
      <c r="L240" s="18" t="s">
        <v>12</v>
      </c>
      <c r="M240" s="8" t="s">
        <v>13</v>
      </c>
    </row>
    <row r="241" spans="1:13" hidden="1">
      <c r="A241" s="5" t="s">
        <v>6</v>
      </c>
      <c r="B241" s="5">
        <f>C233</f>
        <v>6538275</v>
      </c>
      <c r="C241" s="5">
        <v>6561000</v>
      </c>
      <c r="D241" s="5">
        <f>C241-B241</f>
        <v>22725</v>
      </c>
      <c r="E241" s="6">
        <f>44456.29*1.15</f>
        <v>51124.733499999995</v>
      </c>
      <c r="F241" s="19">
        <f>(164.37*16)*1.15</f>
        <v>3024.4079999999999</v>
      </c>
      <c r="G241" s="19">
        <v>4495.8674999999994</v>
      </c>
      <c r="H241" s="19">
        <v>2568.893</v>
      </c>
      <c r="I241" s="5" t="s">
        <v>65</v>
      </c>
      <c r="J241" s="5">
        <v>29</v>
      </c>
      <c r="K241" s="6">
        <f>1.83*1.15</f>
        <v>2.1044999999999998</v>
      </c>
      <c r="L241" s="5">
        <f>D241/J241</f>
        <v>783.62068965517244</v>
      </c>
      <c r="M241" s="5" t="s">
        <v>15</v>
      </c>
    </row>
    <row r="242" spans="1:13" hidden="1">
      <c r="A242" s="5" t="s">
        <v>7</v>
      </c>
      <c r="B242" s="5"/>
      <c r="C242" s="5"/>
      <c r="D242" s="5">
        <v>24228</v>
      </c>
      <c r="E242" s="6">
        <f>(604.24+3269.7+6495.3+6196.18+116.29+16872.38+1051.5+2233.82)*1.15</f>
        <v>42365.321499999991</v>
      </c>
      <c r="F242" s="5"/>
      <c r="G242" s="19">
        <f>3909.45*1.15</f>
        <v>4495.8674999999994</v>
      </c>
      <c r="H242" s="19">
        <f>2154.32*1.15</f>
        <v>2477.4679999999998</v>
      </c>
      <c r="I242" s="5" t="s">
        <v>66</v>
      </c>
      <c r="J242" s="5">
        <v>28</v>
      </c>
      <c r="K242" s="6">
        <f>E242/D242</f>
        <v>1.7486099347861974</v>
      </c>
      <c r="L242" s="5">
        <f>D242/J242</f>
        <v>865.28571428571433</v>
      </c>
      <c r="M242" s="5" t="s">
        <v>15</v>
      </c>
    </row>
    <row r="243" spans="1:13" hidden="1">
      <c r="A243" s="5" t="s">
        <v>53</v>
      </c>
      <c r="B243" s="5"/>
      <c r="C243" s="5"/>
      <c r="D243" s="5"/>
      <c r="E243" s="6">
        <f>E241+F241+G241+H241</f>
        <v>61213.902000000002</v>
      </c>
      <c r="F243" s="5"/>
      <c r="G243" s="5"/>
      <c r="H243" s="5"/>
      <c r="I243" s="5"/>
      <c r="J243" s="5"/>
      <c r="K243" s="6"/>
      <c r="L243" s="5"/>
      <c r="M243" s="5"/>
    </row>
    <row r="244" spans="1:13" hidden="1">
      <c r="A244" s="5" t="s">
        <v>54</v>
      </c>
      <c r="B244" s="5"/>
      <c r="C244" s="5"/>
      <c r="D244" s="5"/>
      <c r="E244" s="6">
        <f>E242+F242+G242+H242</f>
        <v>49338.656999999992</v>
      </c>
      <c r="F244" s="5"/>
      <c r="G244" s="5"/>
      <c r="H244" s="5"/>
      <c r="I244" s="5"/>
      <c r="J244" s="5"/>
      <c r="K244" s="6"/>
      <c r="L244" s="5"/>
      <c r="M244" s="5"/>
    </row>
    <row r="245" spans="1:13" hidden="1">
      <c r="A245" s="5" t="s">
        <v>8</v>
      </c>
      <c r="B245" s="5"/>
      <c r="C245" s="5"/>
      <c r="D245" s="5"/>
      <c r="E245" s="6">
        <f>E243-E244</f>
        <v>11875.24500000001</v>
      </c>
      <c r="F245" s="5"/>
      <c r="G245" s="5"/>
      <c r="H245" s="5"/>
      <c r="I245" s="5"/>
      <c r="J245" s="5"/>
      <c r="K245" s="5"/>
      <c r="L245" s="5"/>
      <c r="M245" s="5"/>
    </row>
    <row r="246" spans="1:13" hidden="1"/>
    <row r="247" spans="1:13" hidden="1">
      <c r="A247" s="14">
        <v>44256</v>
      </c>
      <c r="E247" s="3"/>
    </row>
    <row r="248" spans="1:13" ht="30" hidden="1">
      <c r="A248" s="4" t="s">
        <v>1</v>
      </c>
      <c r="B248" s="4" t="s">
        <v>2</v>
      </c>
      <c r="C248" s="4" t="s">
        <v>3</v>
      </c>
      <c r="D248" s="4" t="s">
        <v>4</v>
      </c>
      <c r="E248" s="4" t="s">
        <v>5</v>
      </c>
      <c r="F248" s="8" t="s">
        <v>48</v>
      </c>
      <c r="G248" s="18" t="s">
        <v>49</v>
      </c>
      <c r="H248" s="18" t="s">
        <v>50</v>
      </c>
      <c r="I248" s="18" t="s">
        <v>9</v>
      </c>
      <c r="J248" s="8" t="s">
        <v>10</v>
      </c>
      <c r="K248" s="8" t="s">
        <v>11</v>
      </c>
      <c r="L248" s="18" t="s">
        <v>12</v>
      </c>
      <c r="M248" s="8" t="s">
        <v>13</v>
      </c>
    </row>
    <row r="249" spans="1:13" hidden="1">
      <c r="A249" s="5" t="s">
        <v>6</v>
      </c>
      <c r="B249" s="5">
        <f>C241</f>
        <v>6561000</v>
      </c>
      <c r="C249" s="5">
        <v>6578360</v>
      </c>
      <c r="D249" s="5">
        <f>C249-B249</f>
        <v>17360</v>
      </c>
      <c r="E249" s="6">
        <f>35151.91*1.15</f>
        <v>40424.696499999998</v>
      </c>
      <c r="F249" s="19">
        <f>(210.13*16)*1.15</f>
        <v>3866.3919999999998</v>
      </c>
      <c r="G249" s="19">
        <f>3881.33*1.15</f>
        <v>4463.5294999999996</v>
      </c>
      <c r="H249" s="19">
        <f>2385.14*1.15</f>
        <v>2742.9109999999996</v>
      </c>
      <c r="I249" s="5" t="s">
        <v>67</v>
      </c>
      <c r="J249" s="5">
        <v>30</v>
      </c>
      <c r="K249" s="6">
        <f>1.83*1.15</f>
        <v>2.1044999999999998</v>
      </c>
      <c r="L249" s="5">
        <f>D249/J249</f>
        <v>578.66666666666663</v>
      </c>
      <c r="M249" s="5" t="s">
        <v>15</v>
      </c>
    </row>
    <row r="250" spans="1:13" hidden="1">
      <c r="A250" s="5" t="s">
        <v>7</v>
      </c>
      <c r="B250" s="5"/>
      <c r="C250" s="5"/>
      <c r="D250" s="5">
        <v>24295</v>
      </c>
      <c r="E250" s="6">
        <f>(668.98+3269.7+6495.3+6151.6+116.62+16919.04+1054.4+2240)*1.15</f>
        <v>42452.986000000004</v>
      </c>
      <c r="F250" s="5"/>
      <c r="G250" s="19">
        <f>3881.33*1.15</f>
        <v>4463.5294999999996</v>
      </c>
      <c r="H250" s="19">
        <f>2385.14*1.15</f>
        <v>2742.9109999999996</v>
      </c>
      <c r="I250" s="5" t="s">
        <v>67</v>
      </c>
      <c r="J250" s="5">
        <v>31</v>
      </c>
      <c r="K250" s="6">
        <f>E250/D250</f>
        <v>1.7473960074089321</v>
      </c>
      <c r="L250" s="5">
        <f>D250/J250</f>
        <v>783.70967741935488</v>
      </c>
      <c r="M250" s="5" t="s">
        <v>15</v>
      </c>
    </row>
    <row r="251" spans="1:13" hidden="1">
      <c r="A251" s="5" t="s">
        <v>53</v>
      </c>
      <c r="B251" s="5"/>
      <c r="C251" s="5"/>
      <c r="D251" s="5"/>
      <c r="E251" s="6">
        <f>E249+F249+G249+H249</f>
        <v>51497.528999999995</v>
      </c>
      <c r="F251" s="5"/>
      <c r="G251" s="5"/>
      <c r="H251" s="5"/>
      <c r="I251" s="5"/>
      <c r="J251" s="5"/>
      <c r="K251" s="6"/>
      <c r="L251" s="5"/>
      <c r="M251" s="5"/>
    </row>
    <row r="252" spans="1:13" hidden="1">
      <c r="A252" s="5" t="s">
        <v>54</v>
      </c>
      <c r="B252" s="5"/>
      <c r="C252" s="5"/>
      <c r="D252" s="5"/>
      <c r="E252" s="6">
        <f>E250+F250+G250+H250</f>
        <v>49659.426500000001</v>
      </c>
      <c r="F252" s="5"/>
      <c r="G252" s="5"/>
      <c r="H252" s="5"/>
      <c r="I252" s="5"/>
      <c r="J252" s="5"/>
      <c r="K252" s="6"/>
      <c r="L252" s="5"/>
      <c r="M252" s="5"/>
    </row>
    <row r="253" spans="1:13" hidden="1">
      <c r="A253" s="5" t="s">
        <v>8</v>
      </c>
      <c r="B253" s="5"/>
      <c r="C253" s="5"/>
      <c r="D253" s="5"/>
      <c r="E253" s="6">
        <f>E251-E252</f>
        <v>1838.1024999999936</v>
      </c>
      <c r="F253" s="5"/>
      <c r="G253" s="5"/>
      <c r="H253" s="5"/>
      <c r="I253" s="5"/>
      <c r="J253" s="5"/>
      <c r="K253" s="5"/>
      <c r="L253" s="5"/>
      <c r="M253" s="5"/>
    </row>
    <row r="254" spans="1:13" hidden="1"/>
    <row r="255" spans="1:13" hidden="1">
      <c r="A255" s="14">
        <v>44287</v>
      </c>
      <c r="E255" s="3"/>
    </row>
    <row r="256" spans="1:13" ht="30" hidden="1">
      <c r="A256" s="4" t="s">
        <v>1</v>
      </c>
      <c r="B256" s="4" t="s">
        <v>2</v>
      </c>
      <c r="C256" s="4" t="s">
        <v>3</v>
      </c>
      <c r="D256" s="4" t="s">
        <v>4</v>
      </c>
      <c r="E256" s="4" t="s">
        <v>5</v>
      </c>
      <c r="F256" s="8" t="s">
        <v>48</v>
      </c>
      <c r="G256" s="18" t="s">
        <v>49</v>
      </c>
      <c r="H256" s="18" t="s">
        <v>50</v>
      </c>
      <c r="I256" s="18" t="s">
        <v>9</v>
      </c>
      <c r="J256" s="8" t="s">
        <v>10</v>
      </c>
      <c r="K256" s="8" t="s">
        <v>11</v>
      </c>
      <c r="L256" s="18" t="s">
        <v>12</v>
      </c>
      <c r="M256" s="8" t="s">
        <v>13</v>
      </c>
    </row>
    <row r="257" spans="1:13" hidden="1">
      <c r="A257" s="5" t="s">
        <v>6</v>
      </c>
      <c r="B257" s="5">
        <f>C249</f>
        <v>6578360</v>
      </c>
      <c r="C257" s="5">
        <v>6594766</v>
      </c>
      <c r="D257" s="5">
        <f>C257-B257</f>
        <v>16406</v>
      </c>
      <c r="E257" s="6">
        <f>31487.21*1.15</f>
        <v>36210.291499999999</v>
      </c>
      <c r="F257" s="19">
        <f>765.23*1.15</f>
        <v>880.0145</v>
      </c>
      <c r="G257" s="19">
        <f>3683.03*1.15</f>
        <v>4235.4844999999996</v>
      </c>
      <c r="H257" s="19">
        <f>2655.9*1.15</f>
        <v>3054.2849999999999</v>
      </c>
      <c r="I257" s="5" t="s">
        <v>68</v>
      </c>
      <c r="J257" s="5">
        <v>30</v>
      </c>
      <c r="K257" s="6">
        <f>1.87*1.15</f>
        <v>2.1505000000000001</v>
      </c>
      <c r="L257" s="5">
        <f>D257/J257</f>
        <v>546.86666666666667</v>
      </c>
      <c r="M257" s="5" t="s">
        <v>15</v>
      </c>
    </row>
    <row r="258" spans="1:13" hidden="1">
      <c r="A258" s="5" t="s">
        <v>7</v>
      </c>
      <c r="B258" s="5"/>
      <c r="C258" s="5"/>
      <c r="D258" s="5">
        <v>19716</v>
      </c>
      <c r="E258" s="6">
        <f>(744.9+3761.1+7474.95+5836.55+108.44+15798.43+981.86+2091.87)*1.15</f>
        <v>42317.814999999995</v>
      </c>
      <c r="F258" s="5"/>
      <c r="G258" s="19">
        <f>3683.03*1.15</f>
        <v>4235.4844999999996</v>
      </c>
      <c r="H258" s="19">
        <f>2655.9*1.15</f>
        <v>3054.2849999999999</v>
      </c>
      <c r="I258" s="5" t="s">
        <v>68</v>
      </c>
      <c r="J258" s="5">
        <v>30</v>
      </c>
      <c r="K258" s="6">
        <f>E258/D258</f>
        <v>2.1463691925339825</v>
      </c>
      <c r="L258" s="5">
        <f>D258/J258</f>
        <v>657.2</v>
      </c>
      <c r="M258" s="5" t="s">
        <v>15</v>
      </c>
    </row>
    <row r="259" spans="1:13" hidden="1">
      <c r="A259" s="5" t="s">
        <v>53</v>
      </c>
      <c r="B259" s="5"/>
      <c r="C259" s="5"/>
      <c r="D259" s="5"/>
      <c r="E259" s="6">
        <f>E257+F257+G257+H257</f>
        <v>44380.075499999992</v>
      </c>
      <c r="F259" s="5"/>
      <c r="G259" s="5"/>
      <c r="H259" s="5"/>
      <c r="I259" s="5"/>
      <c r="J259" s="5"/>
      <c r="K259" s="6"/>
      <c r="L259" s="5"/>
      <c r="M259" s="5"/>
    </row>
    <row r="260" spans="1:13" hidden="1">
      <c r="A260" s="5" t="s">
        <v>54</v>
      </c>
      <c r="B260" s="5"/>
      <c r="C260" s="5"/>
      <c r="D260" s="5"/>
      <c r="E260" s="6">
        <f>E258+F258+G258+H258</f>
        <v>49607.584499999997</v>
      </c>
      <c r="F260" s="5"/>
      <c r="G260" s="5"/>
      <c r="H260" s="5"/>
      <c r="I260" s="5"/>
      <c r="J260" s="5"/>
      <c r="K260" s="6"/>
      <c r="L260" s="5"/>
      <c r="M260" s="5"/>
    </row>
    <row r="261" spans="1:13" hidden="1">
      <c r="A261" s="5" t="s">
        <v>8</v>
      </c>
      <c r="B261" s="5"/>
      <c r="C261" s="5"/>
      <c r="D261" s="5"/>
      <c r="E261" s="6">
        <f>E259-E260</f>
        <v>-5227.5090000000055</v>
      </c>
      <c r="F261" s="5"/>
      <c r="G261" s="5"/>
      <c r="H261" s="5"/>
      <c r="I261" s="5"/>
      <c r="J261" s="5"/>
      <c r="K261" s="5"/>
      <c r="L261" s="5"/>
      <c r="M261" s="5"/>
    </row>
    <row r="262" spans="1:13" hidden="1"/>
    <row r="263" spans="1:13" hidden="1">
      <c r="A263" s="14">
        <v>44317</v>
      </c>
      <c r="E263" s="3"/>
    </row>
    <row r="264" spans="1:13" ht="30" hidden="1">
      <c r="A264" s="4" t="s">
        <v>1</v>
      </c>
      <c r="B264" s="4" t="s">
        <v>2</v>
      </c>
      <c r="C264" s="4" t="s">
        <v>3</v>
      </c>
      <c r="D264" s="4" t="s">
        <v>4</v>
      </c>
      <c r="E264" s="4" t="s">
        <v>5</v>
      </c>
      <c r="F264" s="8" t="s">
        <v>48</v>
      </c>
      <c r="G264" s="18" t="s">
        <v>49</v>
      </c>
      <c r="H264" s="18" t="s">
        <v>50</v>
      </c>
      <c r="I264" s="18" t="s">
        <v>9</v>
      </c>
      <c r="J264" s="8" t="s">
        <v>10</v>
      </c>
      <c r="K264" s="8" t="s">
        <v>11</v>
      </c>
      <c r="L264" s="18" t="s">
        <v>12</v>
      </c>
      <c r="M264" s="8" t="s">
        <v>13</v>
      </c>
    </row>
    <row r="265" spans="1:13" hidden="1">
      <c r="A265" s="5" t="s">
        <v>6</v>
      </c>
      <c r="B265" s="5">
        <f>C257</f>
        <v>6594766</v>
      </c>
      <c r="C265" s="5">
        <v>6610855</v>
      </c>
      <c r="D265" s="5">
        <f>C265-B265</f>
        <v>16089</v>
      </c>
      <c r="E265" s="6">
        <f>29225.04*1.15</f>
        <v>33608.795999999995</v>
      </c>
      <c r="F265" s="19">
        <f>(53.4*1.15)*16</f>
        <v>982.56</v>
      </c>
      <c r="G265" s="19">
        <f>2744.43*1.15</f>
        <v>3156.0944999999997</v>
      </c>
      <c r="H265" s="19">
        <f>2434.73*1.15</f>
        <v>2799.9395</v>
      </c>
      <c r="I265" s="5" t="s">
        <v>69</v>
      </c>
      <c r="J265" s="5">
        <v>31</v>
      </c>
      <c r="K265" s="6">
        <f>(E265+F265)/D265</f>
        <v>2.150000372925601</v>
      </c>
      <c r="L265" s="5">
        <f>D265/J265</f>
        <v>519</v>
      </c>
      <c r="M265" s="5" t="s">
        <v>15</v>
      </c>
    </row>
    <row r="266" spans="1:13" hidden="1">
      <c r="A266" s="5" t="s">
        <v>7</v>
      </c>
      <c r="B266" s="5"/>
      <c r="C266" s="5"/>
      <c r="D266" s="5">
        <v>19329</v>
      </c>
      <c r="E266" s="6">
        <f>(769.73+3761.1+7474.95+3858.34+106.31+15488.33+962.58+2050.81)*1.15</f>
        <v>39642.972499999996</v>
      </c>
      <c r="F266" s="5"/>
      <c r="G266" s="19">
        <f>2434.73*1.15</f>
        <v>2799.9395</v>
      </c>
      <c r="H266" s="19">
        <f>2744.43*1.15</f>
        <v>3156.0944999999997</v>
      </c>
      <c r="I266" s="5" t="s">
        <v>69</v>
      </c>
      <c r="J266" s="5">
        <v>31</v>
      </c>
      <c r="K266" s="6">
        <f>E266/D266</f>
        <v>2.0509582751306326</v>
      </c>
      <c r="L266" s="5">
        <f>D266/J266</f>
        <v>623.51612903225805</v>
      </c>
      <c r="M266" s="5" t="s">
        <v>15</v>
      </c>
    </row>
    <row r="267" spans="1:13" hidden="1">
      <c r="A267" s="5" t="s">
        <v>53</v>
      </c>
      <c r="B267" s="5"/>
      <c r="C267" s="5"/>
      <c r="D267" s="5"/>
      <c r="E267" s="6">
        <f>E265+F265+G265+H265</f>
        <v>40547.389999999992</v>
      </c>
      <c r="F267" s="5"/>
      <c r="G267" s="5"/>
      <c r="H267" s="5"/>
      <c r="I267" s="5"/>
      <c r="J267" s="5"/>
      <c r="K267" s="6"/>
      <c r="L267" s="5"/>
      <c r="M267" s="5"/>
    </row>
    <row r="268" spans="1:13" hidden="1">
      <c r="A268" s="5" t="s">
        <v>54</v>
      </c>
      <c r="B268" s="5"/>
      <c r="C268" s="5"/>
      <c r="D268" s="5"/>
      <c r="E268" s="6">
        <f>E266+F266+G266+H266</f>
        <v>45599.006499999996</v>
      </c>
      <c r="F268" s="5"/>
      <c r="G268" s="5"/>
      <c r="H268" s="5"/>
      <c r="I268" s="5"/>
      <c r="J268" s="5"/>
      <c r="K268" s="6"/>
      <c r="L268" s="5"/>
      <c r="M268" s="5"/>
    </row>
    <row r="269" spans="1:13" hidden="1">
      <c r="A269" s="5" t="s">
        <v>8</v>
      </c>
      <c r="B269" s="5"/>
      <c r="C269" s="5"/>
      <c r="D269" s="5"/>
      <c r="E269" s="6">
        <f>E267-E268</f>
        <v>-5051.6165000000037</v>
      </c>
      <c r="F269" s="5"/>
      <c r="G269" s="5"/>
      <c r="H269" s="5"/>
      <c r="I269" s="5"/>
      <c r="J269" s="5"/>
      <c r="K269" s="5"/>
      <c r="L269" s="5"/>
      <c r="M269" s="5"/>
    </row>
    <row r="270" spans="1:13" hidden="1"/>
    <row r="271" spans="1:13" hidden="1">
      <c r="A271" s="14">
        <v>44348</v>
      </c>
      <c r="E271" s="3"/>
    </row>
    <row r="272" spans="1:13" ht="30" hidden="1">
      <c r="A272" s="4" t="s">
        <v>1</v>
      </c>
      <c r="B272" s="4" t="s">
        <v>2</v>
      </c>
      <c r="C272" s="4" t="s">
        <v>3</v>
      </c>
      <c r="D272" s="4" t="s">
        <v>4</v>
      </c>
      <c r="E272" s="4" t="s">
        <v>5</v>
      </c>
      <c r="F272" s="8" t="s">
        <v>48</v>
      </c>
      <c r="G272" s="18" t="s">
        <v>49</v>
      </c>
      <c r="H272" s="18" t="s">
        <v>50</v>
      </c>
      <c r="I272" s="18" t="s">
        <v>9</v>
      </c>
      <c r="J272" s="8" t="s">
        <v>10</v>
      </c>
      <c r="K272" s="8" t="s">
        <v>11</v>
      </c>
      <c r="L272" s="18" t="s">
        <v>12</v>
      </c>
      <c r="M272" s="8" t="s">
        <v>13</v>
      </c>
    </row>
    <row r="273" spans="1:13" hidden="1">
      <c r="A273" s="5" t="s">
        <v>6</v>
      </c>
      <c r="B273" s="5">
        <f>C265</f>
        <v>6610855</v>
      </c>
      <c r="C273" s="5">
        <v>6628122</v>
      </c>
      <c r="D273" s="5">
        <f>C273-B273</f>
        <v>17267</v>
      </c>
      <c r="E273" s="6">
        <f>33654.04*1.15</f>
        <v>38702.146000000001</v>
      </c>
      <c r="F273" s="19">
        <f>(85.77*1.15)*16</f>
        <v>1578.1679999999999</v>
      </c>
      <c r="G273" s="19">
        <f>2655.9*1.15</f>
        <v>3054.2849999999999</v>
      </c>
      <c r="H273" s="19">
        <f>22397.05*1.15</f>
        <v>25756.607499999998</v>
      </c>
      <c r="I273" s="5" t="s">
        <v>70</v>
      </c>
      <c r="J273" s="5">
        <v>30</v>
      </c>
      <c r="K273" s="6">
        <f>(E273+F273)/D273</f>
        <v>2.3327916835582325</v>
      </c>
      <c r="L273" s="5">
        <f>D273/J273</f>
        <v>575.56666666666672</v>
      </c>
      <c r="M273" s="5" t="s">
        <v>15</v>
      </c>
    </row>
    <row r="274" spans="1:13" hidden="1">
      <c r="A274" s="5" t="s">
        <v>7</v>
      </c>
      <c r="B274" s="5"/>
      <c r="C274" s="5"/>
      <c r="D274" s="5">
        <v>20381</v>
      </c>
      <c r="E274" s="6">
        <f>(744.9+3761.1+7474.95+4574.58+112.1+21008.73+1014.97+2162.42)*1.15</f>
        <v>46981.8125</v>
      </c>
      <c r="F274" s="5"/>
      <c r="G274" s="19">
        <v>3054.2849999999999</v>
      </c>
      <c r="H274" s="19">
        <v>25756.607499999998</v>
      </c>
      <c r="I274" s="5" t="s">
        <v>70</v>
      </c>
      <c r="J274" s="5">
        <v>30</v>
      </c>
      <c r="K274" s="6">
        <f>E274/D274</f>
        <v>2.3051770030911141</v>
      </c>
      <c r="L274" s="5">
        <f>D274/J274</f>
        <v>679.36666666666667</v>
      </c>
      <c r="M274" s="5" t="s">
        <v>15</v>
      </c>
    </row>
    <row r="275" spans="1:13" hidden="1">
      <c r="A275" s="5" t="s">
        <v>53</v>
      </c>
      <c r="B275" s="5"/>
      <c r="C275" s="5"/>
      <c r="D275" s="5"/>
      <c r="E275" s="6">
        <f>E273+F273+G273+H273</f>
        <v>69091.2065</v>
      </c>
      <c r="F275" s="5"/>
      <c r="G275" s="5"/>
      <c r="H275" s="5"/>
      <c r="I275" s="5"/>
      <c r="J275" s="5"/>
      <c r="K275" s="6"/>
      <c r="L275" s="5"/>
      <c r="M275" s="5"/>
    </row>
    <row r="276" spans="1:13" hidden="1">
      <c r="A276" s="5" t="s">
        <v>54</v>
      </c>
      <c r="B276" s="5"/>
      <c r="C276" s="5"/>
      <c r="D276" s="5"/>
      <c r="E276" s="6">
        <f>E274+F274+G274+H274</f>
        <v>75792.705000000002</v>
      </c>
      <c r="F276" s="5"/>
      <c r="G276" s="5"/>
      <c r="H276" s="5"/>
      <c r="I276" s="5"/>
      <c r="J276" s="5"/>
      <c r="K276" s="6"/>
      <c r="L276" s="5"/>
      <c r="M276" s="5"/>
    </row>
    <row r="277" spans="1:13" hidden="1">
      <c r="A277" s="5" t="s">
        <v>8</v>
      </c>
      <c r="B277" s="5"/>
      <c r="C277" s="5"/>
      <c r="D277" s="5"/>
      <c r="E277" s="6">
        <f>E275-E276</f>
        <v>-6701.4985000000015</v>
      </c>
      <c r="F277" s="5"/>
      <c r="G277" s="5"/>
      <c r="H277" s="5"/>
      <c r="I277" s="5"/>
      <c r="J277" s="5"/>
      <c r="K277" s="5"/>
      <c r="L277" s="5"/>
      <c r="M277" s="5"/>
    </row>
    <row r="278" spans="1:13" hidden="1"/>
    <row r="279" spans="1:13" hidden="1">
      <c r="A279" s="14">
        <v>44378</v>
      </c>
      <c r="E279" s="3"/>
    </row>
    <row r="280" spans="1:13" ht="30" hidden="1">
      <c r="A280" s="4" t="s">
        <v>1</v>
      </c>
      <c r="B280" s="4" t="s">
        <v>2</v>
      </c>
      <c r="C280" s="4" t="s">
        <v>3</v>
      </c>
      <c r="D280" s="4" t="s">
        <v>4</v>
      </c>
      <c r="E280" s="4" t="s">
        <v>5</v>
      </c>
      <c r="F280" s="8" t="s">
        <v>48</v>
      </c>
      <c r="G280" s="18" t="s">
        <v>49</v>
      </c>
      <c r="H280" s="18" t="s">
        <v>50</v>
      </c>
      <c r="I280" s="18" t="s">
        <v>9</v>
      </c>
      <c r="J280" s="8" t="s">
        <v>10</v>
      </c>
      <c r="K280" s="8" t="s">
        <v>11</v>
      </c>
      <c r="L280" s="18" t="s">
        <v>12</v>
      </c>
      <c r="M280" s="8" t="s">
        <v>13</v>
      </c>
    </row>
    <row r="281" spans="1:13" hidden="1">
      <c r="A281" s="5" t="s">
        <v>6</v>
      </c>
      <c r="B281" s="5">
        <f>C273</f>
        <v>6628122</v>
      </c>
      <c r="C281" s="5">
        <v>6645499</v>
      </c>
      <c r="D281" s="5">
        <f>C281-B281</f>
        <v>17377</v>
      </c>
      <c r="E281" s="6">
        <f>33369.61*1.15</f>
        <v>38375.051499999994</v>
      </c>
      <c r="F281" s="19">
        <f>1442.69*1.15</f>
        <v>1659.0934999999999</v>
      </c>
      <c r="G281" s="19">
        <f>2744.43*1.15</f>
        <v>3156.0944999999997</v>
      </c>
      <c r="H281" s="19">
        <f>22846.4*1.15</f>
        <v>26273.360000000001</v>
      </c>
      <c r="I281" s="5" t="s">
        <v>71</v>
      </c>
      <c r="J281" s="5">
        <v>31</v>
      </c>
      <c r="K281" s="6">
        <f>(E281+F281)/D281</f>
        <v>2.3038582609196063</v>
      </c>
      <c r="L281" s="5">
        <f>D281/J281</f>
        <v>560.54838709677415</v>
      </c>
      <c r="M281" s="5" t="s">
        <v>15</v>
      </c>
    </row>
    <row r="282" spans="1:13" hidden="1">
      <c r="A282" s="5" t="s">
        <v>7</v>
      </c>
      <c r="B282" s="5"/>
      <c r="C282" s="5"/>
      <c r="D282" s="5">
        <v>21187</v>
      </c>
      <c r="E282" s="6">
        <f>(769.73+3761.1+7474.95+4666.36+116.53+21839.56+1055.11+2247.94)*1.15</f>
        <v>48220.971999999994</v>
      </c>
      <c r="F282" s="5"/>
      <c r="G282" s="19">
        <f>2744.43*1.15</f>
        <v>3156.0944999999997</v>
      </c>
      <c r="H282" s="19">
        <f>22846.4*1.15</f>
        <v>26273.360000000001</v>
      </c>
      <c r="I282" s="5" t="s">
        <v>71</v>
      </c>
      <c r="J282" s="5">
        <v>31</v>
      </c>
      <c r="K282" s="6">
        <f>E282/D282</f>
        <v>2.2759697927974698</v>
      </c>
      <c r="L282" s="5">
        <f>D282/J282</f>
        <v>683.45161290322585</v>
      </c>
      <c r="M282" s="5" t="s">
        <v>15</v>
      </c>
    </row>
    <row r="283" spans="1:13" hidden="1">
      <c r="A283" s="5" t="s">
        <v>53</v>
      </c>
      <c r="B283" s="5"/>
      <c r="C283" s="5"/>
      <c r="D283" s="5"/>
      <c r="E283" s="6">
        <f>E281+F281+G281+H281</f>
        <v>69463.599499999997</v>
      </c>
      <c r="F283" s="5"/>
      <c r="G283" s="5"/>
      <c r="H283" s="5"/>
      <c r="I283" s="5"/>
      <c r="J283" s="5"/>
      <c r="K283" s="6"/>
      <c r="L283" s="5"/>
      <c r="M283" s="5"/>
    </row>
    <row r="284" spans="1:13" hidden="1">
      <c r="A284" s="5" t="s">
        <v>54</v>
      </c>
      <c r="B284" s="5"/>
      <c r="C284" s="5"/>
      <c r="D284" s="5"/>
      <c r="E284" s="6">
        <f>E282+F282+G282+H282</f>
        <v>77650.426500000001</v>
      </c>
      <c r="F284" s="5"/>
      <c r="G284" s="5"/>
      <c r="H284" s="5"/>
      <c r="I284" s="5"/>
      <c r="J284" s="5"/>
      <c r="K284" s="6"/>
      <c r="L284" s="5"/>
      <c r="M284" s="5"/>
    </row>
    <row r="285" spans="1:13" hidden="1">
      <c r="A285" s="5" t="s">
        <v>8</v>
      </c>
      <c r="B285" s="5"/>
      <c r="C285" s="5"/>
      <c r="D285" s="5"/>
      <c r="E285" s="6">
        <f>E283-E284</f>
        <v>-8186.8270000000048</v>
      </c>
      <c r="F285" s="5"/>
      <c r="G285" s="5"/>
      <c r="H285" s="5"/>
      <c r="I285" s="5"/>
      <c r="J285" s="5"/>
      <c r="K285" s="5"/>
      <c r="L285" s="5"/>
      <c r="M285" s="5"/>
    </row>
    <row r="286" spans="1:13" hidden="1"/>
    <row r="287" spans="1:13" hidden="1">
      <c r="A287" s="14">
        <v>44409</v>
      </c>
      <c r="E287" s="3"/>
    </row>
    <row r="288" spans="1:13" ht="30" hidden="1">
      <c r="A288" s="4" t="s">
        <v>1</v>
      </c>
      <c r="B288" s="4" t="s">
        <v>2</v>
      </c>
      <c r="C288" s="4" t="s">
        <v>3</v>
      </c>
      <c r="D288" s="4" t="s">
        <v>4</v>
      </c>
      <c r="E288" s="4" t="s">
        <v>5</v>
      </c>
      <c r="F288" s="8" t="s">
        <v>48</v>
      </c>
      <c r="G288" s="18" t="s">
        <v>49</v>
      </c>
      <c r="H288" s="18" t="s">
        <v>50</v>
      </c>
      <c r="I288" s="18" t="s">
        <v>9</v>
      </c>
      <c r="J288" s="8" t="s">
        <v>10</v>
      </c>
      <c r="K288" s="8" t="s">
        <v>11</v>
      </c>
      <c r="L288" s="18" t="s">
        <v>12</v>
      </c>
      <c r="M288" s="8" t="s">
        <v>13</v>
      </c>
    </row>
    <row r="289" spans="1:13" hidden="1">
      <c r="A289" s="5" t="s">
        <v>6</v>
      </c>
      <c r="B289" s="5">
        <f>C281</f>
        <v>6645499</v>
      </c>
      <c r="C289" s="5">
        <v>6659744</v>
      </c>
      <c r="D289" s="5">
        <f>C289-B289</f>
        <v>14245</v>
      </c>
      <c r="E289" s="6">
        <f>26100.37*1.15</f>
        <v>30015.425499999998</v>
      </c>
      <c r="F289" s="19">
        <f>(130.74*16)*1.15</f>
        <v>2405.616</v>
      </c>
      <c r="G289" s="19">
        <f>2744.43*1.15</f>
        <v>3156.0944999999997</v>
      </c>
      <c r="H289" s="19">
        <f>17286.79*1.15</f>
        <v>19879.808499999999</v>
      </c>
      <c r="I289" s="5" t="s">
        <v>72</v>
      </c>
      <c r="J289" s="5">
        <v>31</v>
      </c>
      <c r="K289" s="6">
        <f>(E289+F289)/D289</f>
        <v>2.275959389259389</v>
      </c>
      <c r="L289" s="5">
        <f>D289/J289</f>
        <v>459.51612903225805</v>
      </c>
      <c r="M289" s="5" t="s">
        <v>15</v>
      </c>
    </row>
    <row r="290" spans="1:13" hidden="1">
      <c r="A290" s="5" t="s">
        <v>7</v>
      </c>
      <c r="B290" s="5"/>
      <c r="C290" s="5"/>
      <c r="D290" s="5">
        <v>17069</v>
      </c>
      <c r="E290" s="6">
        <f>64764.89-G290-H290</f>
        <v>41728.987000000001</v>
      </c>
      <c r="F290" s="5"/>
      <c r="G290" s="19">
        <f>2744.43*1.15</f>
        <v>3156.0944999999997</v>
      </c>
      <c r="H290" s="19">
        <f>17286.79*1.15</f>
        <v>19879.808499999999</v>
      </c>
      <c r="I290" s="5" t="s">
        <v>72</v>
      </c>
      <c r="J290" s="5">
        <v>31</v>
      </c>
      <c r="K290" s="6">
        <f>E290/D290</f>
        <v>2.4447235924775912</v>
      </c>
      <c r="L290" s="5">
        <f>D290/J290</f>
        <v>550.61290322580646</v>
      </c>
      <c r="M290" s="5" t="s">
        <v>15</v>
      </c>
    </row>
    <row r="291" spans="1:13" hidden="1">
      <c r="A291" s="5" t="s">
        <v>53</v>
      </c>
      <c r="B291" s="5"/>
      <c r="C291" s="5"/>
      <c r="D291" s="5"/>
      <c r="E291" s="6">
        <f>E289+F289+G289+H289</f>
        <v>55456.944499999998</v>
      </c>
      <c r="F291" s="5"/>
      <c r="G291" s="5"/>
      <c r="H291" s="5"/>
      <c r="I291" s="5"/>
      <c r="J291" s="5"/>
      <c r="K291" s="6"/>
      <c r="L291" s="5"/>
      <c r="M291" s="5"/>
    </row>
    <row r="292" spans="1:13" hidden="1">
      <c r="A292" s="5" t="s">
        <v>54</v>
      </c>
      <c r="B292" s="5"/>
      <c r="C292" s="5"/>
      <c r="D292" s="5"/>
      <c r="E292" s="6">
        <f>E290+F290+G290+H290</f>
        <v>64764.89</v>
      </c>
      <c r="F292" s="5"/>
      <c r="G292" s="5"/>
      <c r="H292" s="5"/>
      <c r="I292" s="5"/>
      <c r="J292" s="5"/>
      <c r="K292" s="6"/>
      <c r="L292" s="5"/>
      <c r="M292" s="5"/>
    </row>
    <row r="293" spans="1:13" hidden="1">
      <c r="A293" s="5" t="s">
        <v>8</v>
      </c>
      <c r="B293" s="5"/>
      <c r="C293" s="5"/>
      <c r="D293" s="5"/>
      <c r="E293" s="6">
        <f>E291-E292</f>
        <v>-9307.9455000000016</v>
      </c>
      <c r="F293" s="5"/>
      <c r="G293" s="5"/>
      <c r="H293" s="5"/>
      <c r="I293" s="5"/>
      <c r="J293" s="5"/>
      <c r="K293" s="5"/>
      <c r="L293" s="5"/>
      <c r="M293" s="5"/>
    </row>
    <row r="294" spans="1:13" hidden="1"/>
    <row r="295" spans="1:13" hidden="1">
      <c r="A295" s="14">
        <v>44440</v>
      </c>
      <c r="E295" s="3"/>
    </row>
    <row r="296" spans="1:13" ht="30" hidden="1">
      <c r="A296" s="4" t="s">
        <v>1</v>
      </c>
      <c r="B296" s="4" t="s">
        <v>2</v>
      </c>
      <c r="C296" s="4" t="s">
        <v>3</v>
      </c>
      <c r="D296" s="4" t="s">
        <v>4</v>
      </c>
      <c r="E296" s="4" t="s">
        <v>5</v>
      </c>
      <c r="F296" s="8" t="s">
        <v>48</v>
      </c>
      <c r="G296" s="18" t="s">
        <v>49</v>
      </c>
      <c r="H296" s="18" t="s">
        <v>50</v>
      </c>
      <c r="I296" s="18" t="s">
        <v>9</v>
      </c>
      <c r="J296" s="8" t="s">
        <v>10</v>
      </c>
      <c r="K296" s="8" t="s">
        <v>11</v>
      </c>
      <c r="L296" s="18" t="s">
        <v>12</v>
      </c>
      <c r="M296" s="8" t="s">
        <v>13</v>
      </c>
    </row>
    <row r="297" spans="1:13" hidden="1">
      <c r="A297" s="5" t="s">
        <v>6</v>
      </c>
      <c r="B297" s="5">
        <f>C289</f>
        <v>6659744</v>
      </c>
      <c r="C297" s="5">
        <v>6674055</v>
      </c>
      <c r="D297" s="5">
        <f>C297-B297</f>
        <v>14311</v>
      </c>
      <c r="E297" s="6">
        <f>27042.42*1.15</f>
        <v>31098.782999999996</v>
      </c>
      <c r="F297" s="19">
        <f>1280.48*1.15</f>
        <v>1472.5519999999999</v>
      </c>
      <c r="G297" s="19">
        <f>2764.05*1.15</f>
        <v>3178.6574999999998</v>
      </c>
      <c r="H297" s="19">
        <f>2655.9*1.15</f>
        <v>3054.2849999999999</v>
      </c>
      <c r="I297" s="5" t="s">
        <v>73</v>
      </c>
      <c r="J297" s="5">
        <v>30</v>
      </c>
      <c r="K297" s="6">
        <f>(E297+F297)/D297</f>
        <v>2.2759649919642229</v>
      </c>
      <c r="L297" s="5">
        <f>D297/J297</f>
        <v>477.03333333333336</v>
      </c>
      <c r="M297" s="5" t="s">
        <v>15</v>
      </c>
    </row>
    <row r="298" spans="1:13" hidden="1">
      <c r="A298" s="5" t="s">
        <v>7</v>
      </c>
      <c r="B298" s="5"/>
      <c r="C298" s="5"/>
      <c r="D298" s="5">
        <v>17212</v>
      </c>
      <c r="E298" s="6">
        <f>44103.8-G298-H298</f>
        <v>37870.857499999998</v>
      </c>
      <c r="F298" s="5"/>
      <c r="G298" s="19">
        <f>2764.05*1.15</f>
        <v>3178.6574999999998</v>
      </c>
      <c r="H298" s="19">
        <f>2655.9*1.15</f>
        <v>3054.2849999999999</v>
      </c>
      <c r="I298" s="5" t="s">
        <v>73</v>
      </c>
      <c r="J298" s="5">
        <v>30</v>
      </c>
      <c r="K298" s="6">
        <f>E298/D298</f>
        <v>2.2002589762956077</v>
      </c>
      <c r="L298" s="5">
        <f>D298/J298</f>
        <v>573.73333333333335</v>
      </c>
      <c r="M298" s="5" t="s">
        <v>15</v>
      </c>
    </row>
    <row r="299" spans="1:13" hidden="1">
      <c r="A299" s="5" t="s">
        <v>53</v>
      </c>
      <c r="B299" s="5"/>
      <c r="C299" s="5"/>
      <c r="D299" s="5"/>
      <c r="E299" s="6">
        <f>E297+F297+G297+H297</f>
        <v>38804.277499999997</v>
      </c>
      <c r="F299" s="5"/>
      <c r="G299" s="5"/>
      <c r="H299" s="5"/>
      <c r="I299" s="5"/>
      <c r="J299" s="5"/>
      <c r="K299" s="6"/>
      <c r="L299" s="5"/>
      <c r="M299" s="5"/>
    </row>
    <row r="300" spans="1:13" hidden="1">
      <c r="A300" s="5" t="s">
        <v>54</v>
      </c>
      <c r="B300" s="5"/>
      <c r="C300" s="5"/>
      <c r="D300" s="5"/>
      <c r="E300" s="6">
        <f>E298+F298+G298+H298</f>
        <v>44103.8</v>
      </c>
      <c r="F300" s="5"/>
      <c r="G300" s="5"/>
      <c r="H300" s="5"/>
      <c r="I300" s="5"/>
      <c r="J300" s="5"/>
      <c r="K300" s="6"/>
      <c r="L300" s="5"/>
      <c r="M300" s="5"/>
    </row>
    <row r="301" spans="1:13" hidden="1">
      <c r="A301" s="5" t="s">
        <v>8</v>
      </c>
      <c r="B301" s="5"/>
      <c r="C301" s="5"/>
      <c r="D301" s="5"/>
      <c r="E301" s="6">
        <f>E299-E300</f>
        <v>-5299.5225000000064</v>
      </c>
      <c r="F301" s="5"/>
      <c r="G301" s="5"/>
      <c r="H301" s="5"/>
      <c r="I301" s="5"/>
      <c r="J301" s="5"/>
      <c r="K301" s="5"/>
      <c r="L301" s="5"/>
      <c r="M301" s="5"/>
    </row>
    <row r="302" spans="1:13" hidden="1"/>
    <row r="303" spans="1:13" hidden="1">
      <c r="A303" s="14">
        <v>44470</v>
      </c>
      <c r="E303" s="3"/>
    </row>
    <row r="304" spans="1:13" ht="30" hidden="1">
      <c r="A304" s="4" t="s">
        <v>1</v>
      </c>
      <c r="B304" s="4" t="s">
        <v>2</v>
      </c>
      <c r="C304" s="4" t="s">
        <v>3</v>
      </c>
      <c r="D304" s="4" t="s">
        <v>4</v>
      </c>
      <c r="E304" s="4" t="s">
        <v>5</v>
      </c>
      <c r="F304" s="8" t="s">
        <v>48</v>
      </c>
      <c r="G304" s="18" t="s">
        <v>49</v>
      </c>
      <c r="H304" s="18" t="s">
        <v>50</v>
      </c>
      <c r="I304" s="18" t="s">
        <v>9</v>
      </c>
      <c r="J304" s="8" t="s">
        <v>10</v>
      </c>
      <c r="K304" s="8" t="s">
        <v>11</v>
      </c>
      <c r="L304" s="18" t="s">
        <v>12</v>
      </c>
      <c r="M304" s="8" t="s">
        <v>13</v>
      </c>
    </row>
    <row r="305" spans="1:13" hidden="1">
      <c r="A305" s="5" t="s">
        <v>6</v>
      </c>
      <c r="B305" s="5">
        <f>C297</f>
        <v>6674055</v>
      </c>
      <c r="C305" s="5">
        <v>6688744</v>
      </c>
      <c r="D305" s="5">
        <f>C305-B305</f>
        <v>14689</v>
      </c>
      <c r="E305" s="6">
        <f>28279.36*1.15</f>
        <v>32521.263999999999</v>
      </c>
      <c r="F305" s="19">
        <f>791.64*1.15</f>
        <v>910.38599999999997</v>
      </c>
      <c r="G305" s="19">
        <f>2744.43*1.15</f>
        <v>3156.0944999999997</v>
      </c>
      <c r="H305" s="19">
        <f>2365.17*1.15</f>
        <v>2719.9454999999998</v>
      </c>
      <c r="I305" s="5" t="s">
        <v>74</v>
      </c>
      <c r="J305" s="5">
        <v>30</v>
      </c>
      <c r="K305" s="6">
        <f>(E305+F305)/D305</f>
        <v>2.2759650078289879</v>
      </c>
      <c r="L305" s="5">
        <f>D305/J305</f>
        <v>489.63333333333333</v>
      </c>
      <c r="M305" s="5" t="s">
        <v>15</v>
      </c>
    </row>
    <row r="306" spans="1:13" hidden="1">
      <c r="A306" s="5" t="s">
        <v>7</v>
      </c>
      <c r="B306" s="5"/>
      <c r="C306" s="5"/>
      <c r="D306" s="5">
        <v>12122</v>
      </c>
      <c r="E306" s="6">
        <f>37688.85-G306-H306</f>
        <v>31812.809999999998</v>
      </c>
      <c r="F306" s="5"/>
      <c r="G306" s="19">
        <f>2744.43*1.15</f>
        <v>3156.0944999999997</v>
      </c>
      <c r="H306" s="19">
        <f>2365.17*1.15</f>
        <v>2719.9454999999998</v>
      </c>
      <c r="I306" s="5" t="s">
        <v>75</v>
      </c>
      <c r="J306" s="5">
        <v>31</v>
      </c>
      <c r="K306" s="6">
        <f>E306/D306</f>
        <v>2.6243862398944069</v>
      </c>
      <c r="L306" s="5">
        <f>D306/J306</f>
        <v>391.03225806451616</v>
      </c>
      <c r="M306" s="5" t="s">
        <v>15</v>
      </c>
    </row>
    <row r="307" spans="1:13" hidden="1">
      <c r="A307" s="5" t="s">
        <v>53</v>
      </c>
      <c r="B307" s="5"/>
      <c r="C307" s="5"/>
      <c r="D307" s="5"/>
      <c r="E307" s="6">
        <f>E305+F305+G305+H305</f>
        <v>39307.69</v>
      </c>
      <c r="F307" s="5"/>
      <c r="G307" s="5"/>
      <c r="H307" s="5"/>
      <c r="I307" s="5"/>
      <c r="J307" s="5"/>
      <c r="K307" s="6"/>
      <c r="L307" s="5"/>
      <c r="M307" s="5"/>
    </row>
    <row r="308" spans="1:13" hidden="1">
      <c r="A308" s="5" t="s">
        <v>54</v>
      </c>
      <c r="B308" s="5"/>
      <c r="C308" s="5"/>
      <c r="D308" s="5"/>
      <c r="E308" s="6">
        <f>E306+F306+G306+H306</f>
        <v>37688.85</v>
      </c>
      <c r="F308" s="5"/>
      <c r="G308" s="5"/>
      <c r="H308" s="5"/>
      <c r="I308" s="5"/>
      <c r="J308" s="5"/>
      <c r="K308" s="6"/>
      <c r="L308" s="5"/>
      <c r="M308" s="5"/>
    </row>
    <row r="309" spans="1:13" hidden="1">
      <c r="A309" s="5" t="s">
        <v>8</v>
      </c>
      <c r="B309" s="5"/>
      <c r="C309" s="5"/>
      <c r="D309" s="5"/>
      <c r="E309" s="6">
        <f>E307-E308</f>
        <v>1618.8400000000038</v>
      </c>
      <c r="F309" s="5"/>
      <c r="G309" s="5"/>
      <c r="H309" s="5"/>
      <c r="I309" s="5"/>
      <c r="J309" s="5"/>
      <c r="K309" s="5"/>
      <c r="L309" s="5"/>
      <c r="M309" s="5"/>
    </row>
    <row r="310" spans="1:13" hidden="1"/>
    <row r="311" spans="1:13" hidden="1">
      <c r="A311" s="14">
        <v>44501</v>
      </c>
      <c r="E311" s="3"/>
    </row>
    <row r="312" spans="1:13" ht="30" hidden="1">
      <c r="A312" s="4" t="s">
        <v>1</v>
      </c>
      <c r="B312" s="4" t="s">
        <v>2</v>
      </c>
      <c r="C312" s="4" t="s">
        <v>3</v>
      </c>
      <c r="D312" s="4" t="s">
        <v>4</v>
      </c>
      <c r="E312" s="4" t="s">
        <v>5</v>
      </c>
      <c r="F312" s="8" t="s">
        <v>48</v>
      </c>
      <c r="G312" s="18" t="s">
        <v>49</v>
      </c>
      <c r="H312" s="18" t="s">
        <v>50</v>
      </c>
      <c r="I312" s="18" t="s">
        <v>9</v>
      </c>
      <c r="J312" s="8" t="s">
        <v>10</v>
      </c>
      <c r="K312" s="8" t="s">
        <v>11</v>
      </c>
      <c r="L312" s="18" t="s">
        <v>12</v>
      </c>
      <c r="M312" s="8" t="s">
        <v>13</v>
      </c>
    </row>
    <row r="313" spans="1:13" hidden="1">
      <c r="A313" s="5" t="s">
        <v>6</v>
      </c>
      <c r="B313" s="5">
        <f>C305</f>
        <v>6688744</v>
      </c>
      <c r="C313" s="5">
        <v>6704155</v>
      </c>
      <c r="D313" s="5">
        <f>C313-B313</f>
        <v>15411</v>
      </c>
      <c r="E313" s="6">
        <f>36288.78*1.15</f>
        <v>41732.096999999994</v>
      </c>
      <c r="F313" s="19">
        <v>0</v>
      </c>
      <c r="G313" s="19">
        <f>4117.69*1.15</f>
        <v>4735.343499999999</v>
      </c>
      <c r="H313" s="19">
        <f>2655.9*1.15</f>
        <v>3054.2849999999999</v>
      </c>
      <c r="I313" s="5" t="s">
        <v>76</v>
      </c>
      <c r="J313" s="5">
        <v>30</v>
      </c>
      <c r="K313" s="6">
        <f>(E313+F313)/D313</f>
        <v>2.7079421841541751</v>
      </c>
      <c r="L313" s="5">
        <f>D313/J313</f>
        <v>513.70000000000005</v>
      </c>
      <c r="M313" s="5" t="s">
        <v>15</v>
      </c>
    </row>
    <row r="314" spans="1:13" hidden="1">
      <c r="A314" s="5" t="s">
        <v>7</v>
      </c>
      <c r="B314" s="5"/>
      <c r="C314" s="5"/>
      <c r="D314" s="5">
        <v>20006</v>
      </c>
      <c r="E314" s="6">
        <f>(44539.67-4117.69-2655.9)*1.15</f>
        <v>43430.991999999991</v>
      </c>
      <c r="F314" s="5"/>
      <c r="G314" s="19">
        <f>4117.69*1.15</f>
        <v>4735.343499999999</v>
      </c>
      <c r="H314" s="19">
        <f>2655.9*1.15</f>
        <v>3054.2849999999999</v>
      </c>
      <c r="I314" s="5" t="s">
        <v>76</v>
      </c>
      <c r="J314" s="5">
        <v>30</v>
      </c>
      <c r="K314" s="6">
        <f>E314/D314</f>
        <v>2.1708983305008491</v>
      </c>
      <c r="L314" s="5">
        <f>D314/J314</f>
        <v>666.86666666666667</v>
      </c>
      <c r="M314" s="5" t="s">
        <v>15</v>
      </c>
    </row>
    <row r="315" spans="1:13" hidden="1">
      <c r="A315" s="5" t="s">
        <v>53</v>
      </c>
      <c r="B315" s="5"/>
      <c r="C315" s="5"/>
      <c r="D315" s="5"/>
      <c r="E315" s="6">
        <f>E313+F313+G313+H313</f>
        <v>49521.7255</v>
      </c>
      <c r="F315" s="5"/>
      <c r="G315" s="5"/>
      <c r="H315" s="5"/>
      <c r="I315" s="5"/>
      <c r="J315" s="5"/>
      <c r="K315" s="6"/>
      <c r="L315" s="5"/>
      <c r="M315" s="5"/>
    </row>
    <row r="316" spans="1:13" hidden="1">
      <c r="A316" s="5" t="s">
        <v>54</v>
      </c>
      <c r="B316" s="5"/>
      <c r="C316" s="5"/>
      <c r="D316" s="5"/>
      <c r="E316" s="6">
        <f>E314+F314+G314+H314</f>
        <v>51220.62049999999</v>
      </c>
      <c r="F316" s="5"/>
      <c r="G316" s="5"/>
      <c r="H316" s="5"/>
      <c r="I316" s="5"/>
      <c r="J316" s="5"/>
      <c r="K316" s="6"/>
      <c r="L316" s="5"/>
      <c r="M316" s="5"/>
    </row>
    <row r="317" spans="1:13" hidden="1">
      <c r="A317" s="5" t="s">
        <v>8</v>
      </c>
      <c r="B317" s="5"/>
      <c r="C317" s="5"/>
      <c r="D317" s="5"/>
      <c r="E317" s="6">
        <f>E315-E316</f>
        <v>-1698.8949999999895</v>
      </c>
      <c r="F317" s="5"/>
      <c r="G317" s="5"/>
      <c r="H317" s="5"/>
      <c r="I317" s="5"/>
      <c r="J317" s="5"/>
      <c r="K317" s="5"/>
      <c r="L317" s="5"/>
      <c r="M317" s="5"/>
    </row>
    <row r="318" spans="1:13" hidden="1"/>
    <row r="319" spans="1:13" hidden="1">
      <c r="A319" s="14">
        <v>44531</v>
      </c>
      <c r="E319" s="3"/>
    </row>
    <row r="320" spans="1:13" ht="30" hidden="1">
      <c r="A320" s="4" t="s">
        <v>1</v>
      </c>
      <c r="B320" s="4" t="s">
        <v>2</v>
      </c>
      <c r="C320" s="4" t="s">
        <v>3</v>
      </c>
      <c r="D320" s="4" t="s">
        <v>4</v>
      </c>
      <c r="E320" s="4" t="s">
        <v>5</v>
      </c>
      <c r="F320" s="8" t="s">
        <v>48</v>
      </c>
      <c r="G320" s="18" t="s">
        <v>49</v>
      </c>
      <c r="H320" s="18" t="s">
        <v>50</v>
      </c>
      <c r="I320" s="18" t="s">
        <v>9</v>
      </c>
      <c r="J320" s="8" t="s">
        <v>10</v>
      </c>
      <c r="K320" s="8" t="s">
        <v>11</v>
      </c>
      <c r="L320" s="18" t="s">
        <v>12</v>
      </c>
      <c r="M320" s="8" t="s">
        <v>13</v>
      </c>
    </row>
    <row r="321" spans="1:13" hidden="1">
      <c r="A321" s="5" t="s">
        <v>6</v>
      </c>
      <c r="B321" s="5">
        <f>C313</f>
        <v>6704155</v>
      </c>
      <c r="C321" s="5">
        <v>6717677</v>
      </c>
      <c r="D321" s="5">
        <f>C321-B321</f>
        <v>13522</v>
      </c>
      <c r="E321" s="6">
        <f>24675.42*1.15</f>
        <v>28376.732999999997</v>
      </c>
      <c r="F321" s="19">
        <f>2085.97*1.15</f>
        <v>2398.8654999999994</v>
      </c>
      <c r="G321" s="19">
        <f>3338.95*1.15</f>
        <v>3839.7924999999996</v>
      </c>
      <c r="H321" s="19">
        <f>2085.97*1.15</f>
        <v>2398.8654999999994</v>
      </c>
      <c r="I321" s="5" t="s">
        <v>77</v>
      </c>
      <c r="J321" s="5">
        <v>31</v>
      </c>
      <c r="K321" s="6">
        <f>(E321+F321)/D321</f>
        <v>2.2759649829906814</v>
      </c>
      <c r="L321" s="5">
        <f>D321/J321</f>
        <v>436.19354838709677</v>
      </c>
      <c r="M321" s="5" t="s">
        <v>15</v>
      </c>
    </row>
    <row r="322" spans="1:13" hidden="1">
      <c r="A322" s="5" t="s">
        <v>7</v>
      </c>
      <c r="B322" s="5"/>
      <c r="C322" s="5"/>
      <c r="D322" s="5">
        <v>15405</v>
      </c>
      <c r="E322" s="6">
        <f>(38210.83-2744.43-3338.95)*1.15</f>
        <v>36946.567499999997</v>
      </c>
      <c r="F322" s="5"/>
      <c r="G322" s="19">
        <f>3338.95*1.15</f>
        <v>3839.7924999999996</v>
      </c>
      <c r="H322" s="19">
        <f>2085.97*1.15</f>
        <v>2398.8654999999994</v>
      </c>
      <c r="I322" s="5" t="s">
        <v>77</v>
      </c>
      <c r="J322" s="5">
        <v>31</v>
      </c>
      <c r="K322" s="6">
        <f>E322/D322</f>
        <v>2.3983490749756573</v>
      </c>
      <c r="L322" s="5">
        <f>D322/J322</f>
        <v>496.93548387096774</v>
      </c>
      <c r="M322" s="5" t="s">
        <v>15</v>
      </c>
    </row>
    <row r="323" spans="1:13" hidden="1">
      <c r="A323" s="5" t="s">
        <v>53</v>
      </c>
      <c r="B323" s="5"/>
      <c r="C323" s="5"/>
      <c r="D323" s="5"/>
      <c r="E323" s="6">
        <f>E321+F321+G321+H321</f>
        <v>37014.256499999996</v>
      </c>
      <c r="F323" s="5"/>
      <c r="G323" s="5"/>
      <c r="H323" s="5"/>
      <c r="I323" s="5"/>
      <c r="J323" s="5"/>
      <c r="K323" s="6"/>
      <c r="L323" s="5"/>
      <c r="M323" s="5"/>
    </row>
    <row r="324" spans="1:13" hidden="1">
      <c r="A324" s="5" t="s">
        <v>54</v>
      </c>
      <c r="B324" s="5"/>
      <c r="C324" s="5"/>
      <c r="D324" s="5"/>
      <c r="E324" s="6">
        <f>E322+F322+G322+H322</f>
        <v>43185.2255</v>
      </c>
      <c r="F324" s="5"/>
      <c r="G324" s="5"/>
      <c r="H324" s="5"/>
      <c r="I324" s="5"/>
      <c r="J324" s="5"/>
      <c r="K324" s="6"/>
      <c r="L324" s="5"/>
      <c r="M324" s="5"/>
    </row>
    <row r="325" spans="1:13" hidden="1">
      <c r="A325" s="5" t="s">
        <v>8</v>
      </c>
      <c r="B325" s="5"/>
      <c r="C325" s="5"/>
      <c r="D325" s="5"/>
      <c r="E325" s="6">
        <f>E323-E324</f>
        <v>-6170.9690000000046</v>
      </c>
      <c r="F325" s="5"/>
      <c r="G325" s="5"/>
      <c r="H325" s="5"/>
      <c r="I325" s="5"/>
      <c r="J325" s="5"/>
      <c r="K325" s="5"/>
      <c r="L325" s="5"/>
      <c r="M325" s="5"/>
    </row>
    <row r="327" spans="1:13">
      <c r="A327" s="14">
        <v>44562</v>
      </c>
      <c r="E327" s="3"/>
    </row>
    <row r="328" spans="1:13" ht="30">
      <c r="A328" s="4" t="s">
        <v>1</v>
      </c>
      <c r="B328" s="4" t="s">
        <v>2</v>
      </c>
      <c r="C328" s="4" t="s">
        <v>3</v>
      </c>
      <c r="D328" s="4" t="s">
        <v>4</v>
      </c>
      <c r="E328" s="4" t="s">
        <v>5</v>
      </c>
      <c r="F328" s="8" t="s">
        <v>48</v>
      </c>
      <c r="G328" s="18" t="s">
        <v>49</v>
      </c>
      <c r="H328" s="18" t="s">
        <v>50</v>
      </c>
      <c r="I328" s="18" t="s">
        <v>9</v>
      </c>
      <c r="J328" s="8" t="s">
        <v>10</v>
      </c>
      <c r="K328" s="8" t="s">
        <v>11</v>
      </c>
      <c r="L328" s="18" t="s">
        <v>12</v>
      </c>
      <c r="M328" s="8" t="s">
        <v>13</v>
      </c>
    </row>
    <row r="329" spans="1:13">
      <c r="A329" s="5" t="s">
        <v>6</v>
      </c>
      <c r="B329" s="5">
        <f>C321</f>
        <v>6717677</v>
      </c>
      <c r="C329" s="5">
        <v>6734055</v>
      </c>
      <c r="D329" s="5">
        <f>C329-B329</f>
        <v>16378</v>
      </c>
      <c r="E329" s="6">
        <f>32825.35*1.15</f>
        <v>37749.152499999997</v>
      </c>
      <c r="F329" s="19">
        <v>0</v>
      </c>
      <c r="G329" s="19">
        <f>3071.23*1.15</f>
        <v>3531.9144999999999</v>
      </c>
      <c r="H329" s="19">
        <f>2744.43*1.15</f>
        <v>3156.0944999999997</v>
      </c>
      <c r="I329" s="5" t="s">
        <v>78</v>
      </c>
      <c r="J329" s="5">
        <v>31</v>
      </c>
      <c r="K329" s="6">
        <f>(E329+F329)/D329</f>
        <v>2.3048694895591644</v>
      </c>
      <c r="L329" s="5">
        <f>D329/J329</f>
        <v>528.32258064516134</v>
      </c>
      <c r="M329" s="5" t="s">
        <v>15</v>
      </c>
    </row>
    <row r="330" spans="1:13">
      <c r="A330" s="5" t="s">
        <v>7</v>
      </c>
      <c r="B330" s="5"/>
      <c r="C330" s="5"/>
      <c r="D330" s="5">
        <v>20291</v>
      </c>
      <c r="E330" s="6">
        <f>(42222.61-3071.23-2744.43)*1.15</f>
        <v>41867.992499999993</v>
      </c>
      <c r="F330" s="5"/>
      <c r="G330" s="19">
        <f>3071.23*1.15</f>
        <v>3531.9144999999999</v>
      </c>
      <c r="H330" s="19">
        <f>2744.43*1.15</f>
        <v>3156.0944999999997</v>
      </c>
      <c r="I330" s="5" t="s">
        <v>78</v>
      </c>
      <c r="J330" s="5">
        <v>31</v>
      </c>
      <c r="K330" s="6">
        <f>E330/D330</f>
        <v>2.0633774826277658</v>
      </c>
      <c r="L330" s="5">
        <f>D330/J330</f>
        <v>654.54838709677415</v>
      </c>
      <c r="M330" s="5" t="s">
        <v>15</v>
      </c>
    </row>
    <row r="331" spans="1:13">
      <c r="A331" s="5" t="s">
        <v>53</v>
      </c>
      <c r="B331" s="5"/>
      <c r="C331" s="5"/>
      <c r="D331" s="5"/>
      <c r="E331" s="6">
        <f>E329+F329+G329+H329</f>
        <v>44437.161499999995</v>
      </c>
      <c r="F331" s="5"/>
      <c r="G331" s="5"/>
      <c r="H331" s="5"/>
      <c r="I331" s="5"/>
      <c r="J331" s="5"/>
      <c r="K331" s="6"/>
      <c r="L331" s="5"/>
      <c r="M331" s="5"/>
    </row>
    <row r="332" spans="1:13">
      <c r="A332" s="5" t="s">
        <v>54</v>
      </c>
      <c r="B332" s="5"/>
      <c r="C332" s="5"/>
      <c r="D332" s="5"/>
      <c r="E332" s="6">
        <f>E330+F330+G330+H330</f>
        <v>48556.001499999991</v>
      </c>
      <c r="F332" s="5"/>
      <c r="G332" s="5"/>
      <c r="H332" s="5"/>
      <c r="I332" s="5"/>
      <c r="J332" s="5"/>
      <c r="K332" s="6"/>
      <c r="L332" s="5"/>
      <c r="M332" s="5"/>
    </row>
    <row r="333" spans="1:13">
      <c r="A333" s="5" t="s">
        <v>8</v>
      </c>
      <c r="B333" s="5"/>
      <c r="C333" s="5"/>
      <c r="D333" s="5"/>
      <c r="E333" s="6">
        <f>E331-E332</f>
        <v>-4118.8399999999965</v>
      </c>
      <c r="F333" s="5"/>
      <c r="G333" s="5"/>
      <c r="H333" s="5"/>
      <c r="I333" s="5"/>
      <c r="J333" s="5"/>
      <c r="K333" s="5"/>
      <c r="L333" s="5"/>
      <c r="M333" s="5"/>
    </row>
    <row r="335" spans="1:13">
      <c r="A335" s="14">
        <v>44593</v>
      </c>
      <c r="E335" s="3"/>
    </row>
    <row r="336" spans="1:13" ht="30">
      <c r="A336" s="4" t="s">
        <v>1</v>
      </c>
      <c r="B336" s="4" t="s">
        <v>2</v>
      </c>
      <c r="C336" s="4" t="s">
        <v>3</v>
      </c>
      <c r="D336" s="4" t="s">
        <v>4</v>
      </c>
      <c r="E336" s="4" t="s">
        <v>5</v>
      </c>
      <c r="F336" s="8" t="s">
        <v>48</v>
      </c>
      <c r="G336" s="18" t="s">
        <v>49</v>
      </c>
      <c r="H336" s="18" t="s">
        <v>50</v>
      </c>
      <c r="I336" s="18" t="s">
        <v>9</v>
      </c>
      <c r="J336" s="8" t="s">
        <v>10</v>
      </c>
      <c r="K336" s="8" t="s">
        <v>11</v>
      </c>
      <c r="L336" s="18" t="s">
        <v>12</v>
      </c>
      <c r="M336" s="8" t="s">
        <v>13</v>
      </c>
    </row>
    <row r="337" spans="1:13">
      <c r="A337" s="5" t="s">
        <v>6</v>
      </c>
      <c r="B337" s="5">
        <f>C329</f>
        <v>6734055</v>
      </c>
      <c r="C337" s="5">
        <v>6749705</v>
      </c>
      <c r="D337" s="5">
        <f>C337-B337</f>
        <v>15650</v>
      </c>
      <c r="E337" s="6">
        <f>30972.92*1.15</f>
        <v>35618.857999999993</v>
      </c>
      <c r="F337" s="19">
        <v>0</v>
      </c>
      <c r="G337" s="19">
        <f>3298.07*1.15</f>
        <v>3792.7804999999998</v>
      </c>
      <c r="H337" s="19">
        <f>2478.84*1.15</f>
        <v>2850.6660000000002</v>
      </c>
      <c r="I337" s="5" t="s">
        <v>79</v>
      </c>
      <c r="J337" s="5">
        <v>28</v>
      </c>
      <c r="K337" s="6">
        <f>(E337+F337)/D337</f>
        <v>2.2759653674121401</v>
      </c>
      <c r="L337" s="5">
        <f>D337/J337</f>
        <v>558.92857142857144</v>
      </c>
      <c r="M337" s="5" t="s">
        <v>15</v>
      </c>
    </row>
    <row r="338" spans="1:13">
      <c r="A338" s="5" t="s">
        <v>7</v>
      </c>
      <c r="B338" s="5"/>
      <c r="C338" s="5"/>
      <c r="D338" s="5">
        <v>17009</v>
      </c>
      <c r="E338" s="6">
        <f>(39309.25-3298.07-2478.84)*1.15</f>
        <v>38562.190999999992</v>
      </c>
      <c r="F338" s="5"/>
      <c r="G338" s="19">
        <f>3298.07*1.15</f>
        <v>3792.7804999999998</v>
      </c>
      <c r="H338" s="19">
        <f>2478.84*1.15</f>
        <v>2850.6660000000002</v>
      </c>
      <c r="I338" s="5" t="s">
        <v>79</v>
      </c>
      <c r="J338" s="5">
        <v>28</v>
      </c>
      <c r="K338" s="6">
        <f>E338/D338</f>
        <v>2.2671639132224111</v>
      </c>
      <c r="L338" s="5">
        <f>D338/J338</f>
        <v>607.46428571428567</v>
      </c>
      <c r="M338" s="5" t="s">
        <v>15</v>
      </c>
    </row>
    <row r="339" spans="1:13">
      <c r="A339" s="5" t="s">
        <v>53</v>
      </c>
      <c r="B339" s="5"/>
      <c r="C339" s="5"/>
      <c r="D339" s="5"/>
      <c r="E339" s="6">
        <f>E337+F337+G337+H337</f>
        <v>42262.304499999991</v>
      </c>
      <c r="F339" s="5"/>
      <c r="G339" s="5"/>
      <c r="H339" s="5"/>
      <c r="I339" s="5"/>
      <c r="J339" s="5"/>
      <c r="K339" s="6"/>
      <c r="L339" s="5"/>
      <c r="M339" s="5"/>
    </row>
    <row r="340" spans="1:13">
      <c r="A340" s="5" t="s">
        <v>54</v>
      </c>
      <c r="B340" s="5"/>
      <c r="C340" s="5"/>
      <c r="D340" s="5"/>
      <c r="E340" s="6">
        <f>E338+F338+G338+H338</f>
        <v>45205.63749999999</v>
      </c>
      <c r="F340" s="5"/>
      <c r="G340" s="5"/>
      <c r="H340" s="5"/>
      <c r="I340" s="5"/>
      <c r="J340" s="5"/>
      <c r="K340" s="6"/>
      <c r="L340" s="5"/>
      <c r="M340" s="5"/>
    </row>
    <row r="341" spans="1:13">
      <c r="A341" s="5" t="s">
        <v>8</v>
      </c>
      <c r="B341" s="5"/>
      <c r="C341" s="5"/>
      <c r="D341" s="5"/>
      <c r="E341" s="6">
        <f>E339-E340</f>
        <v>-2943.3329999999987</v>
      </c>
      <c r="F341" s="5"/>
      <c r="G341" s="5"/>
      <c r="H341" s="5"/>
      <c r="I341" s="5"/>
      <c r="J341" s="5"/>
      <c r="K341" s="5"/>
      <c r="L341" s="5"/>
      <c r="M341" s="5"/>
    </row>
    <row r="343" spans="1:13">
      <c r="A343" s="14">
        <v>44621</v>
      </c>
      <c r="E343" s="3"/>
    </row>
    <row r="344" spans="1:13" ht="30">
      <c r="A344" s="4" t="s">
        <v>1</v>
      </c>
      <c r="B344" s="4" t="s">
        <v>2</v>
      </c>
      <c r="C344" s="4" t="s">
        <v>3</v>
      </c>
      <c r="D344" s="4" t="s">
        <v>4</v>
      </c>
      <c r="E344" s="4" t="s">
        <v>5</v>
      </c>
      <c r="F344" s="8" t="s">
        <v>48</v>
      </c>
      <c r="G344" s="18" t="s">
        <v>49</v>
      </c>
      <c r="H344" s="18" t="s">
        <v>50</v>
      </c>
      <c r="I344" s="18" t="s">
        <v>9</v>
      </c>
      <c r="J344" s="8" t="s">
        <v>10</v>
      </c>
      <c r="K344" s="8" t="s">
        <v>11</v>
      </c>
      <c r="L344" s="18" t="s">
        <v>12</v>
      </c>
      <c r="M344" s="8" t="s">
        <v>13</v>
      </c>
    </row>
    <row r="345" spans="1:13">
      <c r="A345" s="5" t="s">
        <v>6</v>
      </c>
      <c r="B345" s="5">
        <f>C337</f>
        <v>6749705</v>
      </c>
      <c r="C345" s="5">
        <v>6765066</v>
      </c>
      <c r="D345" s="5">
        <f>C345-B345</f>
        <v>15361</v>
      </c>
      <c r="E345" s="6">
        <f>28997.77*1.15</f>
        <v>33347.4355</v>
      </c>
      <c r="F345" s="19">
        <f>1403.18*1.15</f>
        <v>1613.6569999999999</v>
      </c>
      <c r="G345" s="19">
        <f>2612.45*1.15</f>
        <v>3004.3174999999997</v>
      </c>
      <c r="H345" s="19">
        <f>2744.43*1.15</f>
        <v>3156.0944999999997</v>
      </c>
      <c r="I345" s="5" t="s">
        <v>80</v>
      </c>
      <c r="J345" s="5">
        <v>31</v>
      </c>
      <c r="K345" s="6">
        <f>(E345+F345)/D345</f>
        <v>2.2759646181889197</v>
      </c>
      <c r="L345" s="5">
        <f>D345/J345</f>
        <v>495.51612903225805</v>
      </c>
      <c r="M345" s="5" t="s">
        <v>15</v>
      </c>
    </row>
    <row r="346" spans="1:13">
      <c r="A346" s="5" t="s">
        <v>7</v>
      </c>
      <c r="B346" s="5"/>
      <c r="C346" s="5"/>
      <c r="D346" s="5">
        <v>17803</v>
      </c>
      <c r="E346" s="6">
        <f>(38641.59-2612.45-2744.43)*1.15</f>
        <v>38277.416499999999</v>
      </c>
      <c r="F346" s="5"/>
      <c r="G346" s="19">
        <f>2612.45*1.15</f>
        <v>3004.3174999999997</v>
      </c>
      <c r="H346" s="19">
        <f>2744.43*1.15</f>
        <v>3156.0944999999997</v>
      </c>
      <c r="I346" s="5" t="s">
        <v>81</v>
      </c>
      <c r="J346" s="5">
        <v>31</v>
      </c>
      <c r="K346" s="6">
        <f>E346/D346</f>
        <v>2.1500542886030445</v>
      </c>
      <c r="L346" s="5">
        <f>D346/J346</f>
        <v>574.29032258064512</v>
      </c>
      <c r="M346" s="5" t="s">
        <v>15</v>
      </c>
    </row>
    <row r="347" spans="1:13">
      <c r="A347" s="5" t="s">
        <v>53</v>
      </c>
      <c r="B347" s="5"/>
      <c r="C347" s="5"/>
      <c r="D347" s="5"/>
      <c r="E347" s="6">
        <f>E345+F345+G345+H345</f>
        <v>41121.504499999995</v>
      </c>
      <c r="F347" s="5"/>
      <c r="G347" s="5"/>
      <c r="H347" s="5"/>
      <c r="I347" s="5"/>
      <c r="J347" s="5"/>
      <c r="K347" s="6"/>
      <c r="L347" s="5"/>
      <c r="M347" s="5"/>
    </row>
    <row r="348" spans="1:13">
      <c r="A348" s="5" t="s">
        <v>54</v>
      </c>
      <c r="B348" s="5"/>
      <c r="C348" s="5"/>
      <c r="D348" s="5"/>
      <c r="E348" s="6">
        <f>E346+F346+G346+H346</f>
        <v>44437.828499999996</v>
      </c>
      <c r="F348" s="5"/>
      <c r="G348" s="5"/>
      <c r="H348" s="5"/>
      <c r="I348" s="5"/>
      <c r="J348" s="5"/>
      <c r="K348" s="6"/>
      <c r="L348" s="5"/>
      <c r="M348" s="5"/>
    </row>
    <row r="349" spans="1:13">
      <c r="A349" s="5" t="s">
        <v>8</v>
      </c>
      <c r="B349" s="5"/>
      <c r="C349" s="5"/>
      <c r="D349" s="5"/>
      <c r="E349" s="6">
        <f>E347-E348</f>
        <v>-3316.3240000000005</v>
      </c>
      <c r="F349" s="5"/>
      <c r="G349" s="5"/>
      <c r="H349" s="5"/>
      <c r="I349" s="5"/>
      <c r="J349" s="5"/>
      <c r="K349" s="5"/>
      <c r="L349" s="5"/>
      <c r="M349" s="5"/>
    </row>
    <row r="351" spans="1:13">
      <c r="A351" s="14">
        <v>44652</v>
      </c>
      <c r="E351" s="3"/>
    </row>
    <row r="352" spans="1:13" ht="30.75">
      <c r="A352" s="4" t="s">
        <v>1</v>
      </c>
      <c r="B352" s="4" t="s">
        <v>2</v>
      </c>
      <c r="C352" s="4" t="s">
        <v>3</v>
      </c>
      <c r="D352" s="4" t="s">
        <v>4</v>
      </c>
      <c r="E352" s="4" t="s">
        <v>5</v>
      </c>
      <c r="F352" s="8" t="s">
        <v>48</v>
      </c>
      <c r="G352" s="18" t="s">
        <v>49</v>
      </c>
      <c r="H352" s="18" t="s">
        <v>50</v>
      </c>
      <c r="I352" s="18" t="s">
        <v>9</v>
      </c>
      <c r="J352" s="8" t="s">
        <v>10</v>
      </c>
      <c r="K352" s="8" t="s">
        <v>11</v>
      </c>
      <c r="L352" s="18" t="s">
        <v>12</v>
      </c>
      <c r="M352" s="8" t="s">
        <v>13</v>
      </c>
    </row>
    <row r="353" spans="1:13">
      <c r="A353" s="5" t="s">
        <v>6</v>
      </c>
      <c r="B353" s="5">
        <f>C345</f>
        <v>6765066</v>
      </c>
      <c r="C353" s="5">
        <v>6775133</v>
      </c>
      <c r="D353" s="5">
        <f>C353-B353</f>
        <v>10067</v>
      </c>
      <c r="E353" s="6">
        <f>19872.14*1.15</f>
        <v>22852.960999999999</v>
      </c>
      <c r="F353" s="19">
        <f>51.4566000000013*1.15</f>
        <v>59.175090000001489</v>
      </c>
      <c r="G353" s="19">
        <f>2073.53*1.15</f>
        <v>2384.5594999999998</v>
      </c>
      <c r="H353" s="19">
        <f>2911.2*1.15</f>
        <v>3347.8799999999997</v>
      </c>
      <c r="I353" s="5" t="s">
        <v>82</v>
      </c>
      <c r="J353" s="5">
        <v>30</v>
      </c>
      <c r="K353" s="6">
        <f>(E353+F353)/D353</f>
        <v>2.2759646458726532</v>
      </c>
      <c r="L353" s="5">
        <f>D353/J353</f>
        <v>335.56666666666666</v>
      </c>
      <c r="M353" s="5" t="s">
        <v>15</v>
      </c>
    </row>
    <row r="354" spans="1:13">
      <c r="A354" s="5" t="s">
        <v>7</v>
      </c>
      <c r="B354" s="5"/>
      <c r="C354" s="5"/>
      <c r="D354" s="5">
        <v>12839</v>
      </c>
      <c r="E354" s="6">
        <f>(34980.6-2911.2-2073.53)*1.15</f>
        <v>34495.250499999995</v>
      </c>
      <c r="F354" s="5"/>
      <c r="G354" s="19">
        <f>2073.53*1.15</f>
        <v>2384.5594999999998</v>
      </c>
      <c r="H354" s="19">
        <f>2911.2*1.15</f>
        <v>3347.8799999999997</v>
      </c>
      <c r="I354" s="5" t="s">
        <v>83</v>
      </c>
      <c r="J354" s="5">
        <v>30</v>
      </c>
      <c r="K354" s="6">
        <f>E354/D354</f>
        <v>2.6867552379468802</v>
      </c>
      <c r="L354" s="5">
        <f>D354/J354</f>
        <v>427.96666666666664</v>
      </c>
      <c r="M354" s="5" t="s">
        <v>15</v>
      </c>
    </row>
    <row r="355" spans="1:13">
      <c r="A355" s="5" t="s">
        <v>53</v>
      </c>
      <c r="B355" s="5"/>
      <c r="C355" s="5"/>
      <c r="D355" s="5"/>
      <c r="E355" s="6">
        <f>E353+F353+G353+H353</f>
        <v>28644.57559</v>
      </c>
      <c r="F355" s="5"/>
      <c r="G355" s="5"/>
      <c r="H355" s="5"/>
      <c r="I355" s="5"/>
      <c r="J355" s="5"/>
      <c r="K355" s="6"/>
      <c r="L355" s="5"/>
      <c r="M355" s="5"/>
    </row>
    <row r="356" spans="1:13">
      <c r="A356" s="5" t="s">
        <v>54</v>
      </c>
      <c r="B356" s="5"/>
      <c r="C356" s="5"/>
      <c r="D356" s="5"/>
      <c r="E356" s="6">
        <f>E354+F354+G354+H354</f>
        <v>40227.689999999995</v>
      </c>
      <c r="F356" s="5"/>
      <c r="G356" s="5"/>
      <c r="H356" s="5"/>
      <c r="I356" s="5"/>
      <c r="J356" s="5"/>
      <c r="K356" s="6"/>
      <c r="L356" s="5"/>
      <c r="M356" s="5"/>
    </row>
    <row r="357" spans="1:13">
      <c r="A357" s="5" t="s">
        <v>8</v>
      </c>
      <c r="B357" s="5"/>
      <c r="C357" s="5"/>
      <c r="D357" s="5"/>
      <c r="E357" s="6">
        <f>E355-E356</f>
        <v>-11583.114409999995</v>
      </c>
      <c r="F357" s="5"/>
      <c r="G357" s="5"/>
      <c r="H357" s="5"/>
      <c r="I357" s="5"/>
      <c r="J357" s="5"/>
      <c r="K357" s="5"/>
      <c r="L357" s="5"/>
      <c r="M357" s="5"/>
    </row>
    <row r="359" spans="1:13">
      <c r="A359" s="14">
        <v>44682</v>
      </c>
      <c r="E359" s="3"/>
    </row>
    <row r="360" spans="1:13" ht="30.75">
      <c r="A360" s="4" t="s">
        <v>1</v>
      </c>
      <c r="B360" s="4" t="s">
        <v>2</v>
      </c>
      <c r="C360" s="4" t="s">
        <v>3</v>
      </c>
      <c r="D360" s="4" t="s">
        <v>4</v>
      </c>
      <c r="E360" s="4" t="s">
        <v>5</v>
      </c>
      <c r="F360" s="8" t="s">
        <v>48</v>
      </c>
      <c r="G360" s="18" t="s">
        <v>49</v>
      </c>
      <c r="H360" s="18" t="s">
        <v>50</v>
      </c>
      <c r="I360" s="18" t="s">
        <v>9</v>
      </c>
      <c r="J360" s="8" t="s">
        <v>10</v>
      </c>
      <c r="K360" s="8" t="s">
        <v>11</v>
      </c>
      <c r="L360" s="18" t="s">
        <v>12</v>
      </c>
      <c r="M360" s="8" t="s">
        <v>13</v>
      </c>
    </row>
    <row r="361" spans="1:13">
      <c r="A361" s="5" t="s">
        <v>6</v>
      </c>
      <c r="B361" s="5">
        <f>C353</f>
        <v>6775133</v>
      </c>
      <c r="C361" s="5">
        <v>6786568</v>
      </c>
      <c r="D361" s="5">
        <f>C361-B361</f>
        <v>11435</v>
      </c>
      <c r="E361" s="6">
        <f>22631.01*1.15</f>
        <v>26025.661499999995</v>
      </c>
      <c r="F361" s="19">
        <v>0</v>
      </c>
      <c r="G361" s="19">
        <f>2058.59*1.15</f>
        <v>2367.3784999999998</v>
      </c>
      <c r="H361" s="19">
        <f>3008.24*1.15</f>
        <v>3459.4759999999997</v>
      </c>
      <c r="I361" s="5" t="s">
        <v>84</v>
      </c>
      <c r="J361" s="5">
        <v>31</v>
      </c>
      <c r="K361" s="6">
        <f>(E361+F361)/D361</f>
        <v>2.2759651508526448</v>
      </c>
      <c r="L361" s="5">
        <f>D361/J361</f>
        <v>368.87096774193549</v>
      </c>
      <c r="M361" s="5" t="s">
        <v>15</v>
      </c>
    </row>
    <row r="362" spans="1:13">
      <c r="A362" s="5" t="s">
        <v>7</v>
      </c>
      <c r="B362" s="5"/>
      <c r="C362" s="5"/>
      <c r="D362" s="5">
        <v>15054</v>
      </c>
      <c r="E362" s="6">
        <f>(37408.61-2058.59-3008.24)*1.15</f>
        <v>37193.047000000006</v>
      </c>
      <c r="F362" s="5"/>
      <c r="G362" s="19">
        <f>2058.59*1.15</f>
        <v>2367.3784999999998</v>
      </c>
      <c r="H362" s="19">
        <f>3008.24*1.15</f>
        <v>3459.4759999999997</v>
      </c>
      <c r="I362" s="5" t="s">
        <v>85</v>
      </c>
      <c r="J362" s="5">
        <v>31</v>
      </c>
      <c r="K362" s="6">
        <f>E362/D362</f>
        <v>2.4706421549089947</v>
      </c>
      <c r="L362" s="5">
        <f>D362/J362</f>
        <v>485.61290322580646</v>
      </c>
      <c r="M362" s="5" t="s">
        <v>15</v>
      </c>
    </row>
    <row r="363" spans="1:13">
      <c r="A363" s="5" t="s">
        <v>53</v>
      </c>
      <c r="B363" s="5"/>
      <c r="C363" s="5"/>
      <c r="D363" s="5"/>
      <c r="E363" s="6">
        <f>E361+F361+G361+H361</f>
        <v>31852.515999999992</v>
      </c>
      <c r="F363" s="5"/>
      <c r="G363" s="5"/>
      <c r="H363" s="5"/>
      <c r="I363" s="5"/>
      <c r="J363" s="5"/>
      <c r="K363" s="6"/>
      <c r="L363" s="5"/>
      <c r="M363" s="5"/>
    </row>
    <row r="364" spans="1:13">
      <c r="A364" s="5" t="s">
        <v>54</v>
      </c>
      <c r="B364" s="5"/>
      <c r="C364" s="5"/>
      <c r="D364" s="5"/>
      <c r="E364" s="6">
        <f>E362+F362+G362+H362</f>
        <v>43019.901500000007</v>
      </c>
      <c r="F364" s="5"/>
      <c r="G364" s="5"/>
      <c r="H364" s="5"/>
      <c r="I364" s="5"/>
      <c r="J364" s="5"/>
      <c r="K364" s="6"/>
      <c r="L364" s="5"/>
      <c r="M364" s="5"/>
    </row>
    <row r="365" spans="1:13">
      <c r="A365" s="5" t="s">
        <v>8</v>
      </c>
      <c r="B365" s="5"/>
      <c r="C365" s="5"/>
      <c r="D365" s="5"/>
      <c r="E365" s="6">
        <f>E363-E364</f>
        <v>-11167.385500000015</v>
      </c>
      <c r="F365" s="5"/>
      <c r="G365" s="5"/>
      <c r="H365" s="5"/>
      <c r="I365" s="5"/>
      <c r="J365" s="5"/>
      <c r="K365" s="5"/>
      <c r="L365" s="5"/>
      <c r="M365" s="5"/>
    </row>
    <row r="367" spans="1:13">
      <c r="A367" s="14">
        <v>44713</v>
      </c>
      <c r="E367" s="3"/>
    </row>
    <row r="368" spans="1:13" ht="30.75">
      <c r="A368" s="4" t="s">
        <v>1</v>
      </c>
      <c r="B368" s="4" t="s">
        <v>2</v>
      </c>
      <c r="C368" s="4" t="s">
        <v>3</v>
      </c>
      <c r="D368" s="4" t="s">
        <v>4</v>
      </c>
      <c r="E368" s="4" t="s">
        <v>5</v>
      </c>
      <c r="F368" s="8" t="s">
        <v>48</v>
      </c>
      <c r="G368" s="18" t="s">
        <v>49</v>
      </c>
      <c r="H368" s="18" t="s">
        <v>50</v>
      </c>
      <c r="I368" s="18" t="s">
        <v>9</v>
      </c>
      <c r="J368" s="8" t="s">
        <v>10</v>
      </c>
      <c r="K368" s="8" t="s">
        <v>11</v>
      </c>
      <c r="L368" s="18" t="s">
        <v>12</v>
      </c>
      <c r="M368" s="8" t="s">
        <v>13</v>
      </c>
    </row>
    <row r="369" spans="1:13">
      <c r="A369" s="5" t="s">
        <v>6</v>
      </c>
      <c r="B369" s="5">
        <f>C361</f>
        <v>6786568</v>
      </c>
      <c r="C369" s="5">
        <v>6800611</v>
      </c>
      <c r="D369" s="5">
        <f>C369-B369</f>
        <v>14043</v>
      </c>
      <c r="E369" s="6">
        <f>27772.71*1.15</f>
        <v>31938.616499999996</v>
      </c>
      <c r="F369" s="19">
        <f>19.79*1.15</f>
        <v>22.758499999999998</v>
      </c>
      <c r="G369" s="19">
        <f>22386.32*1.15</f>
        <v>25744.267999999996</v>
      </c>
      <c r="H369" s="19">
        <f>2911.2*1.15</f>
        <v>3347.8799999999997</v>
      </c>
      <c r="I369" s="5" t="s">
        <v>86</v>
      </c>
      <c r="J369" s="5">
        <v>30</v>
      </c>
      <c r="K369" s="6">
        <f>(E369+F369)/D369</f>
        <v>2.275964893541266</v>
      </c>
      <c r="L369" s="5">
        <f>D369/J369</f>
        <v>468.1</v>
      </c>
      <c r="M369" s="5" t="s">
        <v>15</v>
      </c>
    </row>
    <row r="370" spans="1:13">
      <c r="A370" s="5" t="s">
        <v>7</v>
      </c>
      <c r="B370" s="5"/>
      <c r="C370" s="5"/>
      <c r="D370" s="5">
        <v>17044</v>
      </c>
      <c r="E370" s="6">
        <f>(65314.94-22386.32-2911.2)*1.15</f>
        <v>46020.033000000003</v>
      </c>
      <c r="F370" s="5"/>
      <c r="G370" s="19">
        <f>22386.32*1.15</f>
        <v>25744.267999999996</v>
      </c>
      <c r="H370" s="19">
        <f>2911.2*1.15</f>
        <v>3347.8799999999997</v>
      </c>
      <c r="I370" s="5" t="s">
        <v>87</v>
      </c>
      <c r="J370" s="5">
        <v>30</v>
      </c>
      <c r="K370" s="6">
        <f>E370/D370</f>
        <v>2.7000723421731991</v>
      </c>
      <c r="L370" s="5">
        <f>D370/J370</f>
        <v>568.13333333333333</v>
      </c>
      <c r="M370" s="5" t="s">
        <v>15</v>
      </c>
    </row>
    <row r="371" spans="1:13">
      <c r="A371" s="5" t="s">
        <v>53</v>
      </c>
      <c r="B371" s="5"/>
      <c r="C371" s="5"/>
      <c r="D371" s="5"/>
      <c r="E371" s="6">
        <f>E369+F369+G369+H369</f>
        <v>61053.522999999994</v>
      </c>
      <c r="F371" s="5"/>
      <c r="G371" s="5"/>
      <c r="H371" s="5"/>
      <c r="I371" s="5"/>
      <c r="J371" s="5"/>
      <c r="K371" s="6"/>
      <c r="L371" s="5"/>
      <c r="M371" s="5"/>
    </row>
    <row r="372" spans="1:13">
      <c r="A372" s="5" t="s">
        <v>54</v>
      </c>
      <c r="B372" s="5"/>
      <c r="C372" s="5"/>
      <c r="D372" s="5"/>
      <c r="E372" s="6">
        <f>E370+F370+G370+H370</f>
        <v>75112.181000000011</v>
      </c>
      <c r="F372" s="5"/>
      <c r="G372" s="5"/>
      <c r="H372" s="5"/>
      <c r="I372" s="5"/>
      <c r="J372" s="5"/>
      <c r="K372" s="6"/>
      <c r="L372" s="5"/>
      <c r="M372" s="5"/>
    </row>
    <row r="373" spans="1:13">
      <c r="A373" s="5" t="s">
        <v>8</v>
      </c>
      <c r="B373" s="5"/>
      <c r="C373" s="5"/>
      <c r="D373" s="5"/>
      <c r="E373" s="6">
        <f>E371-E372</f>
        <v>-14058.658000000018</v>
      </c>
      <c r="F373" s="5"/>
      <c r="G373" s="5"/>
      <c r="H373" s="5"/>
      <c r="I373" s="5"/>
      <c r="J373" s="5"/>
      <c r="K373" s="5"/>
      <c r="L373" s="5"/>
      <c r="M373" s="5"/>
    </row>
    <row r="375" spans="1:13">
      <c r="A375" s="14">
        <v>44743</v>
      </c>
      <c r="E375" s="3"/>
    </row>
    <row r="376" spans="1:13" ht="30.75">
      <c r="A376" s="4" t="s">
        <v>1</v>
      </c>
      <c r="B376" s="4" t="s">
        <v>2</v>
      </c>
      <c r="C376" s="4" t="s">
        <v>3</v>
      </c>
      <c r="D376" s="4" t="s">
        <v>4</v>
      </c>
      <c r="E376" s="4" t="s">
        <v>5</v>
      </c>
      <c r="F376" s="8" t="s">
        <v>48</v>
      </c>
      <c r="G376" s="18" t="s">
        <v>49</v>
      </c>
      <c r="H376" s="18" t="s">
        <v>50</v>
      </c>
      <c r="I376" s="18" t="s">
        <v>9</v>
      </c>
      <c r="J376" s="8" t="s">
        <v>10</v>
      </c>
      <c r="K376" s="8" t="s">
        <v>11</v>
      </c>
      <c r="L376" s="18" t="s">
        <v>12</v>
      </c>
      <c r="M376" s="8" t="s">
        <v>13</v>
      </c>
    </row>
    <row r="377" spans="1:13">
      <c r="A377" s="5" t="s">
        <v>6</v>
      </c>
      <c r="B377" s="5">
        <f>C369</f>
        <v>6800611</v>
      </c>
      <c r="C377" s="5">
        <v>6817920</v>
      </c>
      <c r="D377" s="5">
        <f>C377-B377</f>
        <v>17309</v>
      </c>
      <c r="E377" s="6">
        <f>34256.24*1.15</f>
        <v>39394.675999999992</v>
      </c>
      <c r="F377" s="19">
        <v>0</v>
      </c>
      <c r="G377" s="19">
        <f>19846.37*1.15</f>
        <v>22823.325499999995</v>
      </c>
      <c r="H377" s="19">
        <f>3008.24*1.15</f>
        <v>3459.4759999999997</v>
      </c>
      <c r="I377" s="5" t="s">
        <v>88</v>
      </c>
      <c r="J377" s="5">
        <v>32</v>
      </c>
      <c r="K377" s="6">
        <f>(E377+F377)/D377</f>
        <v>2.2759648737650928</v>
      </c>
      <c r="L377" s="5">
        <f>D377/J377</f>
        <v>540.90625</v>
      </c>
      <c r="M377" s="5" t="s">
        <v>15</v>
      </c>
    </row>
    <row r="378" spans="1:13">
      <c r="A378" s="5" t="s">
        <v>7</v>
      </c>
      <c r="B378" s="5"/>
      <c r="C378" s="5"/>
      <c r="D378" s="5">
        <v>15213</v>
      </c>
      <c r="E378" s="6">
        <f>(59983.55-19846.37-3008.24)*1.15</f>
        <v>42698.28100000001</v>
      </c>
      <c r="F378" s="5"/>
      <c r="G378" s="19">
        <f>19846.37*1.15</f>
        <v>22823.325499999995</v>
      </c>
      <c r="H378" s="19">
        <f>3008.24*1.15</f>
        <v>3459.4759999999997</v>
      </c>
      <c r="I378" s="5" t="s">
        <v>89</v>
      </c>
      <c r="J378" s="5">
        <v>31</v>
      </c>
      <c r="K378" s="6">
        <f>E378/D378</f>
        <v>2.8066969696969704</v>
      </c>
      <c r="L378" s="5">
        <f>D378/J378</f>
        <v>490.74193548387098</v>
      </c>
      <c r="M378" s="5" t="s">
        <v>15</v>
      </c>
    </row>
    <row r="379" spans="1:13">
      <c r="A379" s="5" t="s">
        <v>53</v>
      </c>
      <c r="B379" s="5"/>
      <c r="C379" s="5"/>
      <c r="D379" s="5"/>
      <c r="E379" s="6">
        <f>E377+F377+G377+H377</f>
        <v>65677.477499999979</v>
      </c>
      <c r="F379" s="5"/>
      <c r="G379" s="5"/>
      <c r="H379" s="5"/>
      <c r="I379" s="5"/>
      <c r="J379" s="5"/>
      <c r="K379" s="6"/>
      <c r="L379" s="5"/>
      <c r="M379" s="5"/>
    </row>
    <row r="380" spans="1:13">
      <c r="A380" s="5" t="s">
        <v>54</v>
      </c>
      <c r="B380" s="5"/>
      <c r="C380" s="5"/>
      <c r="D380" s="5"/>
      <c r="E380" s="6">
        <f>E378+F378+G378+H378</f>
        <v>68981.082500000004</v>
      </c>
      <c r="F380" s="5"/>
      <c r="G380" s="5"/>
      <c r="H380" s="5"/>
      <c r="I380" s="5"/>
      <c r="J380" s="5"/>
      <c r="K380" s="6"/>
      <c r="L380" s="5"/>
      <c r="M380" s="5"/>
    </row>
    <row r="381" spans="1:13">
      <c r="A381" s="5" t="s">
        <v>8</v>
      </c>
      <c r="B381" s="5"/>
      <c r="C381" s="5"/>
      <c r="D381" s="5"/>
      <c r="E381" s="6">
        <f>E379-E380</f>
        <v>-3303.605000000025</v>
      </c>
      <c r="F381" s="5"/>
      <c r="G381" s="5"/>
      <c r="H381" s="5"/>
      <c r="I381" s="5"/>
      <c r="J381" s="5"/>
      <c r="K381" s="5"/>
      <c r="L381" s="5"/>
      <c r="M381" s="5"/>
    </row>
    <row r="383" spans="1:13">
      <c r="A383" s="14">
        <v>44774</v>
      </c>
      <c r="E383" s="3"/>
    </row>
    <row r="384" spans="1:13" ht="30.75">
      <c r="A384" s="4" t="s">
        <v>1</v>
      </c>
      <c r="B384" s="4" t="s">
        <v>2</v>
      </c>
      <c r="C384" s="4" t="s">
        <v>3</v>
      </c>
      <c r="D384" s="4" t="s">
        <v>4</v>
      </c>
      <c r="E384" s="4" t="s">
        <v>5</v>
      </c>
      <c r="F384" s="8" t="s">
        <v>48</v>
      </c>
      <c r="G384" s="18" t="s">
        <v>49</v>
      </c>
      <c r="H384" s="18" t="s">
        <v>50</v>
      </c>
      <c r="I384" s="18" t="s">
        <v>9</v>
      </c>
      <c r="J384" s="8" t="s">
        <v>10</v>
      </c>
      <c r="K384" s="8" t="s">
        <v>11</v>
      </c>
      <c r="L384" s="18" t="s">
        <v>12</v>
      </c>
      <c r="M384" s="8" t="s">
        <v>13</v>
      </c>
    </row>
    <row r="385" spans="1:13">
      <c r="A385" s="5" t="s">
        <v>6</v>
      </c>
      <c r="B385" s="5">
        <f>C377</f>
        <v>6817920</v>
      </c>
      <c r="C385" s="5">
        <v>6826488</v>
      </c>
      <c r="D385" s="5">
        <f>C385-B385</f>
        <v>8568</v>
      </c>
      <c r="E385" s="6">
        <f>21758.23*1.15</f>
        <v>25021.964499999998</v>
      </c>
      <c r="F385" s="19">
        <v>0</v>
      </c>
      <c r="G385" s="19">
        <f>19300.71*1.15</f>
        <v>22195.816499999997</v>
      </c>
      <c r="H385" s="19">
        <f>3008.24*1.15</f>
        <v>3459.4759999999997</v>
      </c>
      <c r="I385" s="5" t="s">
        <v>90</v>
      </c>
      <c r="J385" s="5">
        <v>31</v>
      </c>
      <c r="K385" s="6">
        <f>(E385+F385)/D385</f>
        <v>2.9203973506069092</v>
      </c>
      <c r="L385" s="5">
        <f>D385/J385</f>
        <v>276.38709677419354</v>
      </c>
      <c r="M385" s="5" t="s">
        <v>15</v>
      </c>
    </row>
    <row r="386" spans="1:13">
      <c r="A386" s="5" t="s">
        <v>7</v>
      </c>
      <c r="B386" s="5"/>
      <c r="C386" s="5"/>
      <c r="D386" s="5">
        <v>15728</v>
      </c>
      <c r="E386" s="6">
        <f>(60000.64-19300.71-3008.24)*1.15</f>
        <v>43345.443500000001</v>
      </c>
      <c r="F386" s="5"/>
      <c r="G386" s="19">
        <f>19300.71*1.15</f>
        <v>22195.816499999997</v>
      </c>
      <c r="H386" s="19">
        <f>3008.24*1.15</f>
        <v>3459.4759999999997</v>
      </c>
      <c r="I386" s="5" t="s">
        <v>90</v>
      </c>
      <c r="J386" s="5">
        <v>31</v>
      </c>
      <c r="K386" s="6">
        <f>E386/D386</f>
        <v>2.7559412194811803</v>
      </c>
      <c r="L386" s="5">
        <f>D386/J386</f>
        <v>507.35483870967744</v>
      </c>
      <c r="M386" s="5" t="s">
        <v>15</v>
      </c>
    </row>
    <row r="387" spans="1:13">
      <c r="A387" s="5" t="s">
        <v>53</v>
      </c>
      <c r="B387" s="5"/>
      <c r="C387" s="5"/>
      <c r="D387" s="5"/>
      <c r="E387" s="6">
        <f>E385+F385+G385+H385</f>
        <v>50677.256999999998</v>
      </c>
      <c r="F387" s="5"/>
      <c r="G387" s="5"/>
      <c r="H387" s="5"/>
      <c r="I387" s="5"/>
      <c r="J387" s="5"/>
      <c r="K387" s="6"/>
      <c r="L387" s="5"/>
      <c r="M387" s="5"/>
    </row>
    <row r="388" spans="1:13">
      <c r="A388" s="5" t="s">
        <v>54</v>
      </c>
      <c r="B388" s="5"/>
      <c r="C388" s="5"/>
      <c r="D388" s="5"/>
      <c r="E388" s="6">
        <f>E386+F386+G386+H386</f>
        <v>69000.73599999999</v>
      </c>
      <c r="F388" s="5"/>
      <c r="G388" s="5"/>
      <c r="H388" s="5"/>
      <c r="I388" s="5"/>
      <c r="J388" s="5"/>
      <c r="K388" s="6"/>
      <c r="L388" s="5"/>
      <c r="M388" s="5"/>
    </row>
    <row r="389" spans="1:13">
      <c r="A389" s="5" t="s">
        <v>8</v>
      </c>
      <c r="B389" s="5"/>
      <c r="C389" s="5"/>
      <c r="D389" s="5"/>
      <c r="E389" s="6">
        <f>E387-E388</f>
        <v>-18323.478999999992</v>
      </c>
      <c r="F389" s="5"/>
      <c r="G389" s="5"/>
      <c r="H389" s="5"/>
      <c r="I389" s="5"/>
      <c r="J389" s="5"/>
      <c r="K389" s="5"/>
      <c r="L389" s="5"/>
      <c r="M389" s="5"/>
    </row>
    <row r="391" spans="1:13">
      <c r="A391" s="14">
        <v>44805</v>
      </c>
      <c r="E391" s="3"/>
    </row>
    <row r="392" spans="1:13" ht="30.75">
      <c r="A392" s="4" t="s">
        <v>1</v>
      </c>
      <c r="B392" s="4" t="s">
        <v>2</v>
      </c>
      <c r="C392" s="4" t="s">
        <v>3</v>
      </c>
      <c r="D392" s="4" t="s">
        <v>4</v>
      </c>
      <c r="E392" s="4" t="s">
        <v>5</v>
      </c>
      <c r="F392" s="8" t="s">
        <v>48</v>
      </c>
      <c r="G392" s="18" t="s">
        <v>49</v>
      </c>
      <c r="H392" s="18" t="s">
        <v>50</v>
      </c>
      <c r="I392" s="18" t="s">
        <v>9</v>
      </c>
      <c r="J392" s="8" t="s">
        <v>10</v>
      </c>
      <c r="K392" s="8" t="s">
        <v>11</v>
      </c>
      <c r="L392" s="18" t="s">
        <v>12</v>
      </c>
      <c r="M392" s="8" t="s">
        <v>13</v>
      </c>
    </row>
    <row r="393" spans="1:13">
      <c r="A393" s="5" t="s">
        <v>6</v>
      </c>
      <c r="B393" s="5">
        <f>C385</f>
        <v>6826488</v>
      </c>
      <c r="C393" s="5">
        <v>6836322</v>
      </c>
      <c r="D393" s="5">
        <f>C393-B393</f>
        <v>9834</v>
      </c>
      <c r="E393" s="6">
        <f>22989.23*1.15</f>
        <v>26437.614499999996</v>
      </c>
      <c r="F393" s="19">
        <v>0</v>
      </c>
      <c r="G393" s="19">
        <f>2603.5*1.15</f>
        <v>2994.0249999999996</v>
      </c>
      <c r="H393" s="19">
        <f>2911.2*1.15</f>
        <v>3347.8799999999997</v>
      </c>
      <c r="I393" s="5" t="s">
        <v>91</v>
      </c>
      <c r="J393" s="5">
        <v>30</v>
      </c>
      <c r="K393" s="6">
        <f>(E393+F393)/D393</f>
        <v>2.6883887024608497</v>
      </c>
      <c r="L393" s="5">
        <f>D393/J393</f>
        <v>327.8</v>
      </c>
      <c r="M393" s="5" t="s">
        <v>15</v>
      </c>
    </row>
    <row r="394" spans="1:13">
      <c r="A394" s="5" t="s">
        <v>7</v>
      </c>
      <c r="B394" s="5"/>
      <c r="C394" s="5"/>
      <c r="D394" s="5">
        <v>11323</v>
      </c>
      <c r="E394" s="6">
        <f>(34747.14-2603.5-2911.2)*1.15</f>
        <v>33617.305999999997</v>
      </c>
      <c r="F394" s="5"/>
      <c r="G394" s="19">
        <f>2603.5*1.15</f>
        <v>2994.0249999999996</v>
      </c>
      <c r="H394" s="19">
        <f>2911.2*1.15</f>
        <v>3347.8799999999997</v>
      </c>
      <c r="I394" s="5" t="s">
        <v>91</v>
      </c>
      <c r="J394" s="5">
        <v>30</v>
      </c>
      <c r="K394" s="6">
        <f>E394/D394</f>
        <v>2.9689398569283756</v>
      </c>
      <c r="L394" s="5">
        <f>D394/J394</f>
        <v>377.43333333333334</v>
      </c>
      <c r="M394" s="5" t="s">
        <v>15</v>
      </c>
    </row>
    <row r="395" spans="1:13">
      <c r="A395" s="5" t="s">
        <v>53</v>
      </c>
      <c r="B395" s="5"/>
      <c r="C395" s="5"/>
      <c r="D395" s="5"/>
      <c r="E395" s="6">
        <f>E393+F393+G393+H393</f>
        <v>32779.519499999995</v>
      </c>
      <c r="F395" s="5"/>
      <c r="G395" s="5"/>
      <c r="H395" s="5"/>
      <c r="I395" s="5"/>
      <c r="J395" s="5"/>
      <c r="K395" s="6"/>
      <c r="L395" s="5"/>
      <c r="M395" s="5"/>
    </row>
    <row r="396" spans="1:13">
      <c r="A396" s="5" t="s">
        <v>54</v>
      </c>
      <c r="B396" s="5"/>
      <c r="C396" s="5"/>
      <c r="D396" s="5"/>
      <c r="E396" s="6">
        <f>E394+F394+G394+H394</f>
        <v>39959.210999999996</v>
      </c>
      <c r="F396" s="5"/>
      <c r="G396" s="5"/>
      <c r="H396" s="5"/>
      <c r="I396" s="5"/>
      <c r="J396" s="5"/>
      <c r="K396" s="6"/>
      <c r="L396" s="5"/>
      <c r="M396" s="5"/>
    </row>
    <row r="397" spans="1:13">
      <c r="A397" s="5" t="s">
        <v>8</v>
      </c>
      <c r="B397" s="5"/>
      <c r="C397" s="5"/>
      <c r="D397" s="5"/>
      <c r="E397" s="6">
        <f>E395-E396</f>
        <v>-7179.6915000000008</v>
      </c>
      <c r="F397" s="5"/>
      <c r="G397" s="5"/>
      <c r="H397" s="5"/>
      <c r="I397" s="5"/>
      <c r="J397" s="5"/>
      <c r="K397" s="5"/>
      <c r="L397" s="5"/>
      <c r="M397" s="5"/>
    </row>
    <row r="399" spans="1:13">
      <c r="A399" s="14">
        <v>44835</v>
      </c>
      <c r="E399" s="3"/>
    </row>
    <row r="400" spans="1:13" ht="30.75">
      <c r="A400" s="4" t="s">
        <v>1</v>
      </c>
      <c r="B400" s="4" t="s">
        <v>2</v>
      </c>
      <c r="C400" s="4" t="s">
        <v>3</v>
      </c>
      <c r="D400" s="4" t="s">
        <v>4</v>
      </c>
      <c r="E400" s="4" t="s">
        <v>5</v>
      </c>
      <c r="F400" s="8" t="s">
        <v>48</v>
      </c>
      <c r="G400" s="18" t="s">
        <v>49</v>
      </c>
      <c r="H400" s="18" t="s">
        <v>50</v>
      </c>
      <c r="I400" s="18" t="s">
        <v>9</v>
      </c>
      <c r="J400" s="8" t="s">
        <v>10</v>
      </c>
      <c r="K400" s="8" t="s">
        <v>11</v>
      </c>
      <c r="L400" s="18" t="s">
        <v>12</v>
      </c>
      <c r="M400" s="8" t="s">
        <v>13</v>
      </c>
    </row>
    <row r="401" spans="1:13">
      <c r="A401" s="5" t="s">
        <v>6</v>
      </c>
      <c r="B401" s="5">
        <f>C393</f>
        <v>6836322</v>
      </c>
      <c r="C401" s="5">
        <v>6852577</v>
      </c>
      <c r="D401" s="5">
        <f>C401-B401</f>
        <v>16255</v>
      </c>
      <c r="E401" s="6">
        <f>31891.22*1.15</f>
        <v>36674.902999999998</v>
      </c>
      <c r="F401" s="19">
        <f>279.05*1.15</f>
        <v>320.90749999999997</v>
      </c>
      <c r="G401" s="19">
        <f>3381.5*1.15</f>
        <v>3888.7249999999999</v>
      </c>
      <c r="H401" s="19">
        <f>3008.24*1.15</f>
        <v>3459.4759999999997</v>
      </c>
      <c r="I401" s="5" t="s">
        <v>92</v>
      </c>
      <c r="J401" s="5">
        <v>31</v>
      </c>
      <c r="K401" s="6">
        <f>(E401+F401)/D401</f>
        <v>2.2759649646262687</v>
      </c>
      <c r="L401" s="5">
        <f>D401/J401</f>
        <v>524.35483870967744</v>
      </c>
      <c r="M401" s="5" t="s">
        <v>15</v>
      </c>
    </row>
    <row r="402" spans="1:13">
      <c r="A402" s="5" t="s">
        <v>7</v>
      </c>
      <c r="B402" s="5"/>
      <c r="C402" s="5"/>
      <c r="D402" s="5">
        <v>17932</v>
      </c>
      <c r="E402" s="6">
        <f>(43871.17-3381.5-3008.24)*1.15</f>
        <v>43103.644499999995</v>
      </c>
      <c r="F402" s="5"/>
      <c r="G402" s="19">
        <f>3381.5*1.15</f>
        <v>3888.7249999999999</v>
      </c>
      <c r="H402" s="19">
        <f>3008.24*1.15</f>
        <v>3459.4759999999997</v>
      </c>
      <c r="I402" s="5" t="s">
        <v>92</v>
      </c>
      <c r="J402" s="5">
        <v>31</v>
      </c>
      <c r="K402" s="6">
        <f>E402/D402</f>
        <v>2.4037276656256967</v>
      </c>
      <c r="L402" s="5">
        <f>D402/J402</f>
        <v>578.45161290322585</v>
      </c>
      <c r="M402" s="5" t="s">
        <v>15</v>
      </c>
    </row>
    <row r="403" spans="1:13">
      <c r="A403" s="5" t="s">
        <v>53</v>
      </c>
      <c r="B403" s="5"/>
      <c r="C403" s="5"/>
      <c r="D403" s="5"/>
      <c r="E403" s="6">
        <f>E401+F401+G401+H401</f>
        <v>44344.011500000001</v>
      </c>
      <c r="F403" s="5"/>
      <c r="G403" s="5"/>
      <c r="H403" s="5"/>
      <c r="I403" s="5"/>
      <c r="J403" s="5"/>
      <c r="K403" s="6"/>
      <c r="L403" s="5"/>
      <c r="M403" s="5"/>
    </row>
    <row r="404" spans="1:13">
      <c r="A404" s="5" t="s">
        <v>54</v>
      </c>
      <c r="B404" s="5"/>
      <c r="C404" s="5"/>
      <c r="D404" s="5"/>
      <c r="E404" s="6">
        <f>E402+F402+G402+H402</f>
        <v>50451.845499999996</v>
      </c>
      <c r="F404" s="5"/>
      <c r="G404" s="5"/>
      <c r="H404" s="5"/>
      <c r="I404" s="5"/>
      <c r="J404" s="5"/>
      <c r="K404" s="6"/>
      <c r="L404" s="5"/>
      <c r="M404" s="5"/>
    </row>
    <row r="405" spans="1:13">
      <c r="A405" s="5" t="s">
        <v>8</v>
      </c>
      <c r="B405" s="5"/>
      <c r="C405" s="5"/>
      <c r="D405" s="5"/>
      <c r="E405" s="6">
        <f>E403-E404</f>
        <v>-6107.8339999999953</v>
      </c>
      <c r="F405" s="5"/>
      <c r="G405" s="5"/>
      <c r="H405" s="5"/>
      <c r="I405" s="5"/>
      <c r="J405" s="5"/>
      <c r="K405" s="5"/>
      <c r="L405" s="5"/>
      <c r="M405" s="5"/>
    </row>
    <row r="407" spans="1:13">
      <c r="A407" s="14">
        <v>44866</v>
      </c>
      <c r="E407" s="3"/>
    </row>
    <row r="408" spans="1:13" ht="30.75">
      <c r="A408" s="4" t="s">
        <v>1</v>
      </c>
      <c r="B408" s="4" t="s">
        <v>2</v>
      </c>
      <c r="C408" s="4" t="s">
        <v>3</v>
      </c>
      <c r="D408" s="4" t="s">
        <v>4</v>
      </c>
      <c r="E408" s="4" t="s">
        <v>5</v>
      </c>
      <c r="F408" s="8" t="s">
        <v>48</v>
      </c>
      <c r="G408" s="18" t="s">
        <v>49</v>
      </c>
      <c r="H408" s="18" t="s">
        <v>50</v>
      </c>
      <c r="I408" s="18" t="s">
        <v>9</v>
      </c>
      <c r="J408" s="8" t="s">
        <v>10</v>
      </c>
      <c r="K408" s="8" t="s">
        <v>11</v>
      </c>
      <c r="L408" s="18" t="s">
        <v>12</v>
      </c>
      <c r="M408" s="8" t="s">
        <v>13</v>
      </c>
    </row>
    <row r="409" spans="1:13">
      <c r="A409" s="5" t="s">
        <v>6</v>
      </c>
      <c r="B409" s="5">
        <f>C401</f>
        <v>6852577</v>
      </c>
      <c r="C409" s="5">
        <v>6864122</v>
      </c>
      <c r="D409" s="5">
        <f>C409-B409</f>
        <v>11545</v>
      </c>
      <c r="E409" s="6">
        <f>27048.36*1.15</f>
        <v>31105.613999999998</v>
      </c>
      <c r="F409" s="19">
        <v>0</v>
      </c>
      <c r="G409" s="19">
        <f>2704.02*1.15</f>
        <v>3109.6229999999996</v>
      </c>
      <c r="H409" s="19">
        <f>2911.2*1.15</f>
        <v>3347.8799999999997</v>
      </c>
      <c r="I409" s="5" t="s">
        <v>93</v>
      </c>
      <c r="J409" s="5">
        <v>30</v>
      </c>
      <c r="K409" s="6">
        <f>(E409+F409)/D409</f>
        <v>2.694293113902122</v>
      </c>
      <c r="L409" s="5">
        <f>D409/J409</f>
        <v>384.83333333333331</v>
      </c>
      <c r="M409" s="5" t="s">
        <v>15</v>
      </c>
    </row>
    <row r="410" spans="1:13">
      <c r="A410" s="5" t="s">
        <v>7</v>
      </c>
      <c r="B410" s="5"/>
      <c r="C410" s="5"/>
      <c r="D410" s="5">
        <v>15645</v>
      </c>
      <c r="E410" s="6">
        <f>(39577.45-2704.02-2911.2)*1.15</f>
        <v>39056.5645</v>
      </c>
      <c r="F410" s="5"/>
      <c r="G410" s="19">
        <f>2704.02*1.15</f>
        <v>3109.6229999999996</v>
      </c>
      <c r="H410" s="19">
        <f>2911.2*1.15</f>
        <v>3347.8799999999997</v>
      </c>
      <c r="I410" s="5" t="s">
        <v>93</v>
      </c>
      <c r="J410" s="5">
        <v>30</v>
      </c>
      <c r="K410" s="6">
        <f>E410/D410</f>
        <v>2.4964247043783958</v>
      </c>
      <c r="L410" s="5">
        <f>D410/J410</f>
        <v>521.5</v>
      </c>
      <c r="M410" s="5" t="s">
        <v>15</v>
      </c>
    </row>
    <row r="411" spans="1:13">
      <c r="A411" s="5" t="s">
        <v>53</v>
      </c>
      <c r="B411" s="5"/>
      <c r="C411" s="5"/>
      <c r="D411" s="5"/>
      <c r="E411" s="6">
        <f>E409+F409+G409+H409</f>
        <v>37563.116999999991</v>
      </c>
      <c r="F411" s="5"/>
      <c r="G411" s="5"/>
      <c r="H411" s="5"/>
      <c r="I411" s="5"/>
      <c r="J411" s="5"/>
      <c r="K411" s="6"/>
      <c r="L411" s="5"/>
      <c r="M411" s="5"/>
    </row>
    <row r="412" spans="1:13">
      <c r="A412" s="5" t="s">
        <v>54</v>
      </c>
      <c r="B412" s="5"/>
      <c r="C412" s="5"/>
      <c r="D412" s="5"/>
      <c r="E412" s="6">
        <f>E410+F410+G410+H410</f>
        <v>45514.067499999997</v>
      </c>
      <c r="F412" s="5"/>
      <c r="G412" s="5"/>
      <c r="H412" s="5"/>
      <c r="I412" s="5"/>
      <c r="J412" s="5"/>
      <c r="K412" s="6"/>
      <c r="L412" s="5"/>
      <c r="M412" s="5"/>
    </row>
    <row r="413" spans="1:13">
      <c r="A413" s="5" t="s">
        <v>8</v>
      </c>
      <c r="B413" s="5"/>
      <c r="C413" s="5"/>
      <c r="D413" s="5"/>
      <c r="E413" s="6">
        <f>E411-E412</f>
        <v>-7950.9505000000063</v>
      </c>
      <c r="F413" s="5"/>
      <c r="G413" s="5"/>
      <c r="H413" s="5"/>
      <c r="I413" s="5"/>
      <c r="J413" s="5"/>
      <c r="K413" s="5"/>
      <c r="L413" s="5"/>
      <c r="M413" s="5"/>
    </row>
    <row r="415" spans="1:13">
      <c r="A415" s="14">
        <v>44896</v>
      </c>
      <c r="E415" s="3"/>
    </row>
    <row r="416" spans="1:13" ht="30.75">
      <c r="A416" s="4" t="s">
        <v>1</v>
      </c>
      <c r="B416" s="4" t="s">
        <v>2</v>
      </c>
      <c r="C416" s="4" t="s">
        <v>3</v>
      </c>
      <c r="D416" s="4" t="s">
        <v>4</v>
      </c>
      <c r="E416" s="4" t="s">
        <v>5</v>
      </c>
      <c r="F416" s="8" t="s">
        <v>48</v>
      </c>
      <c r="G416" s="18" t="s">
        <v>49</v>
      </c>
      <c r="H416" s="18" t="s">
        <v>50</v>
      </c>
      <c r="I416" s="18" t="s">
        <v>9</v>
      </c>
      <c r="J416" s="8" t="s">
        <v>10</v>
      </c>
      <c r="K416" s="8" t="s">
        <v>11</v>
      </c>
      <c r="L416" s="18" t="s">
        <v>12</v>
      </c>
      <c r="M416" s="8" t="s">
        <v>13</v>
      </c>
    </row>
    <row r="417" spans="1:13">
      <c r="A417" s="5" t="s">
        <v>6</v>
      </c>
      <c r="B417" s="5">
        <f>C409</f>
        <v>6864122</v>
      </c>
      <c r="C417" s="5">
        <v>6875233</v>
      </c>
      <c r="D417" s="5">
        <f>C417-B417</f>
        <v>11111</v>
      </c>
      <c r="E417" s="6">
        <f>23325.67*1.15</f>
        <v>26824.520499999995</v>
      </c>
      <c r="F417" s="19">
        <v>0</v>
      </c>
      <c r="G417" s="19">
        <f>2749.76*1.15</f>
        <v>3162.2240000000002</v>
      </c>
      <c r="H417" s="19">
        <f>3008.24*1.15</f>
        <v>3459.4759999999997</v>
      </c>
      <c r="I417" s="5" t="s">
        <v>94</v>
      </c>
      <c r="J417" s="5">
        <v>32</v>
      </c>
      <c r="K417" s="6">
        <f>(E417+F417)/D417</f>
        <v>2.4142309873098728</v>
      </c>
      <c r="L417" s="5">
        <f>D417/J417</f>
        <v>347.21875</v>
      </c>
      <c r="M417" s="5" t="s">
        <v>15</v>
      </c>
    </row>
    <row r="418" spans="1:13">
      <c r="A418" s="5" t="s">
        <v>7</v>
      </c>
      <c r="B418" s="5"/>
      <c r="C418" s="5"/>
      <c r="D418" s="5">
        <v>12158</v>
      </c>
      <c r="E418" s="6">
        <f>(36132.44-2749.76-3008.24)*1.15</f>
        <v>34930.606</v>
      </c>
      <c r="F418" s="5"/>
      <c r="G418" s="19">
        <f>2749.76*1.15</f>
        <v>3162.2240000000002</v>
      </c>
      <c r="H418" s="19">
        <f>3008.24*1.15</f>
        <v>3459.4759999999997</v>
      </c>
      <c r="I418" s="5" t="s">
        <v>95</v>
      </c>
      <c r="J418" s="5">
        <v>31</v>
      </c>
      <c r="K418" s="6">
        <f>E418/D418</f>
        <v>2.8730552722487253</v>
      </c>
      <c r="L418" s="5">
        <f>D418/J418</f>
        <v>392.19354838709677</v>
      </c>
      <c r="M418" s="5" t="s">
        <v>15</v>
      </c>
    </row>
    <row r="419" spans="1:13">
      <c r="A419" s="5" t="s">
        <v>53</v>
      </c>
      <c r="B419" s="5"/>
      <c r="C419" s="5"/>
      <c r="D419" s="5"/>
      <c r="E419" s="6">
        <f>E417+F417+G417+H417</f>
        <v>33446.220499999996</v>
      </c>
      <c r="F419" s="5"/>
      <c r="G419" s="5"/>
      <c r="H419" s="5"/>
      <c r="I419" s="5"/>
      <c r="J419" s="5"/>
      <c r="K419" s="6"/>
      <c r="L419" s="5"/>
      <c r="M419" s="5"/>
    </row>
    <row r="420" spans="1:13">
      <c r="A420" s="5" t="s">
        <v>54</v>
      </c>
      <c r="B420" s="5"/>
      <c r="C420" s="5"/>
      <c r="D420" s="5"/>
      <c r="E420" s="6">
        <f>E418+F418+G418+H418</f>
        <v>41552.306000000004</v>
      </c>
      <c r="F420" s="5"/>
      <c r="G420" s="5"/>
      <c r="H420" s="5"/>
      <c r="I420" s="5"/>
      <c r="J420" s="5"/>
      <c r="K420" s="6"/>
      <c r="L420" s="5"/>
      <c r="M420" s="5"/>
    </row>
    <row r="421" spans="1:13">
      <c r="A421" s="5" t="s">
        <v>8</v>
      </c>
      <c r="B421" s="5"/>
      <c r="C421" s="5"/>
      <c r="D421" s="5"/>
      <c r="E421" s="6">
        <f>E419-E420</f>
        <v>-8106.0855000000083</v>
      </c>
      <c r="F421" s="5"/>
      <c r="G421" s="5"/>
      <c r="H421" s="5"/>
      <c r="I421" s="5"/>
      <c r="J421" s="5"/>
      <c r="K421" s="5"/>
      <c r="L421" s="5"/>
      <c r="M421" s="5"/>
    </row>
  </sheetData>
  <pageMargins left="0.7" right="0.7" top="0.75" bottom="0.75" header="0.3" footer="0.3"/>
  <pageSetup paperSize="9" fitToHeight="2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50385-05D6-498E-B42D-033DA5C72FA9}">
  <dimension ref="A1:AE18"/>
  <sheetViews>
    <sheetView workbookViewId="0">
      <selection activeCell="AE13" sqref="AE13"/>
    </sheetView>
  </sheetViews>
  <sheetFormatPr defaultRowHeight="15"/>
  <cols>
    <col min="3" max="4" width="11.5703125" bestFit="1" customWidth="1"/>
    <col min="5" max="5" width="17.42578125" bestFit="1" customWidth="1"/>
    <col min="13" max="14" width="13.28515625" hidden="1" customWidth="1"/>
    <col min="15" max="15" width="17.42578125" hidden="1" customWidth="1"/>
    <col min="17" max="18" width="12.5703125" hidden="1" customWidth="1"/>
    <col min="19" max="19" width="17.42578125" hidden="1" customWidth="1"/>
    <col min="21" max="22" width="12.7109375" hidden="1" customWidth="1"/>
    <col min="23" max="23" width="17.42578125" hidden="1" customWidth="1"/>
    <col min="25" max="26" width="13.28515625" hidden="1" customWidth="1"/>
    <col min="27" max="27" width="17.42578125" hidden="1" customWidth="1"/>
    <col min="29" max="30" width="13.28515625" bestFit="1" customWidth="1"/>
    <col min="31" max="31" width="17.42578125" bestFit="1" customWidth="1"/>
  </cols>
  <sheetData>
    <row r="1" spans="1:31" ht="18.75">
      <c r="A1" s="1" t="s">
        <v>96</v>
      </c>
    </row>
    <row r="3" spans="1:31">
      <c r="M3" t="s">
        <v>97</v>
      </c>
      <c r="N3" t="s">
        <v>98</v>
      </c>
      <c r="O3" t="s">
        <v>99</v>
      </c>
      <c r="Q3" t="s">
        <v>97</v>
      </c>
      <c r="R3" t="s">
        <v>98</v>
      </c>
      <c r="S3" t="s">
        <v>99</v>
      </c>
      <c r="U3" t="s">
        <v>97</v>
      </c>
      <c r="V3" t="s">
        <v>98</v>
      </c>
      <c r="W3" t="s">
        <v>99</v>
      </c>
      <c r="Y3" t="s">
        <v>97</v>
      </c>
      <c r="Z3" t="s">
        <v>98</v>
      </c>
      <c r="AA3" t="s">
        <v>99</v>
      </c>
      <c r="AC3" t="s">
        <v>97</v>
      </c>
      <c r="AD3" t="s">
        <v>98</v>
      </c>
      <c r="AE3" t="s">
        <v>99</v>
      </c>
    </row>
    <row r="4" spans="1:31">
      <c r="L4" s="2">
        <v>43466</v>
      </c>
      <c r="M4" s="11">
        <v>29296.34</v>
      </c>
      <c r="N4" s="11">
        <v>44068</v>
      </c>
      <c r="O4" s="12" t="s">
        <v>100</v>
      </c>
      <c r="P4" s="2">
        <v>43647</v>
      </c>
      <c r="Q4" s="11">
        <v>31272.1</v>
      </c>
      <c r="R4" s="11">
        <v>63226.36</v>
      </c>
      <c r="S4" s="12" t="s">
        <v>100</v>
      </c>
      <c r="T4" s="2">
        <v>44013</v>
      </c>
      <c r="U4" s="11">
        <v>74236.712495999993</v>
      </c>
      <c r="V4" s="11">
        <v>71660.149999999994</v>
      </c>
      <c r="W4" s="12" t="s">
        <v>100</v>
      </c>
      <c r="X4" s="2">
        <v>44378</v>
      </c>
      <c r="Y4" s="20">
        <v>69463.599499999997</v>
      </c>
      <c r="Z4" s="20">
        <v>77650.426500000001</v>
      </c>
      <c r="AA4" s="12" t="s">
        <v>100</v>
      </c>
      <c r="AB4" s="2">
        <v>44743</v>
      </c>
      <c r="AC4" s="20">
        <v>65677.477499999979</v>
      </c>
      <c r="AD4" s="20">
        <v>68981.082500000004</v>
      </c>
      <c r="AE4" s="12" t="s">
        <v>100</v>
      </c>
    </row>
    <row r="5" spans="1:31">
      <c r="L5" s="2">
        <v>43497</v>
      </c>
      <c r="M5" s="11">
        <v>22696.880000000001</v>
      </c>
      <c r="N5" s="11">
        <v>36797.5</v>
      </c>
      <c r="O5" s="12" t="s">
        <v>100</v>
      </c>
      <c r="P5" s="2">
        <v>43678</v>
      </c>
      <c r="Q5" s="11">
        <v>35197.660000000003</v>
      </c>
      <c r="R5" s="11">
        <v>52269.66</v>
      </c>
      <c r="S5" s="12" t="s">
        <v>100</v>
      </c>
      <c r="T5" s="2">
        <v>44044</v>
      </c>
      <c r="U5" s="16">
        <v>61032.201999999997</v>
      </c>
      <c r="V5" s="11">
        <v>64386</v>
      </c>
      <c r="W5" s="12" t="s">
        <v>100</v>
      </c>
      <c r="X5" s="2">
        <v>44409</v>
      </c>
      <c r="Y5" s="20">
        <v>55607.375999999997</v>
      </c>
      <c r="Z5" s="20">
        <v>64764.89</v>
      </c>
      <c r="AA5" s="12" t="s">
        <v>100</v>
      </c>
      <c r="AB5" s="2">
        <v>44774</v>
      </c>
      <c r="AC5" s="20">
        <v>50677.256999999998</v>
      </c>
      <c r="AD5" s="20">
        <v>69000.73599999999</v>
      </c>
      <c r="AE5" s="12" t="s">
        <v>100</v>
      </c>
    </row>
    <row r="6" spans="1:31">
      <c r="L6" s="2">
        <v>43525</v>
      </c>
      <c r="M6" s="11">
        <v>30400.79</v>
      </c>
      <c r="N6" s="11">
        <v>40327.682500000003</v>
      </c>
      <c r="O6" s="12" t="s">
        <v>100</v>
      </c>
      <c r="P6" s="2">
        <v>43709</v>
      </c>
      <c r="Q6" s="11">
        <v>57052.992699999995</v>
      </c>
      <c r="R6" s="11">
        <v>48154.63</v>
      </c>
      <c r="S6" s="12" t="s">
        <v>100</v>
      </c>
      <c r="T6" s="2">
        <v>44075</v>
      </c>
      <c r="U6" s="16">
        <v>52094.275499999996</v>
      </c>
      <c r="V6" s="11">
        <v>42033.67</v>
      </c>
      <c r="W6" s="12" t="s">
        <v>100</v>
      </c>
      <c r="X6" s="2">
        <v>44440</v>
      </c>
      <c r="Y6" s="20">
        <v>38804.277499999997</v>
      </c>
      <c r="Z6" s="20">
        <v>44103.8</v>
      </c>
      <c r="AA6" s="12" t="s">
        <v>100</v>
      </c>
      <c r="AB6" s="2">
        <v>44805</v>
      </c>
      <c r="AC6" s="20">
        <v>32779.519499999995</v>
      </c>
      <c r="AD6" s="20">
        <v>39959.210999999996</v>
      </c>
      <c r="AE6" s="12" t="s">
        <v>100</v>
      </c>
    </row>
    <row r="7" spans="1:31">
      <c r="L7" s="2">
        <v>43556</v>
      </c>
      <c r="M7" s="11">
        <v>26572.2</v>
      </c>
      <c r="N7" s="11">
        <v>35067.550000000003</v>
      </c>
      <c r="O7" s="12" t="s">
        <v>100</v>
      </c>
      <c r="P7" s="2">
        <v>43739</v>
      </c>
      <c r="Q7" s="11">
        <v>60284.952699999987</v>
      </c>
      <c r="R7" s="11">
        <v>47909.321999999993</v>
      </c>
      <c r="S7" s="12" t="s">
        <v>100</v>
      </c>
      <c r="T7" s="2">
        <v>44105</v>
      </c>
      <c r="U7" s="16">
        <v>53752.632999999994</v>
      </c>
      <c r="V7" s="11">
        <v>42033.67</v>
      </c>
      <c r="W7" s="12" t="s">
        <v>100</v>
      </c>
      <c r="X7" s="2">
        <v>44470</v>
      </c>
      <c r="Y7" s="20">
        <v>39307.69</v>
      </c>
      <c r="Z7" s="20">
        <v>37688.85</v>
      </c>
      <c r="AA7" s="12" t="s">
        <v>100</v>
      </c>
      <c r="AB7" s="2">
        <v>44835</v>
      </c>
      <c r="AC7" s="20">
        <v>44344.011500000001</v>
      </c>
      <c r="AD7" s="20">
        <v>50451.845499999996</v>
      </c>
      <c r="AE7" s="12" t="s">
        <v>100</v>
      </c>
    </row>
    <row r="8" spans="1:31">
      <c r="L8" s="2">
        <v>43586</v>
      </c>
      <c r="M8" s="11">
        <v>25275.49</v>
      </c>
      <c r="N8" s="11">
        <v>35943.35</v>
      </c>
      <c r="O8" s="12" t="s">
        <v>100</v>
      </c>
      <c r="P8" s="2">
        <v>43770</v>
      </c>
      <c r="Q8" s="11">
        <v>52830.436499999989</v>
      </c>
      <c r="R8" s="11"/>
      <c r="S8" s="12"/>
      <c r="T8" s="2">
        <v>44136</v>
      </c>
      <c r="U8" s="16">
        <v>58614.200499999999</v>
      </c>
      <c r="V8" s="11">
        <v>42033.67</v>
      </c>
      <c r="W8" s="12" t="s">
        <v>100</v>
      </c>
      <c r="X8" s="2">
        <v>44501</v>
      </c>
      <c r="Y8" s="20">
        <v>49521.7255</v>
      </c>
      <c r="Z8" s="20">
        <v>51220.62049999999</v>
      </c>
      <c r="AA8" s="12" t="s">
        <v>100</v>
      </c>
      <c r="AB8" s="2">
        <v>44866</v>
      </c>
      <c r="AC8" s="20">
        <v>45514.067499999997</v>
      </c>
      <c r="AD8" s="20">
        <v>37563.116999999991</v>
      </c>
      <c r="AE8" s="12" t="s">
        <v>100</v>
      </c>
    </row>
    <row r="9" spans="1:31">
      <c r="L9" s="2">
        <v>43617</v>
      </c>
      <c r="M9" s="11">
        <v>22970.29</v>
      </c>
      <c r="N9" s="11">
        <v>59813.32</v>
      </c>
      <c r="O9" s="12" t="s">
        <v>100</v>
      </c>
      <c r="P9" s="2">
        <v>43800</v>
      </c>
      <c r="Q9" s="11">
        <v>63368.063599999994</v>
      </c>
      <c r="R9" s="11">
        <v>45478</v>
      </c>
      <c r="S9" s="12" t="s">
        <v>100</v>
      </c>
      <c r="T9" s="2">
        <v>44166</v>
      </c>
      <c r="U9">
        <v>51513.100759000001</v>
      </c>
      <c r="V9" s="11">
        <v>43869.355000000003</v>
      </c>
      <c r="W9" s="12" t="s">
        <v>100</v>
      </c>
      <c r="X9" s="2">
        <v>44531</v>
      </c>
      <c r="Y9" s="20">
        <v>37014.256499999996</v>
      </c>
      <c r="Z9" s="20">
        <v>43185.2255</v>
      </c>
      <c r="AA9" s="12" t="s">
        <v>100</v>
      </c>
      <c r="AB9" s="2">
        <v>44896</v>
      </c>
      <c r="AC9" s="20">
        <v>33446.220499999996</v>
      </c>
      <c r="AD9" s="16">
        <v>41552.306000000004</v>
      </c>
      <c r="AE9" s="12" t="s">
        <v>100</v>
      </c>
    </row>
    <row r="10" spans="1:31">
      <c r="P10" s="2">
        <v>43831</v>
      </c>
      <c r="Q10" s="11">
        <v>56360.329299999998</v>
      </c>
      <c r="R10" s="11">
        <v>54082.05</v>
      </c>
      <c r="S10" s="12" t="s">
        <v>100</v>
      </c>
      <c r="T10" s="2">
        <v>44197</v>
      </c>
      <c r="U10" s="16">
        <v>59162.873078500001</v>
      </c>
      <c r="V10" s="16">
        <v>49924.547499999986</v>
      </c>
      <c r="W10" s="12" t="s">
        <v>100</v>
      </c>
      <c r="X10" s="2">
        <v>44562</v>
      </c>
      <c r="Y10" s="16">
        <v>44437.161499999995</v>
      </c>
      <c r="Z10" s="20">
        <v>48556.001499999991</v>
      </c>
      <c r="AA10" s="12" t="s">
        <v>100</v>
      </c>
      <c r="AB10" s="2">
        <v>44927</v>
      </c>
      <c r="AC10" s="16"/>
      <c r="AD10" s="20"/>
      <c r="AE10" s="12"/>
    </row>
    <row r="11" spans="1:31">
      <c r="P11" s="2">
        <v>43862</v>
      </c>
      <c r="Q11" s="16">
        <v>63647.360000000001</v>
      </c>
      <c r="R11" s="11">
        <v>51091.199999999997</v>
      </c>
      <c r="S11" s="12" t="s">
        <v>100</v>
      </c>
      <c r="T11" s="2">
        <v>44228</v>
      </c>
      <c r="U11" s="20">
        <v>61213.902000000002</v>
      </c>
      <c r="V11" s="20">
        <v>49338.656999999992</v>
      </c>
      <c r="W11" s="12" t="s">
        <v>100</v>
      </c>
      <c r="X11" s="2">
        <v>44593</v>
      </c>
      <c r="Y11" s="20">
        <v>42262.304499999991</v>
      </c>
      <c r="Z11" s="20">
        <v>45205.63749999999</v>
      </c>
      <c r="AA11" s="12" t="s">
        <v>100</v>
      </c>
      <c r="AB11" s="2">
        <v>44958</v>
      </c>
      <c r="AC11" s="20"/>
      <c r="AD11" s="20"/>
      <c r="AE11" s="12"/>
    </row>
    <row r="12" spans="1:31">
      <c r="P12" s="2">
        <v>43891</v>
      </c>
      <c r="Q12" s="16">
        <v>43512.805299999993</v>
      </c>
      <c r="R12" s="11">
        <v>42345.55</v>
      </c>
      <c r="S12" s="12" t="s">
        <v>100</v>
      </c>
      <c r="T12" s="2">
        <v>44256</v>
      </c>
      <c r="U12" s="20">
        <v>51497.528999999995</v>
      </c>
      <c r="V12" s="20">
        <v>49659.426500000001</v>
      </c>
      <c r="W12" s="12" t="s">
        <v>100</v>
      </c>
      <c r="X12" s="2">
        <v>44621</v>
      </c>
      <c r="Y12" s="20">
        <v>41121.504499999995</v>
      </c>
      <c r="Z12" s="20">
        <v>44437.828499999996</v>
      </c>
      <c r="AA12" s="12" t="s">
        <v>100</v>
      </c>
      <c r="AB12" s="2">
        <v>44986</v>
      </c>
      <c r="AC12" s="20"/>
      <c r="AD12" s="20"/>
      <c r="AE12" s="12"/>
    </row>
    <row r="13" spans="1:31">
      <c r="P13" s="2">
        <v>43922</v>
      </c>
      <c r="Q13" s="16">
        <v>19598.345999999994</v>
      </c>
      <c r="R13" s="11">
        <v>26656.792999999998</v>
      </c>
      <c r="S13" s="12" t="s">
        <v>100</v>
      </c>
      <c r="T13" s="2">
        <v>44287</v>
      </c>
      <c r="U13" s="20">
        <v>44380.075499999992</v>
      </c>
      <c r="V13" s="20">
        <v>49607.584499999997</v>
      </c>
      <c r="W13" s="12" t="s">
        <v>100</v>
      </c>
      <c r="X13" s="2">
        <v>44652</v>
      </c>
      <c r="Y13" s="20">
        <v>28644.57559</v>
      </c>
      <c r="Z13" s="20">
        <v>40227.689999999995</v>
      </c>
      <c r="AA13" s="12" t="s">
        <v>100</v>
      </c>
      <c r="AB13" s="2">
        <v>45017</v>
      </c>
      <c r="AC13" s="20"/>
      <c r="AD13" s="20"/>
      <c r="AE13" s="12"/>
    </row>
    <row r="14" spans="1:31">
      <c r="P14" s="2">
        <v>43952</v>
      </c>
      <c r="Q14" s="16">
        <v>20435.578199999996</v>
      </c>
      <c r="R14" s="11">
        <v>31783.81</v>
      </c>
      <c r="S14" s="12" t="s">
        <v>100</v>
      </c>
      <c r="T14" s="2">
        <v>44317</v>
      </c>
      <c r="U14" s="20">
        <v>40547.389999999992</v>
      </c>
      <c r="V14" s="20">
        <v>45599.006499999996</v>
      </c>
      <c r="W14" s="12" t="s">
        <v>100</v>
      </c>
      <c r="X14" s="2">
        <v>44682</v>
      </c>
      <c r="Y14" s="20">
        <v>31852.515999999992</v>
      </c>
      <c r="Z14" s="20">
        <v>43019.901500000007</v>
      </c>
      <c r="AA14" s="12" t="s">
        <v>100</v>
      </c>
      <c r="AB14" s="2">
        <v>45047</v>
      </c>
      <c r="AC14" s="20"/>
      <c r="AD14" s="20"/>
      <c r="AE14" s="12"/>
    </row>
    <row r="15" spans="1:31">
      <c r="P15" s="2">
        <v>43983</v>
      </c>
      <c r="Q15" s="11">
        <v>35357.465299999996</v>
      </c>
      <c r="R15" s="11">
        <v>70554.52</v>
      </c>
      <c r="S15" s="12" t="s">
        <v>100</v>
      </c>
      <c r="T15" s="2">
        <v>44348</v>
      </c>
      <c r="U15" s="20">
        <v>69091.2065</v>
      </c>
      <c r="V15" s="20">
        <v>75792.705000000002</v>
      </c>
      <c r="W15" s="12" t="s">
        <v>100</v>
      </c>
      <c r="X15" s="2">
        <v>44713</v>
      </c>
      <c r="Y15" s="20">
        <v>61053.522999999994</v>
      </c>
      <c r="Z15" s="20">
        <v>75112.181000000011</v>
      </c>
      <c r="AA15" s="12" t="s">
        <v>100</v>
      </c>
      <c r="AB15" s="2">
        <v>45078</v>
      </c>
      <c r="AC15" s="20"/>
      <c r="AD15" s="20"/>
      <c r="AE15" s="12"/>
    </row>
    <row r="16" spans="1:31">
      <c r="M16" s="17">
        <f t="shared" ref="M16" si="0">SUM(M4:M15)</f>
        <v>157211.99000000002</v>
      </c>
      <c r="N16" s="17">
        <f>SUM(N4:N15)</f>
        <v>252017.4025</v>
      </c>
      <c r="O16" s="17">
        <f>M16-N16</f>
        <v>-94805.412499999977</v>
      </c>
      <c r="Q16" s="17">
        <f t="shared" ref="Q16" si="1">SUM(Q4:Q15)</f>
        <v>538918.08959999995</v>
      </c>
      <c r="R16" s="17">
        <f>SUM(R4:R15)</f>
        <v>533551.89500000002</v>
      </c>
      <c r="S16" s="17">
        <f>Q16-R16</f>
        <v>5366.1945999999298</v>
      </c>
      <c r="T16" s="12"/>
      <c r="U16" s="17">
        <f t="shared" ref="U16" si="2">SUM(U4:U15)</f>
        <v>677136.10033349996</v>
      </c>
      <c r="V16" s="17">
        <f>SUM(V4:V15)</f>
        <v>625938.44199999992</v>
      </c>
      <c r="W16" s="17">
        <f>U16-V16</f>
        <v>51197.658333500032</v>
      </c>
      <c r="Y16" s="17">
        <f>SUM(Y4:Y15)</f>
        <v>539090.51009</v>
      </c>
      <c r="Z16" s="17">
        <f t="shared" ref="Z16" si="3">SUM(Z4:Z15)</f>
        <v>615173.05249999999</v>
      </c>
      <c r="AA16" s="17">
        <f>Y16-Z16</f>
        <v>-76082.542409999995</v>
      </c>
      <c r="AC16" s="17">
        <f>SUM(AC4:AC15)</f>
        <v>272438.55349999992</v>
      </c>
      <c r="AD16" s="17">
        <f t="shared" ref="AD16" si="4">SUM(AD4:AD15)</f>
        <v>307508.29799999995</v>
      </c>
      <c r="AE16" s="17">
        <f>AC16-AD16</f>
        <v>-35069.74450000003</v>
      </c>
    </row>
    <row r="18" spans="12:12" ht="23.25">
      <c r="L18" s="9" t="s">
        <v>101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63209-7387-4AA1-B272-62608E1B05C5}">
  <sheetPr>
    <pageSetUpPr fitToPage="1"/>
  </sheetPr>
  <dimension ref="A1:Y37"/>
  <sheetViews>
    <sheetView topLeftCell="A5" workbookViewId="0">
      <selection activeCell="X32" sqref="X32"/>
    </sheetView>
  </sheetViews>
  <sheetFormatPr defaultRowHeight="15"/>
  <cols>
    <col min="3" max="4" width="9.5703125" bestFit="1" customWidth="1"/>
    <col min="7" max="7" width="13.140625" customWidth="1"/>
    <col min="12" max="13" width="9.140625" hidden="1" customWidth="1"/>
    <col min="15" max="16" width="9.140625" hidden="1" customWidth="1"/>
    <col min="18" max="18" width="8" hidden="1" customWidth="1"/>
    <col min="19" max="19" width="8.5703125" hidden="1" customWidth="1"/>
    <col min="21" max="22" width="0" hidden="1" customWidth="1"/>
  </cols>
  <sheetData>
    <row r="1" spans="1:25" ht="18.75">
      <c r="A1" s="1" t="s">
        <v>102</v>
      </c>
    </row>
    <row r="2" spans="1:25">
      <c r="K2" t="s">
        <v>103</v>
      </c>
      <c r="L2" t="s">
        <v>97</v>
      </c>
      <c r="M2" t="s">
        <v>98</v>
      </c>
      <c r="O2" t="s">
        <v>97</v>
      </c>
      <c r="P2" t="s">
        <v>98</v>
      </c>
      <c r="R2" t="s">
        <v>97</v>
      </c>
      <c r="S2" t="s">
        <v>98</v>
      </c>
      <c r="U2" t="s">
        <v>97</v>
      </c>
      <c r="V2" t="s">
        <v>98</v>
      </c>
      <c r="X2" t="s">
        <v>97</v>
      </c>
      <c r="Y2" t="s">
        <v>98</v>
      </c>
    </row>
    <row r="3" spans="1:25">
      <c r="K3" s="2">
        <v>43466</v>
      </c>
      <c r="L3">
        <v>23680</v>
      </c>
      <c r="M3">
        <v>29538</v>
      </c>
      <c r="N3" s="2">
        <v>43647</v>
      </c>
      <c r="O3">
        <v>20050</v>
      </c>
      <c r="P3">
        <v>24020</v>
      </c>
      <c r="Q3" s="2">
        <v>44013</v>
      </c>
      <c r="R3">
        <v>19625</v>
      </c>
      <c r="S3">
        <v>22778</v>
      </c>
      <c r="T3" s="2">
        <v>44378</v>
      </c>
      <c r="U3">
        <v>17377</v>
      </c>
      <c r="V3">
        <v>21187</v>
      </c>
      <c r="W3" s="2">
        <v>44743</v>
      </c>
      <c r="X3">
        <v>17309</v>
      </c>
      <c r="Y3">
        <v>15213</v>
      </c>
    </row>
    <row r="4" spans="1:25">
      <c r="K4" s="2">
        <v>43497</v>
      </c>
      <c r="L4">
        <v>18410</v>
      </c>
      <c r="M4">
        <v>23666</v>
      </c>
      <c r="N4" s="2">
        <v>43678</v>
      </c>
      <c r="O4">
        <v>15320</v>
      </c>
      <c r="P4">
        <v>18907</v>
      </c>
      <c r="Q4" s="2">
        <v>44044</v>
      </c>
      <c r="R4">
        <v>15946</v>
      </c>
      <c r="S4">
        <v>20285</v>
      </c>
      <c r="T4" s="2">
        <v>44409</v>
      </c>
      <c r="U4">
        <v>14245</v>
      </c>
      <c r="V4">
        <v>17069</v>
      </c>
      <c r="W4" s="2">
        <v>44774</v>
      </c>
      <c r="X4">
        <v>8568</v>
      </c>
      <c r="Y4">
        <v>15728</v>
      </c>
    </row>
    <row r="5" spans="1:25">
      <c r="K5" s="2">
        <v>43525</v>
      </c>
      <c r="L5">
        <v>22600</v>
      </c>
      <c r="M5">
        <v>0</v>
      </c>
      <c r="N5" s="2">
        <v>43709</v>
      </c>
      <c r="O5">
        <v>15320</v>
      </c>
      <c r="P5">
        <v>27123</v>
      </c>
      <c r="Q5" s="2">
        <v>44075</v>
      </c>
      <c r="R5">
        <v>16709</v>
      </c>
      <c r="S5">
        <v>20020</v>
      </c>
      <c r="T5" s="2">
        <v>44440</v>
      </c>
      <c r="U5">
        <v>14311</v>
      </c>
      <c r="V5">
        <v>17212</v>
      </c>
      <c r="W5" s="2">
        <v>44805</v>
      </c>
      <c r="X5">
        <v>9834</v>
      </c>
      <c r="Y5">
        <v>11323</v>
      </c>
    </row>
    <row r="6" spans="1:25">
      <c r="K6" s="2">
        <v>43556</v>
      </c>
      <c r="L6">
        <v>34500</v>
      </c>
      <c r="M6">
        <v>19817</v>
      </c>
      <c r="N6" s="2">
        <v>43739</v>
      </c>
      <c r="O6">
        <v>15140</v>
      </c>
      <c r="P6">
        <v>27122</v>
      </c>
      <c r="Q6" s="2">
        <v>44105</v>
      </c>
      <c r="R6">
        <v>21783</v>
      </c>
      <c r="S6">
        <v>27128</v>
      </c>
      <c r="T6" s="2">
        <v>44470</v>
      </c>
      <c r="U6">
        <v>14689</v>
      </c>
      <c r="V6">
        <v>12122</v>
      </c>
      <c r="W6" s="2">
        <v>44835</v>
      </c>
      <c r="X6">
        <v>16255</v>
      </c>
      <c r="Y6">
        <v>17932</v>
      </c>
    </row>
    <row r="7" spans="1:25">
      <c r="K7" s="2">
        <v>43586</v>
      </c>
      <c r="L7">
        <v>15630</v>
      </c>
      <c r="M7">
        <v>19049</v>
      </c>
      <c r="N7" s="2">
        <v>43770</v>
      </c>
      <c r="O7">
        <v>43090</v>
      </c>
      <c r="Q7" s="2">
        <v>44136</v>
      </c>
      <c r="R7">
        <v>22839</v>
      </c>
      <c r="S7">
        <v>26739</v>
      </c>
      <c r="T7" s="2">
        <v>44501</v>
      </c>
      <c r="U7">
        <v>15411</v>
      </c>
      <c r="V7">
        <v>20006</v>
      </c>
      <c r="W7" s="2">
        <v>44866</v>
      </c>
      <c r="X7">
        <v>11545</v>
      </c>
      <c r="Y7">
        <v>15645</v>
      </c>
    </row>
    <row r="8" spans="1:25">
      <c r="K8" s="2">
        <v>43617</v>
      </c>
      <c r="L8">
        <v>16680</v>
      </c>
      <c r="M8">
        <v>20778</v>
      </c>
      <c r="N8" s="2">
        <v>43800</v>
      </c>
      <c r="O8">
        <v>18910</v>
      </c>
      <c r="P8">
        <v>22064</v>
      </c>
      <c r="Q8" s="2">
        <v>44166</v>
      </c>
      <c r="R8">
        <v>19692</v>
      </c>
      <c r="S8">
        <v>23290</v>
      </c>
      <c r="T8" s="2">
        <v>44531</v>
      </c>
      <c r="U8">
        <v>13522</v>
      </c>
      <c r="V8">
        <v>15405</v>
      </c>
      <c r="W8" s="2">
        <v>44896</v>
      </c>
      <c r="X8">
        <v>11111</v>
      </c>
      <c r="Y8">
        <v>12158</v>
      </c>
    </row>
    <row r="9" spans="1:25">
      <c r="N9" s="2">
        <v>43831</v>
      </c>
      <c r="O9">
        <v>27040</v>
      </c>
      <c r="P9">
        <v>33339</v>
      </c>
      <c r="Q9" s="2">
        <v>44197</v>
      </c>
      <c r="R9">
        <v>21325</v>
      </c>
      <c r="S9">
        <v>25242</v>
      </c>
      <c r="T9" s="2">
        <v>44562</v>
      </c>
      <c r="U9">
        <v>16378</v>
      </c>
      <c r="V9">
        <v>20291</v>
      </c>
      <c r="W9" s="2">
        <v>44927</v>
      </c>
    </row>
    <row r="10" spans="1:25">
      <c r="N10" s="2">
        <v>43862</v>
      </c>
      <c r="O10">
        <v>24180</v>
      </c>
      <c r="P10">
        <v>29984</v>
      </c>
      <c r="Q10" s="2">
        <v>44228</v>
      </c>
      <c r="R10">
        <v>22725</v>
      </c>
      <c r="S10">
        <v>24228</v>
      </c>
      <c r="T10" s="2">
        <v>44593</v>
      </c>
      <c r="U10">
        <v>15650</v>
      </c>
      <c r="V10">
        <v>17009</v>
      </c>
      <c r="W10" s="2">
        <v>44958</v>
      </c>
    </row>
    <row r="11" spans="1:25">
      <c r="N11" s="2">
        <v>43891</v>
      </c>
      <c r="O11">
        <v>18650</v>
      </c>
      <c r="P11">
        <v>21690</v>
      </c>
      <c r="Q11" s="2">
        <v>44256</v>
      </c>
      <c r="R11">
        <v>17360</v>
      </c>
      <c r="S11">
        <v>24295</v>
      </c>
      <c r="T11" s="2">
        <v>44621</v>
      </c>
      <c r="U11">
        <v>15361</v>
      </c>
      <c r="V11">
        <v>17803</v>
      </c>
      <c r="W11" s="2">
        <v>44986</v>
      </c>
    </row>
    <row r="12" spans="1:25">
      <c r="N12" s="2">
        <v>43922</v>
      </c>
      <c r="O12">
        <v>10060</v>
      </c>
      <c r="P12">
        <v>10048</v>
      </c>
      <c r="Q12" s="2">
        <v>44287</v>
      </c>
      <c r="R12">
        <v>16406</v>
      </c>
      <c r="S12">
        <v>19716</v>
      </c>
      <c r="T12" s="2">
        <v>44652</v>
      </c>
      <c r="U12">
        <v>10067</v>
      </c>
      <c r="V12">
        <v>12839</v>
      </c>
      <c r="W12" s="2">
        <v>45017</v>
      </c>
    </row>
    <row r="13" spans="1:25">
      <c r="N13" s="2">
        <v>43952</v>
      </c>
      <c r="O13">
        <v>10490</v>
      </c>
      <c r="P13">
        <v>12469</v>
      </c>
      <c r="Q13" s="2">
        <v>44317</v>
      </c>
      <c r="R13">
        <v>16089</v>
      </c>
      <c r="S13">
        <v>19329</v>
      </c>
      <c r="T13" s="2">
        <v>44682</v>
      </c>
      <c r="U13">
        <v>11435</v>
      </c>
      <c r="V13">
        <v>15054</v>
      </c>
      <c r="W13" s="2">
        <v>45047</v>
      </c>
    </row>
    <row r="14" spans="1:25">
      <c r="N14" s="2">
        <v>43983</v>
      </c>
      <c r="O14">
        <v>17116</v>
      </c>
      <c r="P14">
        <v>20925</v>
      </c>
      <c r="Q14" s="2">
        <v>44348</v>
      </c>
      <c r="R14">
        <v>17267</v>
      </c>
      <c r="S14">
        <v>20381</v>
      </c>
      <c r="T14" s="2">
        <v>44713</v>
      </c>
      <c r="U14">
        <v>14043</v>
      </c>
      <c r="V14">
        <v>17044</v>
      </c>
      <c r="W14" s="2">
        <v>45078</v>
      </c>
    </row>
    <row r="24" spans="11:25">
      <c r="K24" s="15" t="s">
        <v>104</v>
      </c>
    </row>
    <row r="25" spans="11:25">
      <c r="L25" t="s">
        <v>97</v>
      </c>
      <c r="M25" t="s">
        <v>98</v>
      </c>
      <c r="O25" t="s">
        <v>97</v>
      </c>
      <c r="P25" t="s">
        <v>98</v>
      </c>
      <c r="R25" t="s">
        <v>97</v>
      </c>
      <c r="S25" t="s">
        <v>98</v>
      </c>
      <c r="U25" t="s">
        <v>97</v>
      </c>
      <c r="V25" t="s">
        <v>98</v>
      </c>
      <c r="X25" t="s">
        <v>97</v>
      </c>
      <c r="Y25" t="s">
        <v>98</v>
      </c>
    </row>
    <row r="26" spans="11:25">
      <c r="K26" s="2">
        <v>43466</v>
      </c>
      <c r="L26" s="13">
        <v>763.87096774193549</v>
      </c>
      <c r="M26" s="13">
        <v>952.83870967741939</v>
      </c>
      <c r="N26" s="2">
        <v>43647</v>
      </c>
      <c r="O26" s="13">
        <v>626.5625</v>
      </c>
      <c r="P26" s="13">
        <v>774.83870967741939</v>
      </c>
      <c r="Q26" s="2">
        <v>44013</v>
      </c>
      <c r="R26" s="13">
        <v>633.06451612903231</v>
      </c>
      <c r="S26" s="13">
        <v>734.77419354838707</v>
      </c>
      <c r="T26" s="2">
        <v>44378</v>
      </c>
      <c r="U26" s="13">
        <v>560.54838709677415</v>
      </c>
      <c r="V26" s="13">
        <v>683.45161290322585</v>
      </c>
      <c r="W26" s="2">
        <v>44743</v>
      </c>
      <c r="X26" s="13">
        <v>540.90625</v>
      </c>
      <c r="Y26" s="13">
        <v>490.74193548387098</v>
      </c>
    </row>
    <row r="27" spans="11:25">
      <c r="K27" s="2">
        <v>43497</v>
      </c>
      <c r="L27" s="13">
        <v>681.85185185185185</v>
      </c>
      <c r="M27" s="13">
        <v>845.21428571428567</v>
      </c>
      <c r="N27" s="2">
        <v>43678</v>
      </c>
      <c r="O27" s="13">
        <v>510.66666666666669</v>
      </c>
      <c r="P27" s="13">
        <v>609.90322580645159</v>
      </c>
      <c r="Q27" s="2">
        <v>44044</v>
      </c>
      <c r="R27" s="13">
        <v>514.38709677419354</v>
      </c>
      <c r="S27" s="13">
        <v>654.35483870967744</v>
      </c>
      <c r="T27" s="2">
        <v>44409</v>
      </c>
      <c r="U27" s="13">
        <v>459.51612903225805</v>
      </c>
      <c r="V27" s="13">
        <v>550.61290322580646</v>
      </c>
      <c r="W27" s="2">
        <v>44774</v>
      </c>
      <c r="X27" s="13">
        <v>276.38709677419354</v>
      </c>
      <c r="Y27" s="21">
        <v>507.35483870967744</v>
      </c>
    </row>
    <row r="28" spans="11:25">
      <c r="K28" s="2">
        <v>43525</v>
      </c>
      <c r="L28" s="13">
        <v>706.25</v>
      </c>
      <c r="M28" s="13">
        <v>0</v>
      </c>
      <c r="N28" s="2">
        <v>43709</v>
      </c>
      <c r="O28" s="13">
        <v>547.14285714285711</v>
      </c>
      <c r="P28" s="13">
        <v>904.1</v>
      </c>
      <c r="Q28" s="2">
        <v>44075</v>
      </c>
      <c r="R28" s="13">
        <v>556.9666666666667</v>
      </c>
      <c r="S28" s="13">
        <v>645.80645161290317</v>
      </c>
      <c r="T28" s="2">
        <v>44440</v>
      </c>
      <c r="U28" s="21">
        <v>477.03333333333336</v>
      </c>
      <c r="V28" s="21">
        <v>573.73333333333335</v>
      </c>
      <c r="W28" s="2">
        <v>44805</v>
      </c>
      <c r="X28" s="21">
        <v>327.8</v>
      </c>
      <c r="Y28" s="13">
        <v>377.43333333333334</v>
      </c>
    </row>
    <row r="29" spans="11:25">
      <c r="K29" s="2">
        <v>43556</v>
      </c>
      <c r="L29" s="13">
        <v>1150</v>
      </c>
      <c r="M29" s="13">
        <v>660.56666666666672</v>
      </c>
      <c r="N29" s="2">
        <v>43739</v>
      </c>
      <c r="O29" s="13">
        <v>445.29411764705884</v>
      </c>
      <c r="P29" s="13">
        <v>874.90322580645159</v>
      </c>
      <c r="Q29" s="2">
        <v>44105</v>
      </c>
      <c r="R29" s="13">
        <v>726.1</v>
      </c>
      <c r="S29" s="13">
        <v>875.09677419354841</v>
      </c>
      <c r="T29" s="2">
        <v>44470</v>
      </c>
      <c r="U29" s="13">
        <v>489.63333333333333</v>
      </c>
      <c r="V29" s="13">
        <v>391.03225806451616</v>
      </c>
      <c r="W29" s="2">
        <v>44835</v>
      </c>
      <c r="X29" s="13">
        <v>524.35483870967744</v>
      </c>
      <c r="Y29" s="13">
        <v>578.45161290322585</v>
      </c>
    </row>
    <row r="30" spans="11:25">
      <c r="K30" s="2">
        <v>43586</v>
      </c>
      <c r="L30" s="13">
        <v>0</v>
      </c>
      <c r="M30" s="13">
        <v>634.9666666666667</v>
      </c>
      <c r="N30" s="2">
        <v>43770</v>
      </c>
      <c r="O30" s="13">
        <v>1538</v>
      </c>
      <c r="P30" s="13"/>
      <c r="Q30" s="2">
        <v>44136</v>
      </c>
      <c r="R30" s="13">
        <v>736.74193548387098</v>
      </c>
      <c r="S30" s="13">
        <v>891.3</v>
      </c>
      <c r="T30" s="2">
        <v>44501</v>
      </c>
      <c r="U30" s="13">
        <v>513.70000000000005</v>
      </c>
      <c r="V30" s="13">
        <v>666.86666666666667</v>
      </c>
      <c r="W30" s="2">
        <v>44866</v>
      </c>
      <c r="X30" s="13">
        <v>384.83333333333331</v>
      </c>
      <c r="Y30" s="13">
        <v>521.5</v>
      </c>
    </row>
    <row r="31" spans="11:25">
      <c r="K31" s="2">
        <v>43617</v>
      </c>
      <c r="L31" s="13">
        <v>595.71428571428567</v>
      </c>
      <c r="M31" s="13">
        <v>692.6</v>
      </c>
      <c r="N31" s="2">
        <v>43800</v>
      </c>
      <c r="O31" s="13">
        <v>675.35714285714289</v>
      </c>
      <c r="P31" s="13">
        <v>711.74193548387098</v>
      </c>
      <c r="Q31" s="2">
        <v>44166</v>
      </c>
      <c r="R31" s="13">
        <v>635.22580645161293</v>
      </c>
      <c r="S31" s="13">
        <v>751.29032258064512</v>
      </c>
      <c r="T31" s="2">
        <v>44531</v>
      </c>
      <c r="U31" s="13">
        <v>436.19354838709677</v>
      </c>
      <c r="V31" s="13">
        <v>496.93548387096774</v>
      </c>
      <c r="W31" s="2">
        <v>44896</v>
      </c>
      <c r="X31" s="13">
        <v>347.21875</v>
      </c>
      <c r="Y31" s="13">
        <v>392.19354838709677</v>
      </c>
    </row>
    <row r="32" spans="11:25">
      <c r="N32" s="2">
        <v>43831</v>
      </c>
      <c r="O32" s="13">
        <v>872.25806451612902</v>
      </c>
      <c r="P32" s="13">
        <v>1075.4516129032259</v>
      </c>
      <c r="Q32" s="2">
        <v>44197</v>
      </c>
      <c r="R32" s="13">
        <v>687.90322580645159</v>
      </c>
      <c r="S32" s="13">
        <v>814.25806451612902</v>
      </c>
      <c r="T32" s="2">
        <v>44562</v>
      </c>
      <c r="U32" s="13">
        <v>528.32258064516134</v>
      </c>
      <c r="V32" s="13">
        <v>654.54838709677415</v>
      </c>
      <c r="W32" s="2">
        <v>44927</v>
      </c>
      <c r="X32" s="13"/>
      <c r="Y32" s="13"/>
    </row>
    <row r="33" spans="5:25">
      <c r="E33" s="10"/>
      <c r="N33" s="2">
        <v>43862</v>
      </c>
      <c r="O33" s="13">
        <v>806</v>
      </c>
      <c r="P33" s="13">
        <v>1033.9310344827586</v>
      </c>
      <c r="Q33" s="2">
        <v>44228</v>
      </c>
      <c r="R33" s="13">
        <v>783.62068965517244</v>
      </c>
      <c r="S33" s="13">
        <v>865.28571428571433</v>
      </c>
      <c r="T33" s="2">
        <v>44593</v>
      </c>
      <c r="U33" s="13">
        <v>558.92857142857144</v>
      </c>
      <c r="V33" s="13">
        <v>607.46428571428567</v>
      </c>
      <c r="W33" s="2">
        <v>44958</v>
      </c>
      <c r="X33" s="13"/>
      <c r="Y33" s="13"/>
    </row>
    <row r="34" spans="5:25">
      <c r="N34" s="2">
        <v>43891</v>
      </c>
      <c r="O34" s="13">
        <v>621.66666666666663</v>
      </c>
      <c r="P34" s="13">
        <v>747.93103448275861</v>
      </c>
      <c r="Q34" s="2">
        <v>44256</v>
      </c>
      <c r="R34" s="13">
        <v>578.66666666666663</v>
      </c>
      <c r="S34" s="13">
        <v>783.70967741935488</v>
      </c>
      <c r="T34" s="2">
        <v>44621</v>
      </c>
      <c r="U34" s="13">
        <v>495.51612903225805</v>
      </c>
      <c r="V34" s="13">
        <v>574.29032258064512</v>
      </c>
      <c r="W34" s="2">
        <v>44986</v>
      </c>
      <c r="X34" s="13"/>
      <c r="Y34" s="13"/>
    </row>
    <row r="35" spans="5:25">
      <c r="N35" s="2">
        <v>43922</v>
      </c>
      <c r="O35" s="13">
        <v>295.88235294117646</v>
      </c>
      <c r="P35" s="13">
        <v>334.93333333333334</v>
      </c>
      <c r="Q35" s="2">
        <v>44287</v>
      </c>
      <c r="R35" s="13">
        <v>546.86666666666667</v>
      </c>
      <c r="S35" s="13">
        <v>657.2</v>
      </c>
      <c r="T35" s="2">
        <v>44652</v>
      </c>
      <c r="U35" s="13">
        <v>335.56666666666666</v>
      </c>
      <c r="V35" s="13">
        <v>427.96666666666664</v>
      </c>
      <c r="W35" s="2">
        <v>45017</v>
      </c>
      <c r="X35" s="13"/>
      <c r="Y35" s="13"/>
    </row>
    <row r="36" spans="5:25">
      <c r="N36" s="2">
        <v>43952</v>
      </c>
      <c r="O36" s="13">
        <v>338</v>
      </c>
      <c r="P36" s="13">
        <v>402</v>
      </c>
      <c r="Q36" s="2">
        <v>44317</v>
      </c>
      <c r="R36">
        <v>519</v>
      </c>
      <c r="S36" s="13">
        <v>623.51612903225805</v>
      </c>
      <c r="T36" s="2">
        <v>44682</v>
      </c>
      <c r="U36" s="13">
        <v>368.87096774193549</v>
      </c>
      <c r="V36" s="13">
        <v>485.61290322580646</v>
      </c>
      <c r="W36" s="2">
        <v>45047</v>
      </c>
      <c r="X36" s="13"/>
      <c r="Y36" s="13"/>
    </row>
    <row r="37" spans="5:25">
      <c r="N37" s="2">
        <v>43983</v>
      </c>
      <c r="O37" s="13">
        <v>571</v>
      </c>
      <c r="P37" s="13">
        <v>698</v>
      </c>
      <c r="Q37" s="2">
        <v>44348</v>
      </c>
      <c r="R37" s="13">
        <v>575.56666666666672</v>
      </c>
      <c r="S37" s="13">
        <v>679</v>
      </c>
      <c r="T37" s="2">
        <v>44713</v>
      </c>
      <c r="U37" s="13">
        <v>468.1</v>
      </c>
      <c r="V37" s="13">
        <v>568.13333333333333</v>
      </c>
      <c r="W37" s="2">
        <v>45078</v>
      </c>
      <c r="X37" s="13"/>
      <c r="Y37" s="13"/>
    </row>
  </sheetData>
  <pageMargins left="0.7" right="0.7" top="0.75" bottom="0.75" header="0.3" footer="0.3"/>
  <pageSetup paperSize="9" scale="73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F6BA-D61D-4D0D-A147-6E8AF6BE3C1A}">
  <sheetPr>
    <pageSetUpPr fitToPage="1"/>
  </sheetPr>
  <dimension ref="A1:Z16"/>
  <sheetViews>
    <sheetView workbookViewId="0">
      <selection activeCell="AB8" sqref="AB8"/>
    </sheetView>
  </sheetViews>
  <sheetFormatPr defaultRowHeight="15"/>
  <cols>
    <col min="13" max="14" width="9.140625" hidden="1" customWidth="1"/>
    <col min="16" max="17" width="9.140625" hidden="1" customWidth="1"/>
    <col min="19" max="20" width="9.140625" hidden="1" customWidth="1"/>
    <col min="22" max="23" width="0" hidden="1" customWidth="1"/>
  </cols>
  <sheetData>
    <row r="1" spans="1:26" ht="18.75">
      <c r="A1" s="1" t="s">
        <v>105</v>
      </c>
    </row>
    <row r="3" spans="1:26">
      <c r="M3" t="s">
        <v>97</v>
      </c>
      <c r="N3" t="s">
        <v>98</v>
      </c>
      <c r="P3" t="s">
        <v>97</v>
      </c>
      <c r="Q3" t="s">
        <v>98</v>
      </c>
      <c r="S3" t="s">
        <v>97</v>
      </c>
      <c r="T3" t="s">
        <v>98</v>
      </c>
      <c r="V3" t="s">
        <v>97</v>
      </c>
      <c r="W3" t="s">
        <v>98</v>
      </c>
      <c r="Y3" t="s">
        <v>97</v>
      </c>
      <c r="Z3" t="s">
        <v>98</v>
      </c>
    </row>
    <row r="4" spans="1:26">
      <c r="L4" s="2">
        <v>43466</v>
      </c>
      <c r="M4" s="11">
        <v>1.3</v>
      </c>
      <c r="N4" s="11">
        <v>1.4919087277405376</v>
      </c>
      <c r="O4" s="2">
        <v>43647</v>
      </c>
      <c r="P4" s="11">
        <v>1.74</v>
      </c>
      <c r="Q4" s="11">
        <v>2.6322381348875936</v>
      </c>
      <c r="R4" s="2">
        <v>44013</v>
      </c>
      <c r="S4" s="11">
        <v>2.08432287877707</v>
      </c>
      <c r="T4" s="11">
        <v>1.7761416278865572</v>
      </c>
      <c r="U4" s="2">
        <v>44378</v>
      </c>
      <c r="V4" s="20">
        <v>2.2999999999999998</v>
      </c>
      <c r="W4" s="20">
        <v>2.2799999999999998</v>
      </c>
      <c r="X4" s="2">
        <v>44743</v>
      </c>
      <c r="Y4" s="20">
        <v>2.2759648737650928</v>
      </c>
      <c r="Z4" s="20">
        <v>2.8066969696969704</v>
      </c>
    </row>
    <row r="5" spans="1:26">
      <c r="L5" s="2">
        <v>43497</v>
      </c>
      <c r="M5" s="11">
        <v>1.3</v>
      </c>
      <c r="N5" s="11">
        <v>1.5548677427533171</v>
      </c>
      <c r="O5" s="2">
        <v>43678</v>
      </c>
      <c r="P5" s="11">
        <v>2.61</v>
      </c>
      <c r="Q5" s="11">
        <v>2.7645665626487546</v>
      </c>
      <c r="R5" s="2">
        <v>44044</v>
      </c>
      <c r="S5" s="16">
        <v>2.2316166123165679</v>
      </c>
      <c r="T5" s="11">
        <v>1.8357401528222825</v>
      </c>
      <c r="U5" s="2">
        <v>44409</v>
      </c>
      <c r="V5" s="20">
        <v>2.275959389259389</v>
      </c>
      <c r="W5" s="20">
        <v>2.4177872458843512</v>
      </c>
      <c r="X5" s="2">
        <v>44774</v>
      </c>
      <c r="Y5" s="20">
        <v>2.9203973506069092</v>
      </c>
      <c r="Z5" s="20">
        <v>2.7559412194811803</v>
      </c>
    </row>
    <row r="6" spans="1:26">
      <c r="L6" s="2">
        <v>43525</v>
      </c>
      <c r="M6" s="11">
        <v>1.3</v>
      </c>
      <c r="N6" s="11">
        <v>0</v>
      </c>
      <c r="O6" s="2">
        <v>43709</v>
      </c>
      <c r="P6" s="11">
        <v>3.72408568537859</v>
      </c>
      <c r="Q6" s="11">
        <v>1.7754168049257086</v>
      </c>
      <c r="R6" s="2">
        <v>44075</v>
      </c>
      <c r="S6" s="16">
        <v>2.1893256628164459</v>
      </c>
      <c r="T6" s="11">
        <v>1.7941545204795204</v>
      </c>
      <c r="U6" s="2">
        <v>44440</v>
      </c>
      <c r="V6" s="20">
        <v>2.2759649919642229</v>
      </c>
      <c r="W6" s="20">
        <v>2.2002589762956077</v>
      </c>
      <c r="X6" s="2">
        <v>44805</v>
      </c>
      <c r="Y6" s="20">
        <v>2.6883887024608497</v>
      </c>
      <c r="Z6" s="20">
        <v>2.9689398569283756</v>
      </c>
    </row>
    <row r="7" spans="1:26">
      <c r="L7" s="2">
        <v>43556</v>
      </c>
      <c r="M7" s="11">
        <v>1.54</v>
      </c>
      <c r="N7" s="11">
        <v>2.0551102588686483</v>
      </c>
      <c r="O7" s="2">
        <v>43739</v>
      </c>
      <c r="P7" s="11">
        <v>3.9818330713342132</v>
      </c>
      <c r="Q7" s="11">
        <v>1.7664376520905536</v>
      </c>
      <c r="R7" s="2">
        <v>44105</v>
      </c>
      <c r="S7" s="16">
        <v>2.08</v>
      </c>
      <c r="T7" s="11">
        <v>1.58</v>
      </c>
      <c r="U7" s="2">
        <v>44470</v>
      </c>
      <c r="V7" s="20">
        <v>2.2759650078289879</v>
      </c>
      <c r="W7" s="20">
        <v>2.6243862398944069</v>
      </c>
      <c r="X7" s="2">
        <v>44835</v>
      </c>
      <c r="Y7" s="20">
        <v>2.2759649646262687</v>
      </c>
      <c r="Z7" s="20">
        <v>2.4037276656256967</v>
      </c>
    </row>
    <row r="8" spans="1:26">
      <c r="L8" s="2">
        <v>43586</v>
      </c>
      <c r="M8" s="11">
        <v>1.77</v>
      </c>
      <c r="N8" s="11">
        <v>1.8868890755420231</v>
      </c>
      <c r="O8" s="2">
        <v>43770</v>
      </c>
      <c r="P8" s="11">
        <v>1.2260486539800415</v>
      </c>
      <c r="Q8" s="11"/>
      <c r="R8" s="2">
        <v>44136</v>
      </c>
      <c r="S8" s="11">
        <v>1.9840876132930512</v>
      </c>
      <c r="T8" s="11">
        <v>1.6718855604173679</v>
      </c>
      <c r="U8" s="2">
        <v>44501</v>
      </c>
      <c r="V8" s="20">
        <v>2.71</v>
      </c>
      <c r="W8" s="20">
        <v>2.17</v>
      </c>
      <c r="X8" s="2">
        <v>44866</v>
      </c>
      <c r="Y8" s="20">
        <v>2.694293113902122</v>
      </c>
      <c r="Z8" s="20">
        <v>2.4964247043783958</v>
      </c>
    </row>
    <row r="9" spans="1:26">
      <c r="L9" s="2">
        <v>43617</v>
      </c>
      <c r="M9" s="11">
        <v>1.54</v>
      </c>
      <c r="N9" s="11">
        <v>2.8786851477524302</v>
      </c>
      <c r="O9" s="2">
        <v>43800</v>
      </c>
      <c r="P9" s="11">
        <v>3.3510345637228975</v>
      </c>
      <c r="Q9" s="11">
        <v>2.0611856417693981</v>
      </c>
      <c r="R9" s="2">
        <v>44166</v>
      </c>
      <c r="S9" s="16">
        <v>2.1972195185354457</v>
      </c>
      <c r="T9" s="16">
        <v>1.7295318591670243</v>
      </c>
      <c r="U9" s="2">
        <v>44531</v>
      </c>
      <c r="V9" s="20">
        <v>2.2759649829906814</v>
      </c>
      <c r="W9" s="20">
        <v>2.3983490749756573</v>
      </c>
      <c r="X9" s="2">
        <v>44896</v>
      </c>
      <c r="Y9" s="20">
        <v>2.4142309873098728</v>
      </c>
      <c r="Z9" s="20">
        <v>2.8730552722487253</v>
      </c>
    </row>
    <row r="10" spans="1:26">
      <c r="O10" s="2">
        <v>43831</v>
      </c>
      <c r="P10" s="11">
        <v>2.0843317048816568</v>
      </c>
      <c r="Q10" s="11">
        <v>1.6221857284261676</v>
      </c>
      <c r="R10" s="2">
        <v>44197</v>
      </c>
      <c r="S10" s="16">
        <v>2.1</v>
      </c>
      <c r="T10" s="16">
        <v>1.7054192021234444</v>
      </c>
      <c r="U10" s="2">
        <v>44562</v>
      </c>
      <c r="V10" s="20">
        <v>2.3048694895591644</v>
      </c>
      <c r="W10" s="20">
        <v>2.0633774826277658</v>
      </c>
      <c r="X10" s="2">
        <v>44927</v>
      </c>
      <c r="Y10" s="20"/>
      <c r="Z10" s="20"/>
    </row>
    <row r="11" spans="1:26">
      <c r="O11" s="2">
        <v>43862</v>
      </c>
      <c r="P11" s="16">
        <v>2.6322315963606284</v>
      </c>
      <c r="Q11" s="11">
        <v>1.7039487726787619</v>
      </c>
      <c r="R11" s="2">
        <v>44228</v>
      </c>
      <c r="S11" s="20">
        <v>2.1044999999999998</v>
      </c>
      <c r="T11" s="20">
        <v>1.7486099347861974</v>
      </c>
      <c r="U11" s="2">
        <v>44593</v>
      </c>
      <c r="V11" s="20">
        <v>2.2759653674121401</v>
      </c>
      <c r="W11" s="20">
        <v>2.2671639132224111</v>
      </c>
      <c r="X11" s="2">
        <v>44958</v>
      </c>
      <c r="Y11" s="20"/>
      <c r="Z11" s="20"/>
    </row>
    <row r="12" spans="1:26">
      <c r="O12" s="2">
        <v>43891</v>
      </c>
      <c r="P12" s="16">
        <v>2.3331262895442357</v>
      </c>
      <c r="Q12" s="11">
        <v>1.9523075149838636</v>
      </c>
      <c r="R12" s="2">
        <v>44256</v>
      </c>
      <c r="S12" s="20">
        <v>2.1044999999999998</v>
      </c>
      <c r="T12" s="20">
        <v>1.7473960074089321</v>
      </c>
      <c r="U12" s="2">
        <v>44621</v>
      </c>
      <c r="V12" s="20">
        <v>2.2759646181889197</v>
      </c>
      <c r="W12" s="20">
        <v>2.1500542886030445</v>
      </c>
      <c r="X12" s="2">
        <v>44986</v>
      </c>
      <c r="Y12" s="20"/>
      <c r="Z12" s="20"/>
    </row>
    <row r="13" spans="1:26">
      <c r="O13" s="2">
        <v>43922</v>
      </c>
      <c r="P13" s="16">
        <v>1.9481457256461228</v>
      </c>
      <c r="Q13" s="11">
        <v>2.6529451632165602</v>
      </c>
      <c r="R13" s="2">
        <v>44287</v>
      </c>
      <c r="S13" s="20">
        <v>2.1505000000000001</v>
      </c>
      <c r="T13" s="20">
        <v>2.1463691925339825</v>
      </c>
      <c r="U13" s="2">
        <v>44652</v>
      </c>
      <c r="V13" s="20">
        <v>2.2759646458726532</v>
      </c>
      <c r="W13" s="20">
        <v>2.6867552379468802</v>
      </c>
      <c r="X13" s="2">
        <v>45017</v>
      </c>
      <c r="Y13" s="20"/>
      <c r="Z13" s="20"/>
    </row>
    <row r="14" spans="1:26">
      <c r="O14" s="2">
        <v>43952</v>
      </c>
      <c r="P14" s="16">
        <v>1.95</v>
      </c>
      <c r="Q14" s="11">
        <v>2.5499999999999998</v>
      </c>
      <c r="R14" s="2">
        <v>44317</v>
      </c>
      <c r="S14" s="20">
        <v>2.1505000000000001</v>
      </c>
      <c r="T14" s="20">
        <v>2.0509582751306326</v>
      </c>
      <c r="U14" s="2">
        <v>44682</v>
      </c>
      <c r="V14" s="20">
        <v>2.2759651508526448</v>
      </c>
      <c r="W14" s="20">
        <v>2.4706421549089947</v>
      </c>
      <c r="X14" s="2">
        <v>45047</v>
      </c>
      <c r="Y14" s="20"/>
      <c r="Z14" s="20"/>
    </row>
    <row r="15" spans="1:26">
      <c r="O15" s="2">
        <v>43983</v>
      </c>
      <c r="P15" s="11">
        <v>2.0699999999999998</v>
      </c>
      <c r="Q15" s="11">
        <v>3.37</v>
      </c>
      <c r="R15" s="2">
        <v>44348</v>
      </c>
      <c r="S15" s="20">
        <v>2.33</v>
      </c>
      <c r="T15" s="20">
        <v>2.3051770030911141</v>
      </c>
      <c r="U15" s="2">
        <v>44713</v>
      </c>
      <c r="V15" s="20">
        <v>2.275964893541266</v>
      </c>
      <c r="W15" s="20">
        <v>2.7000723421731991</v>
      </c>
      <c r="X15" s="2">
        <v>45078</v>
      </c>
      <c r="Y15" s="20"/>
      <c r="Z15" s="20"/>
    </row>
    <row r="16" spans="1:26">
      <c r="W16" s="20"/>
    </row>
  </sheetData>
  <pageMargins left="0.7" right="0.7" top="0.75" bottom="0.75" header="0.3" footer="0.3"/>
  <pageSetup paperSize="9" scale="89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9CF2D-D5B7-4020-B0E5-8BA7C8C25479}">
  <dimension ref="A1:N16"/>
  <sheetViews>
    <sheetView workbookViewId="0">
      <selection activeCell="L12" sqref="L12"/>
    </sheetView>
  </sheetViews>
  <sheetFormatPr defaultRowHeight="15"/>
  <cols>
    <col min="12" max="12" width="12.7109375" bestFit="1" customWidth="1"/>
    <col min="13" max="13" width="9.5703125" bestFit="1" customWidth="1"/>
  </cols>
  <sheetData>
    <row r="1" spans="1:14" ht="18.75">
      <c r="A1" s="1" t="s">
        <v>106</v>
      </c>
    </row>
    <row r="3" spans="1:14">
      <c r="L3" t="s">
        <v>107</v>
      </c>
      <c r="M3" t="s">
        <v>108</v>
      </c>
    </row>
    <row r="4" spans="1:14">
      <c r="K4" s="7">
        <v>43466</v>
      </c>
      <c r="L4" s="10">
        <v>23975</v>
      </c>
      <c r="M4" s="10">
        <v>23680</v>
      </c>
    </row>
    <row r="5" spans="1:14">
      <c r="K5" s="7">
        <v>43497</v>
      </c>
      <c r="L5" s="10">
        <v>10019</v>
      </c>
      <c r="M5" s="10">
        <v>18410</v>
      </c>
    </row>
    <row r="6" spans="1:14">
      <c r="K6" s="7">
        <v>43525</v>
      </c>
      <c r="L6" s="10">
        <v>23732</v>
      </c>
      <c r="M6" s="10">
        <v>22600</v>
      </c>
    </row>
    <row r="7" spans="1:14">
      <c r="K7" s="7">
        <v>43556</v>
      </c>
      <c r="L7" s="10">
        <v>19830</v>
      </c>
      <c r="M7" s="10">
        <v>34500</v>
      </c>
    </row>
    <row r="8" spans="1:14">
      <c r="K8" s="7">
        <v>43586</v>
      </c>
      <c r="L8" s="10">
        <v>16402</v>
      </c>
      <c r="M8" s="10">
        <v>15630</v>
      </c>
    </row>
    <row r="9" spans="1:14">
      <c r="K9" s="7">
        <v>43617</v>
      </c>
      <c r="L9" s="10">
        <v>17142</v>
      </c>
      <c r="M9" s="10">
        <v>16680</v>
      </c>
    </row>
    <row r="10" spans="1:14">
      <c r="K10" s="7">
        <v>43647</v>
      </c>
      <c r="L10" s="10">
        <v>20710</v>
      </c>
      <c r="M10" s="10">
        <v>20050</v>
      </c>
    </row>
    <row r="11" spans="1:14">
      <c r="K11" s="7">
        <v>43678</v>
      </c>
      <c r="L11" s="10">
        <v>15509</v>
      </c>
      <c r="M11" s="10">
        <v>15320</v>
      </c>
    </row>
    <row r="12" spans="1:14">
      <c r="K12" s="7">
        <v>43709</v>
      </c>
      <c r="L12" s="10"/>
      <c r="M12" s="10"/>
      <c r="N12" s="10"/>
    </row>
    <row r="13" spans="1:14">
      <c r="K13" s="7">
        <v>43739</v>
      </c>
    </row>
    <row r="14" spans="1:14">
      <c r="K14" s="7">
        <v>43770</v>
      </c>
    </row>
    <row r="15" spans="1:14">
      <c r="K15" s="7">
        <v>43800</v>
      </c>
    </row>
    <row r="16" spans="1:14">
      <c r="L16" s="10">
        <f t="shared" ref="L16:M16" si="0">SUM(L4:L15)</f>
        <v>147319</v>
      </c>
      <c r="M16" s="10">
        <f t="shared" si="0"/>
        <v>166870</v>
      </c>
      <c r="N16" s="10">
        <f>L16-M16</f>
        <v>-19551</v>
      </c>
    </row>
  </sheetData>
  <pageMargins left="0.7" right="0.7" top="0.75" bottom="0.75" header="0.3" footer="0.3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81cd01-18d3-4d99-9da7-104aa7df8d71">
      <Terms xmlns="http://schemas.microsoft.com/office/infopath/2007/PartnerControls"/>
    </lcf76f155ced4ddcb4097134ff3c332f>
    <TaxCatchAll xmlns="22a0b230-faea-41c6-942e-118daf6c53c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C2A19C09597A4FB0ECB8D3006DEC5B" ma:contentTypeVersion="13" ma:contentTypeDescription="Create a new document." ma:contentTypeScope="" ma:versionID="d598c60eba24d11febc9cfa4b16b7178">
  <xsd:schema xmlns:xsd="http://www.w3.org/2001/XMLSchema" xmlns:xs="http://www.w3.org/2001/XMLSchema" xmlns:p="http://schemas.microsoft.com/office/2006/metadata/properties" xmlns:ns2="4d81cd01-18d3-4d99-9da7-104aa7df8d71" xmlns:ns3="22a0b230-faea-41c6-942e-118daf6c53c7" targetNamespace="http://schemas.microsoft.com/office/2006/metadata/properties" ma:root="true" ma:fieldsID="f5811d9df039ed1de00da0905aeac536" ns2:_="" ns3:_="">
    <xsd:import namespace="4d81cd01-18d3-4d99-9da7-104aa7df8d71"/>
    <xsd:import namespace="22a0b230-faea-41c6-942e-118daf6c53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1cd01-18d3-4d99-9da7-104aa7df8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0fb1f15-508e-4435-a559-3077e579f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0b230-faea-41c6-942e-118daf6c53c7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16fc043-e475-4f71-8898-77370e45b749}" ma:internalName="TaxCatchAll" ma:showField="CatchAllData" ma:web="22a0b230-faea-41c6-942e-118daf6c53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88E26D-6990-40AD-9162-3716D7092B30}"/>
</file>

<file path=customXml/itemProps2.xml><?xml version="1.0" encoding="utf-8"?>
<ds:datastoreItem xmlns:ds="http://schemas.openxmlformats.org/officeDocument/2006/customXml" ds:itemID="{A77FBA4F-AA6C-4BEF-B100-0DD99A3A72D7}"/>
</file>

<file path=customXml/itemProps3.xml><?xml version="1.0" encoding="utf-8"?>
<ds:datastoreItem xmlns:ds="http://schemas.openxmlformats.org/officeDocument/2006/customXml" ds:itemID="{861F41C3-8857-4573-8A40-9E5EA401E6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Zerilda .</dc:creator>
  <cp:keywords/>
  <dc:description/>
  <cp:lastModifiedBy>Zerilda</cp:lastModifiedBy>
  <cp:revision/>
  <dcterms:created xsi:type="dcterms:W3CDTF">2019-06-07T12:48:28Z</dcterms:created>
  <dcterms:modified xsi:type="dcterms:W3CDTF">2023-01-20T11:10:43Z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0x010100C2C2A19C09597A4FB0ECB8D3006DEC5B</vt:lpwstr>
  </property>
  <property fmtid="{D5CDD505-2E9C-101B-9397-08002B2CF9AE}" pid="3" name="MediaServiceImageTags">
    <vt:lpwstr/>
  </property>
</Properties>
</file>