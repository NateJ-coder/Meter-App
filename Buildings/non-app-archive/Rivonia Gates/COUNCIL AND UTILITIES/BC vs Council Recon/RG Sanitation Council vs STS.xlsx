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RG\Utilities Back Date\"/>
    </mc:Choice>
  </mc:AlternateContent>
  <xr:revisionPtr revIDLastSave="121" documentId="13_ncr:1_{A1CE23AC-B975-4E8E-991A-0C0F4ED816A1}" xr6:coauthVersionLast="47" xr6:coauthVersionMax="47" xr10:uidLastSave="{04B0AA45-1B3E-4BD2-AB12-BF64DDA4A7E1}"/>
  <bookViews>
    <workbookView xWindow="-28920" yWindow="-3765" windowWidth="29040" windowHeight="15840" xr2:uid="{432C0B1C-1742-40A6-8A26-603AEE4EE871}"/>
  </bookViews>
  <sheets>
    <sheet name="Data" sheetId="1" r:id="rId1"/>
    <sheet name="Collections Grap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6" i="1" l="1"/>
  <c r="BH6" i="1"/>
  <c r="BI7" i="1"/>
  <c r="BH7" i="1"/>
  <c r="BG6" i="1"/>
  <c r="BG7" i="1"/>
  <c r="BF6" i="1"/>
  <c r="BF7" i="1"/>
  <c r="AD15" i="2"/>
  <c r="AE15" i="2"/>
  <c r="BE6" i="1"/>
  <c r="BE5" i="1"/>
  <c r="BE7" i="1"/>
  <c r="BD5" i="1"/>
  <c r="BD6" i="1"/>
  <c r="BD7" i="1"/>
  <c r="BC6" i="1"/>
  <c r="BC5" i="1"/>
  <c r="BC7" i="1"/>
  <c r="BB6" i="1"/>
  <c r="BB5" i="1"/>
  <c r="BA5" i="1"/>
  <c r="BA6" i="1"/>
  <c r="BA7" i="1"/>
  <c r="BB7" i="1"/>
  <c r="AZ5" i="1"/>
  <c r="AZ6" i="1"/>
  <c r="AZ7" i="1"/>
  <c r="AY6" i="1"/>
  <c r="AY5" i="1"/>
  <c r="AY7" i="1"/>
  <c r="S15" i="2"/>
  <c r="R15" i="2"/>
  <c r="T15" i="2" s="1"/>
  <c r="AX5" i="1"/>
  <c r="AX6" i="1"/>
  <c r="AX7" i="1" s="1"/>
  <c r="AW6" i="1"/>
  <c r="AW7" i="1" s="1"/>
  <c r="AW5" i="1"/>
  <c r="AV6" i="1"/>
  <c r="AV5" i="1"/>
  <c r="AU6" i="1"/>
  <c r="AU7" i="1" s="1"/>
  <c r="AU5" i="1"/>
  <c r="AT6" i="1"/>
  <c r="AS6" i="1"/>
  <c r="AR6" i="1"/>
  <c r="AT5" i="1"/>
  <c r="AS5" i="1"/>
  <c r="AS7" i="1"/>
  <c r="AR5" i="1"/>
  <c r="AQ5" i="1"/>
  <c r="AQ7" i="1" s="1"/>
  <c r="AP7" i="1"/>
  <c r="AA15" i="2"/>
  <c r="Z15" i="2"/>
  <c r="AN6" i="1"/>
  <c r="AN7" i="1" s="1"/>
  <c r="AM6" i="1"/>
  <c r="AL6" i="1"/>
  <c r="AN5" i="1"/>
  <c r="AM5" i="1"/>
  <c r="AL5" i="1"/>
  <c r="AO7" i="1"/>
  <c r="AK7" i="1"/>
  <c r="AK6" i="1"/>
  <c r="AK5" i="1"/>
  <c r="AF15" i="2" l="1"/>
  <c r="AV7" i="1"/>
  <c r="AT7" i="1"/>
  <c r="AR7" i="1"/>
  <c r="AB15" i="2"/>
  <c r="AM7" i="1"/>
  <c r="AL7" i="1"/>
  <c r="AJ7" i="1"/>
  <c r="AJ6" i="1"/>
  <c r="AJ5" i="1"/>
  <c r="AI6" i="1" l="1"/>
  <c r="AI5" i="1"/>
  <c r="AI7" i="1" s="1"/>
  <c r="AH6" i="1" l="1"/>
  <c r="AH7" i="1" s="1"/>
  <c r="AH5" i="1"/>
  <c r="AG5" i="1"/>
  <c r="AF5" i="1"/>
  <c r="AG6" i="1" l="1"/>
  <c r="AG7" i="1"/>
  <c r="AF6" i="1"/>
  <c r="AE6" i="1" l="1"/>
  <c r="AD6" i="1"/>
  <c r="AE7" i="1"/>
  <c r="AF7" i="1"/>
  <c r="M20" i="2" l="1"/>
  <c r="Q20" i="2" s="1"/>
  <c r="AD7" i="1" l="1"/>
  <c r="AC6" i="1" l="1"/>
  <c r="AC7" i="1"/>
  <c r="AB6" i="1" l="1"/>
  <c r="AA6" i="1"/>
  <c r="AA7" i="1"/>
  <c r="AB7" i="1"/>
  <c r="Z7" i="1" l="1"/>
  <c r="W15" i="2"/>
  <c r="V15" i="2"/>
  <c r="X15" i="2" l="1"/>
  <c r="Y6" i="1"/>
  <c r="X6" i="1"/>
  <c r="X7" i="1" l="1"/>
  <c r="Y7" i="1"/>
  <c r="W7" i="1"/>
  <c r="O15" i="2"/>
  <c r="N15" i="2"/>
  <c r="P15" i="2" l="1"/>
  <c r="O7" i="1"/>
  <c r="P7" i="1"/>
  <c r="Q7" i="1"/>
  <c r="T7" i="1"/>
  <c r="N7" i="1"/>
  <c r="V6" i="1"/>
  <c r="V7" i="1" s="1"/>
  <c r="U6" i="1"/>
  <c r="U7" i="1" s="1"/>
  <c r="T6" i="1"/>
  <c r="S6" i="1"/>
  <c r="S7" i="1" s="1"/>
  <c r="R6" i="1"/>
  <c r="R7" i="1" s="1"/>
</calcChain>
</file>

<file path=xl/sharedStrings.xml><?xml version="1.0" encoding="utf-8"?>
<sst xmlns="http://schemas.openxmlformats.org/spreadsheetml/2006/main" count="24" uniqueCount="13">
  <si>
    <t>Rivonia Gate Sanitation Back Date Summary 2018 - Apr2019</t>
  </si>
  <si>
    <t>Unit No</t>
  </si>
  <si>
    <t>STS Total</t>
  </si>
  <si>
    <t>Council Total</t>
  </si>
  <si>
    <t>Difference</t>
  </si>
  <si>
    <t>Rivonia Gate Sanitation Council vs STS</t>
  </si>
  <si>
    <t>BC</t>
  </si>
  <si>
    <t>Council</t>
  </si>
  <si>
    <t>Council Account in credit</t>
  </si>
  <si>
    <t>Council Back Date</t>
  </si>
  <si>
    <t>Account in credit</t>
  </si>
  <si>
    <t>BC started billing owners according to readings taken</t>
  </si>
  <si>
    <t>RG 2018 Sanitation budget is R57633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</si>
</sst>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7" fontId="1" fillId="0" borderId="0" xfId="0" applyNumberFormat="1" applyFont="1"/>
    <xf numFmtId="0" fontId="0" fillId="0" borderId="1" xfId="0" applyBorder="1"/>
    <xf numFmtId="165" fontId="0" fillId="0" borderId="1" xfId="0" applyNumberFormat="1" applyBorder="1"/>
    <xf numFmtId="164" fontId="0" fillId="0" borderId="0" xfId="0" applyNumberFormat="1"/>
    <xf numFmtId="164" fontId="1" fillId="0" borderId="2" xfId="0" applyNumberFormat="1" applyFont="1" applyBorder="1"/>
    <xf numFmtId="0" fontId="3" fillId="0" borderId="0" xfId="0" applyFont="1"/>
    <xf numFmtId="164" fontId="0" fillId="0" borderId="0" xfId="1" applyFont="1"/>
    <xf numFmtId="17" fontId="1" fillId="2" borderId="0" xfId="0" applyNumberFormat="1" applyFont="1" applyFill="1"/>
    <xf numFmtId="164" fontId="0" fillId="0" borderId="1" xfId="1" applyFont="1" applyBorder="1"/>
    <xf numFmtId="166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7" fontId="1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7" fontId="1" fillId="0" borderId="0" xfId="0" applyNumberFormat="1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'Collections Graph'!$AD$2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'Collections Graph'!$AC$3:$AC$14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'Collections Graph'!$AD$3:$AD$14</c:f>
              <c:numCache>
                <c:formatCode>_-[$R-436]* #,##0.00_-;\-[$R-436]* #,##0.00_-;_-[$R-436]* "-"??_-;_-@_-</c:formatCode>
                <c:ptCount val="12"/>
                <c:pt idx="0">
                  <c:v>2834.1749999999997</c:v>
                </c:pt>
                <c:pt idx="1">
                  <c:v>3245.5874999999996</c:v>
                </c:pt>
                <c:pt idx="2">
                  <c:v>3565.58</c:v>
                </c:pt>
                <c:pt idx="3">
                  <c:v>3154.16</c:v>
                </c:pt>
                <c:pt idx="4">
                  <c:v>3337.01</c:v>
                </c:pt>
                <c:pt idx="5">
                  <c:v>3108.45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9-47CB-88C2-02FAA31113E3}"/>
            </c:ext>
          </c:extLst>
        </c:ser>
        <c:ser>
          <c:idx val="1"/>
          <c:order val="1"/>
          <c:tx>
            <c:strRef>
              <c:f>'Collections Graph'!$AE$2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'Collections Graph'!$AC$3:$AC$14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'Collections Graph'!$AE$3:$AE$14</c:f>
              <c:numCache>
                <c:formatCode>_-[$R-436]* #,##0.00_-;\-[$R-436]* #,##0.00_-;_-[$R-436]* "-"??_-;_-@_-</c:formatCode>
                <c:ptCount val="12"/>
                <c:pt idx="0">
                  <c:v>2888.6504999999997</c:v>
                </c:pt>
                <c:pt idx="1">
                  <c:v>3081.8620000000001</c:v>
                </c:pt>
                <c:pt idx="2">
                  <c:v>2673.9684999999999</c:v>
                </c:pt>
                <c:pt idx="3">
                  <c:v>4124.2564999999995</c:v>
                </c:pt>
                <c:pt idx="4">
                  <c:v>4480.5839999999998</c:v>
                </c:pt>
                <c:pt idx="5">
                  <c:v>2902.9450000000002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B9-47CB-88C2-02FAA3111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346951"/>
        <c:axId val="324061575"/>
      </c:barChart>
      <c:dateAx>
        <c:axId val="2213469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61575"/>
        <c:crosses val="autoZero"/>
        <c:auto val="1"/>
        <c:lblOffset val="100"/>
        <c:baseTimeUnit val="months"/>
      </c:dateAx>
      <c:valAx>
        <c:axId val="324061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46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</xdr:row>
      <xdr:rowOff>104775</xdr:rowOff>
    </xdr:from>
    <xdr:to>
      <xdr:col>10</xdr:col>
      <xdr:colOff>142875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12E7B0-87B0-4295-6CF3-812A44327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F616-8E3F-4701-9A4E-09DBE820B554}">
  <sheetPr>
    <pageSetUpPr fitToPage="1"/>
  </sheetPr>
  <dimension ref="A1:BJ7"/>
  <sheetViews>
    <sheetView tabSelected="1" workbookViewId="0">
      <selection activeCell="BK13" sqref="BK13"/>
    </sheetView>
  </sheetViews>
  <sheetFormatPr defaultRowHeight="15"/>
  <cols>
    <col min="1" max="1" width="12.7109375" customWidth="1"/>
    <col min="2" max="2" width="10.140625" customWidth="1"/>
    <col min="3" max="13" width="9.85546875" hidden="1" customWidth="1"/>
    <col min="14" max="14" width="9.85546875" bestFit="1" customWidth="1"/>
    <col min="15" max="15" width="9.85546875" hidden="1" customWidth="1"/>
    <col min="16" max="17" width="10.85546875" hidden="1" customWidth="1"/>
    <col min="18" max="21" width="9.85546875" hidden="1" customWidth="1"/>
    <col min="22" max="22" width="10.85546875" hidden="1" customWidth="1"/>
    <col min="23" max="24" width="0" hidden="1" customWidth="1"/>
    <col min="25" max="25" width="9.85546875" hidden="1" customWidth="1"/>
    <col min="26" max="26" width="9.85546875" bestFit="1" customWidth="1"/>
    <col min="27" max="27" width="9.85546875" hidden="1" customWidth="1"/>
    <col min="28" max="30" width="10.85546875" hidden="1" customWidth="1"/>
    <col min="31" max="33" width="9.85546875" hidden="1" customWidth="1"/>
    <col min="34" max="34" width="0" hidden="1" customWidth="1"/>
    <col min="35" max="36" width="10.7109375" hidden="1" customWidth="1"/>
    <col min="37" max="37" width="11.7109375" hidden="1" customWidth="1"/>
    <col min="38" max="38" width="11.7109375" bestFit="1" customWidth="1"/>
    <col min="39" max="41" width="11.7109375" hidden="1" customWidth="1"/>
    <col min="42" max="42" width="0" hidden="1" customWidth="1"/>
    <col min="43" max="44" width="11.7109375" hidden="1" customWidth="1"/>
    <col min="45" max="48" width="10.7109375" hidden="1" customWidth="1"/>
    <col min="49" max="49" width="11.7109375" hidden="1" customWidth="1"/>
    <col min="50" max="50" width="11.7109375" bestFit="1" customWidth="1"/>
    <col min="51" max="51" width="11" hidden="1" customWidth="1"/>
    <col min="52" max="52" width="10.85546875" hidden="1" customWidth="1"/>
    <col min="53" max="53" width="11" hidden="1" customWidth="1"/>
    <col min="54" max="60" width="10.85546875" hidden="1" customWidth="1"/>
    <col min="61" max="61" width="11" bestFit="1" customWidth="1"/>
  </cols>
  <sheetData>
    <row r="1" spans="1:62" ht="18.75">
      <c r="A1" s="2" t="s">
        <v>0</v>
      </c>
    </row>
    <row r="4" spans="1:62">
      <c r="A4" s="1" t="s">
        <v>1</v>
      </c>
      <c r="B4" s="10">
        <v>43101</v>
      </c>
      <c r="C4" s="3">
        <v>43132</v>
      </c>
      <c r="D4" s="3">
        <v>43160</v>
      </c>
      <c r="E4" s="3">
        <v>43191</v>
      </c>
      <c r="F4" s="3">
        <v>43221</v>
      </c>
      <c r="G4" s="3">
        <v>43252</v>
      </c>
      <c r="H4" s="3">
        <v>43282</v>
      </c>
      <c r="I4" s="3">
        <v>43313</v>
      </c>
      <c r="J4" s="3">
        <v>43344</v>
      </c>
      <c r="K4" s="3">
        <v>43374</v>
      </c>
      <c r="L4" s="3">
        <v>43405</v>
      </c>
      <c r="M4" s="3">
        <v>43435</v>
      </c>
      <c r="N4" s="10">
        <v>43466</v>
      </c>
      <c r="O4" s="3">
        <v>43497</v>
      </c>
      <c r="P4" s="3">
        <v>43525</v>
      </c>
      <c r="Q4" s="3">
        <v>43556</v>
      </c>
      <c r="R4" s="3">
        <v>43586</v>
      </c>
      <c r="S4" s="3">
        <v>43617</v>
      </c>
      <c r="T4" s="3">
        <v>43647</v>
      </c>
      <c r="U4" s="3">
        <v>43678</v>
      </c>
      <c r="V4" s="3">
        <v>43709</v>
      </c>
      <c r="W4" s="3">
        <v>43739</v>
      </c>
      <c r="X4" s="3">
        <v>43770</v>
      </c>
      <c r="Y4" s="3">
        <v>43800</v>
      </c>
      <c r="Z4" s="10">
        <v>43831</v>
      </c>
      <c r="AA4" s="3">
        <v>43862</v>
      </c>
      <c r="AB4" s="3">
        <v>43891</v>
      </c>
      <c r="AC4" s="3">
        <v>43922</v>
      </c>
      <c r="AD4" s="3">
        <v>43952</v>
      </c>
      <c r="AE4" s="3">
        <v>43983</v>
      </c>
      <c r="AF4" s="3">
        <v>44013</v>
      </c>
      <c r="AG4" s="3">
        <v>44044</v>
      </c>
      <c r="AH4" s="3">
        <v>44075</v>
      </c>
      <c r="AI4" s="3">
        <v>44105</v>
      </c>
      <c r="AJ4" s="3">
        <v>44136</v>
      </c>
      <c r="AK4" s="3">
        <v>44166</v>
      </c>
      <c r="AL4" s="10">
        <v>44197</v>
      </c>
      <c r="AM4" s="3">
        <v>44228</v>
      </c>
      <c r="AN4" s="3">
        <v>44256</v>
      </c>
      <c r="AO4" s="3">
        <v>44287</v>
      </c>
      <c r="AP4" s="3">
        <v>44317</v>
      </c>
      <c r="AQ4" s="3">
        <v>44348</v>
      </c>
      <c r="AR4" s="3">
        <v>44378</v>
      </c>
      <c r="AS4" s="3">
        <v>44409</v>
      </c>
      <c r="AT4" s="3">
        <v>44440</v>
      </c>
      <c r="AU4" s="3">
        <v>44470</v>
      </c>
      <c r="AV4" s="3">
        <v>44501</v>
      </c>
      <c r="AW4" s="3">
        <v>44531</v>
      </c>
      <c r="AX4" s="10">
        <v>44562</v>
      </c>
      <c r="AY4" s="3">
        <v>44593</v>
      </c>
      <c r="AZ4" s="3">
        <v>44621</v>
      </c>
      <c r="BA4" s="3">
        <v>44652</v>
      </c>
      <c r="BB4" s="3">
        <v>44682</v>
      </c>
      <c r="BC4" s="3">
        <v>44713</v>
      </c>
      <c r="BD4" s="3">
        <v>44743</v>
      </c>
      <c r="BE4" s="3">
        <v>44774</v>
      </c>
      <c r="BF4" s="3">
        <v>44805</v>
      </c>
      <c r="BG4" s="3">
        <v>44835</v>
      </c>
      <c r="BH4" s="3">
        <v>44866</v>
      </c>
      <c r="BI4" s="3">
        <v>44896</v>
      </c>
      <c r="BJ4" s="10">
        <v>44927</v>
      </c>
    </row>
    <row r="5" spans="1:62">
      <c r="A5" s="4" t="s">
        <v>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5952</v>
      </c>
      <c r="O5" s="5">
        <v>5952</v>
      </c>
      <c r="P5" s="5">
        <v>5952</v>
      </c>
      <c r="Q5" s="5">
        <v>5952</v>
      </c>
      <c r="R5" s="5">
        <v>5952</v>
      </c>
      <c r="S5" s="5">
        <v>5952</v>
      </c>
      <c r="T5" s="5">
        <v>5952</v>
      </c>
      <c r="U5" s="5">
        <v>5952</v>
      </c>
      <c r="V5" s="5">
        <v>5952</v>
      </c>
      <c r="W5" s="5">
        <v>5952</v>
      </c>
      <c r="X5" s="5">
        <v>5952</v>
      </c>
      <c r="Y5" s="5">
        <v>5952</v>
      </c>
      <c r="Z5" s="5"/>
      <c r="AA5" s="5"/>
      <c r="AB5" s="5"/>
      <c r="AC5" s="5"/>
      <c r="AD5" s="5"/>
      <c r="AE5" s="5"/>
      <c r="AF5" s="5">
        <f>5093.37*1.15</f>
        <v>5857.3754999999992</v>
      </c>
      <c r="AG5" s="5">
        <f>5093.37*1.15</f>
        <v>5857.3754999999992</v>
      </c>
      <c r="AH5" s="5">
        <f>6172.72*1.15</f>
        <v>7098.6279999999997</v>
      </c>
      <c r="AI5" s="11">
        <f>7964.31*1.15</f>
        <v>9158.9565000000002</v>
      </c>
      <c r="AJ5" s="11">
        <f>7477.79*1.15</f>
        <v>8599.4584999999988</v>
      </c>
      <c r="AK5" s="11">
        <f>9070.6*1.15</f>
        <v>10431.19</v>
      </c>
      <c r="AL5" s="11">
        <f>9085.49*1.15</f>
        <v>10448.313499999998</v>
      </c>
      <c r="AM5" s="11">
        <f>7382.57*1.15</f>
        <v>8489.9554999999982</v>
      </c>
      <c r="AN5" s="11">
        <f>13165.86*1.15</f>
        <v>15140.739</v>
      </c>
      <c r="AO5" s="11">
        <v>0</v>
      </c>
      <c r="AP5" s="11">
        <v>0</v>
      </c>
      <c r="AQ5" s="11">
        <f>20777.16*1.15</f>
        <v>23893.733999999997</v>
      </c>
      <c r="AR5" s="11">
        <f>2655.98*1.15</f>
        <v>3054.377</v>
      </c>
      <c r="AS5" s="11">
        <f>2270.52*1.15</f>
        <v>2611.098</v>
      </c>
      <c r="AT5" s="11">
        <f>2126.36*1.15</f>
        <v>2445.3139999999999</v>
      </c>
      <c r="AU5" s="11">
        <f>1441.8*1.15</f>
        <v>1658.0699999999997</v>
      </c>
      <c r="AV5" s="11">
        <f>4325.4*1.15</f>
        <v>4974.2099999999991</v>
      </c>
      <c r="AW5" s="11">
        <f>1939.14*1.15</f>
        <v>2230.011</v>
      </c>
      <c r="AX5" s="11">
        <f>1328.67*1.15</f>
        <v>1527.9704999999999</v>
      </c>
      <c r="AY5" s="11">
        <f>4345.11*1.15</f>
        <v>4996.8764999999994</v>
      </c>
      <c r="AZ5" s="11">
        <f>3231.9*1.15</f>
        <v>3716.6849999999999</v>
      </c>
      <c r="BA5" s="11">
        <f>5422.41*1.15</f>
        <v>6235.7714999999989</v>
      </c>
      <c r="BB5" s="11">
        <f>2513.7*1.15</f>
        <v>2890.7549999999997</v>
      </c>
      <c r="BC5" s="11">
        <f>2226.42*1.15</f>
        <v>2560.3829999999998</v>
      </c>
      <c r="BD5" s="11">
        <f>2464.5*1.15</f>
        <v>2834.1749999999997</v>
      </c>
      <c r="BE5" s="11">
        <f>2822.25*1.15</f>
        <v>3245.5874999999996</v>
      </c>
      <c r="BF5" s="11">
        <v>3565.58</v>
      </c>
      <c r="BG5" s="11">
        <v>3154.16</v>
      </c>
      <c r="BH5" s="11">
        <v>3337.01</v>
      </c>
      <c r="BI5" s="11">
        <v>3108.45</v>
      </c>
    </row>
    <row r="6" spans="1:62">
      <c r="A6" s="4" t="s">
        <v>3</v>
      </c>
      <c r="B6" s="5">
        <v>1961.0051999999998</v>
      </c>
      <c r="C6" s="5">
        <v>5140.0889999999999</v>
      </c>
      <c r="D6" s="5">
        <v>3274.1826000000001</v>
      </c>
      <c r="E6" s="5">
        <v>3302.9034999999999</v>
      </c>
      <c r="F6" s="5">
        <v>3993.8924999999995</v>
      </c>
      <c r="G6" s="5">
        <v>5101.6875</v>
      </c>
      <c r="H6" s="5">
        <v>2131.41</v>
      </c>
      <c r="I6" s="5">
        <v>4653.704999999999</v>
      </c>
      <c r="J6" s="5">
        <v>9051.6730000000007</v>
      </c>
      <c r="K6" s="5">
        <v>9604.4549999999999</v>
      </c>
      <c r="L6" s="5">
        <v>5247.7950000000001</v>
      </c>
      <c r="M6" s="5">
        <v>4191.6350000000002</v>
      </c>
      <c r="N6" s="5">
        <v>5476.7945</v>
      </c>
      <c r="O6" s="5">
        <v>5678.8264999999992</v>
      </c>
      <c r="P6" s="5">
        <v>16271.464999999998</v>
      </c>
      <c r="Q6" s="5">
        <v>22146.355</v>
      </c>
      <c r="R6" s="5">
        <f>5313.68*1.15</f>
        <v>6110.732</v>
      </c>
      <c r="S6" s="5">
        <f>5314.89*1.15</f>
        <v>6112.1234999999997</v>
      </c>
      <c r="T6" s="5">
        <f>(3096.21+3402.59)*1.15</f>
        <v>7473.62</v>
      </c>
      <c r="U6" s="5">
        <f>7334.2*1.15</f>
        <v>8434.33</v>
      </c>
      <c r="V6" s="5">
        <f>(5972.25+9995.27)*1.15</f>
        <v>18362.647999999997</v>
      </c>
      <c r="W6" s="5">
        <v>6528.78</v>
      </c>
      <c r="X6" s="5">
        <f>5677.2*1.15</f>
        <v>6528.7799999999988</v>
      </c>
      <c r="Y6" s="5">
        <f>4762.54*1.15</f>
        <v>5476.9209999999994</v>
      </c>
      <c r="Z6" s="5">
        <v>7036.57</v>
      </c>
      <c r="AA6" s="5">
        <f>7506.52*1.15</f>
        <v>8632.4979999999996</v>
      </c>
      <c r="AB6" s="5">
        <f>8768.12*1.15</f>
        <v>10083.338</v>
      </c>
      <c r="AC6" s="5">
        <f>12036.66*1.15</f>
        <v>13842.159</v>
      </c>
      <c r="AD6" s="5">
        <f>(27029.78-12036.66)*1.15</f>
        <v>17242.087999999996</v>
      </c>
      <c r="AE6" s="5">
        <f>5093.37*1.15</f>
        <v>5857.3754999999992</v>
      </c>
      <c r="AF6" s="5">
        <f>(2923.79+2727.03)*1.15</f>
        <v>6498.4429999999993</v>
      </c>
      <c r="AG6" s="5">
        <f>5567.04*1.15</f>
        <v>6402.0959999999995</v>
      </c>
      <c r="AH6" s="5">
        <f>6172.72*1.15</f>
        <v>7098.6279999999997</v>
      </c>
      <c r="AI6" s="11">
        <f>7964.31*1.15</f>
        <v>9158.9565000000002</v>
      </c>
      <c r="AJ6" s="11">
        <f>7477.79*1.15</f>
        <v>8599.4584999999988</v>
      </c>
      <c r="AK6" s="11">
        <f>9070.6*1.15</f>
        <v>10431.19</v>
      </c>
      <c r="AL6" s="11">
        <f>9085.49*1.15</f>
        <v>10448.313499999998</v>
      </c>
      <c r="AM6" s="11">
        <f>7382.57*1.15</f>
        <v>8489.9554999999982</v>
      </c>
      <c r="AN6" s="11">
        <f>13165.86*1.15</f>
        <v>15140.739</v>
      </c>
      <c r="AO6" s="11">
        <v>0</v>
      </c>
      <c r="AP6" s="11">
        <v>0</v>
      </c>
      <c r="AQ6" s="11">
        <v>0</v>
      </c>
      <c r="AR6" s="11">
        <f>(3485.91+3135.46)*1.15</f>
        <v>7614.575499999999</v>
      </c>
      <c r="AS6" s="11">
        <f>4632.39*1.15</f>
        <v>5327.2484999999997</v>
      </c>
      <c r="AT6" s="11">
        <f>7469.28*1.15</f>
        <v>8589.6719999999987</v>
      </c>
      <c r="AU6" s="11">
        <f>4129.65*1.15</f>
        <v>4749.0974999999989</v>
      </c>
      <c r="AV6" s="11">
        <f>8079.75*1.15</f>
        <v>9291.7124999999996</v>
      </c>
      <c r="AW6" s="11">
        <f>11670.75*1.15</f>
        <v>13421.362499999999</v>
      </c>
      <c r="AX6" s="11">
        <f>6068.79*1.15</f>
        <v>6979.1084999999994</v>
      </c>
      <c r="AY6" s="11">
        <f>3195.99*1.15</f>
        <v>3675.3884999999996</v>
      </c>
      <c r="AZ6" s="11">
        <f>3052.35*1.15</f>
        <v>3510.2024999999994</v>
      </c>
      <c r="BA6" s="11">
        <f>6463.8*1.15</f>
        <v>7433.37</v>
      </c>
      <c r="BB6" s="11">
        <f>2441.88*1.15</f>
        <v>2808.1619999999998</v>
      </c>
      <c r="BC6" s="11">
        <f>2082.78*1.15</f>
        <v>2395.1970000000001</v>
      </c>
      <c r="BD6" s="11">
        <f>(1319.4+1192.47)*1.15</f>
        <v>2888.6504999999997</v>
      </c>
      <c r="BE6" s="11">
        <f>2679.88*1.15</f>
        <v>3081.8620000000001</v>
      </c>
      <c r="BF6" s="11">
        <f>2325.19*1.15</f>
        <v>2673.9684999999999</v>
      </c>
      <c r="BG6" s="11">
        <f>3586.31*1.15</f>
        <v>4124.2564999999995</v>
      </c>
      <c r="BH6" s="11">
        <f>3896.16*1.15</f>
        <v>4480.5839999999998</v>
      </c>
      <c r="BI6" s="11">
        <f>2524.3*1.15</f>
        <v>2902.9450000000002</v>
      </c>
    </row>
    <row r="7" spans="1:62">
      <c r="A7" s="4" t="s">
        <v>4</v>
      </c>
      <c r="B7" s="5">
        <v>-1961.0051999999998</v>
      </c>
      <c r="C7" s="5">
        <v>-5140.0889999999999</v>
      </c>
      <c r="D7" s="5">
        <v>-3274.1826000000001</v>
      </c>
      <c r="E7" s="5">
        <v>-3302.9034999999999</v>
      </c>
      <c r="F7" s="5">
        <v>-3993.8924999999995</v>
      </c>
      <c r="G7" s="5">
        <v>-5101.6875</v>
      </c>
      <c r="H7" s="5">
        <v>-2131.41</v>
      </c>
      <c r="I7" s="5">
        <v>-4653.704999999999</v>
      </c>
      <c r="J7" s="5">
        <v>-9051.6730000000007</v>
      </c>
      <c r="K7" s="5">
        <v>-9604.4549999999999</v>
      </c>
      <c r="L7" s="5">
        <v>-5247.7950000000001</v>
      </c>
      <c r="M7" s="5">
        <v>-4191.6350000000002</v>
      </c>
      <c r="N7" s="5">
        <f>N5-N6</f>
        <v>475.20550000000003</v>
      </c>
      <c r="O7" s="5">
        <f t="shared" ref="O7:V7" si="0">O5-O6</f>
        <v>273.17350000000079</v>
      </c>
      <c r="P7" s="5">
        <f t="shared" si="0"/>
        <v>-10319.464999999998</v>
      </c>
      <c r="Q7" s="5">
        <f t="shared" si="0"/>
        <v>-16194.355</v>
      </c>
      <c r="R7" s="5">
        <f t="shared" si="0"/>
        <v>-158.73199999999997</v>
      </c>
      <c r="S7" s="5">
        <f t="shared" si="0"/>
        <v>-160.12349999999969</v>
      </c>
      <c r="T7" s="5">
        <f t="shared" si="0"/>
        <v>-1521.62</v>
      </c>
      <c r="U7" s="5">
        <f t="shared" si="0"/>
        <v>-2482.33</v>
      </c>
      <c r="V7" s="5">
        <f t="shared" si="0"/>
        <v>-12410.647999999997</v>
      </c>
      <c r="W7" s="5">
        <f>W5-W6</f>
        <v>-576.77999999999975</v>
      </c>
      <c r="X7" s="5">
        <f t="shared" ref="X7:Y7" si="1">X5-X6</f>
        <v>-576.77999999999884</v>
      </c>
      <c r="Y7" s="5">
        <f t="shared" si="1"/>
        <v>475.07900000000063</v>
      </c>
      <c r="Z7" s="5">
        <f t="shared" ref="Z7:AB7" si="2">Z5-Z6</f>
        <v>-7036.57</v>
      </c>
      <c r="AA7" s="5">
        <f t="shared" si="2"/>
        <v>-8632.4979999999996</v>
      </c>
      <c r="AB7" s="5">
        <f t="shared" si="2"/>
        <v>-10083.338</v>
      </c>
      <c r="AC7" s="5">
        <f t="shared" ref="AC7:AD7" si="3">AC5-AC6</f>
        <v>-13842.159</v>
      </c>
      <c r="AD7" s="5">
        <f t="shared" si="3"/>
        <v>-17242.087999999996</v>
      </c>
      <c r="AE7" s="5">
        <f t="shared" ref="AE7:AF7" si="4">AE5-AE6</f>
        <v>-5857.3754999999992</v>
      </c>
      <c r="AF7" s="5">
        <f t="shared" si="4"/>
        <v>-641.06750000000011</v>
      </c>
      <c r="AG7" s="5">
        <f t="shared" ref="AG7:AH7" si="5">AG5-AG6</f>
        <v>-544.72050000000036</v>
      </c>
      <c r="AH7" s="5">
        <f t="shared" si="5"/>
        <v>0</v>
      </c>
      <c r="AI7" s="11">
        <f t="shared" ref="AI7:AK7" si="6">AI5-AI6</f>
        <v>0</v>
      </c>
      <c r="AJ7" s="11">
        <f t="shared" si="6"/>
        <v>0</v>
      </c>
      <c r="AK7" s="11">
        <f t="shared" si="6"/>
        <v>0</v>
      </c>
      <c r="AL7" s="11">
        <f t="shared" ref="AL7:AO7" si="7">AL5-AL6</f>
        <v>0</v>
      </c>
      <c r="AM7" s="11">
        <f t="shared" si="7"/>
        <v>0</v>
      </c>
      <c r="AN7" s="11">
        <f t="shared" si="7"/>
        <v>0</v>
      </c>
      <c r="AO7" s="11">
        <f t="shared" si="7"/>
        <v>0</v>
      </c>
      <c r="AP7" s="11">
        <f t="shared" ref="AP7:AQ7" si="8">AP5-AP6</f>
        <v>0</v>
      </c>
      <c r="AQ7" s="11">
        <f t="shared" si="8"/>
        <v>23893.733999999997</v>
      </c>
      <c r="AR7" s="11">
        <f t="shared" ref="AR7:AS7" si="9">AR5-AR6</f>
        <v>-4560.1984999999986</v>
      </c>
      <c r="AS7" s="11">
        <f t="shared" si="9"/>
        <v>-2716.1504999999997</v>
      </c>
      <c r="AT7" s="11">
        <f t="shared" ref="AT7:AU7" si="10">AT5-AT6</f>
        <v>-6144.3579999999984</v>
      </c>
      <c r="AU7" s="11">
        <f t="shared" si="10"/>
        <v>-3091.0274999999992</v>
      </c>
      <c r="AV7" s="11">
        <f t="shared" ref="AV7:AW7" si="11">AV5-AV6</f>
        <v>-4317.5025000000005</v>
      </c>
      <c r="AW7" s="11">
        <f t="shared" si="11"/>
        <v>-11191.351499999999</v>
      </c>
      <c r="AX7" s="11">
        <f t="shared" ref="AX7:AY7" si="12">AX5-AX6</f>
        <v>-5451.137999999999</v>
      </c>
      <c r="AY7" s="11">
        <f t="shared" si="12"/>
        <v>1321.4879999999998</v>
      </c>
      <c r="AZ7" s="11">
        <f t="shared" ref="AZ7:BB7" si="13">AZ5-AZ6</f>
        <v>206.48250000000053</v>
      </c>
      <c r="BA7" s="11">
        <f t="shared" si="13"/>
        <v>-1197.598500000001</v>
      </c>
      <c r="BB7" s="11">
        <f t="shared" si="13"/>
        <v>82.592999999999847</v>
      </c>
      <c r="BC7" s="11">
        <f t="shared" ref="BC7:BD7" si="14">BC5-BC6</f>
        <v>165.18599999999969</v>
      </c>
      <c r="BD7" s="11">
        <f t="shared" si="14"/>
        <v>-54.475500000000011</v>
      </c>
      <c r="BE7" s="11">
        <f t="shared" ref="BE7:BF7" si="15">BE5-BE6</f>
        <v>163.72549999999956</v>
      </c>
      <c r="BF7" s="11">
        <f t="shared" si="15"/>
        <v>891.61149999999998</v>
      </c>
      <c r="BG7" s="11">
        <f t="shared" ref="BG7:BH7" si="16">BG5-BG6</f>
        <v>-970.09649999999965</v>
      </c>
      <c r="BH7" s="11">
        <f t="shared" si="16"/>
        <v>-1143.5739999999996</v>
      </c>
      <c r="BI7" s="11">
        <f t="shared" ref="BI7" si="17">BI5-BI6</f>
        <v>205.50499999999965</v>
      </c>
    </row>
  </sheetData>
  <pageMargins left="0.7" right="0.7" top="0.75" bottom="0.75" header="0.3" footer="0.3"/>
  <pageSetup paperSize="9" scale="75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939A-8C9F-443C-BDE3-CDF6616B9E6D}">
  <dimension ref="A1:AF20"/>
  <sheetViews>
    <sheetView workbookViewId="0">
      <selection activeCell="AE12" sqref="AE12"/>
    </sheetView>
  </sheetViews>
  <sheetFormatPr defaultRowHeight="15"/>
  <cols>
    <col min="14" max="14" width="11.5703125" hidden="1" customWidth="1"/>
    <col min="15" max="15" width="12.5703125" hidden="1" customWidth="1"/>
    <col min="16" max="16" width="11.5703125" hidden="1" customWidth="1"/>
    <col min="18" max="18" width="11.7109375" hidden="1" customWidth="1"/>
    <col min="19" max="19" width="12.7109375" hidden="1" customWidth="1"/>
    <col min="20" max="20" width="11.5703125" hidden="1" customWidth="1"/>
    <col min="22" max="23" width="11.7109375" hidden="1" customWidth="1"/>
    <col min="24" max="24" width="16.7109375" hidden="1" customWidth="1"/>
    <col min="26" max="27" width="11.7109375" hidden="1" customWidth="1"/>
    <col min="28" max="28" width="31.42578125" hidden="1" customWidth="1"/>
    <col min="30" max="31" width="12" bestFit="1" customWidth="1"/>
    <col min="32" max="32" width="23.28515625" bestFit="1" customWidth="1"/>
  </cols>
  <sheetData>
    <row r="1" spans="1:32" ht="18.75">
      <c r="A1" s="2" t="s">
        <v>5</v>
      </c>
    </row>
    <row r="2" spans="1:32">
      <c r="N2" t="s">
        <v>6</v>
      </c>
      <c r="O2" t="s">
        <v>7</v>
      </c>
      <c r="R2" t="s">
        <v>6</v>
      </c>
      <c r="S2" t="s">
        <v>7</v>
      </c>
      <c r="V2" t="s">
        <v>6</v>
      </c>
      <c r="W2" t="s">
        <v>7</v>
      </c>
      <c r="Z2" t="s">
        <v>6</v>
      </c>
      <c r="AA2" t="s">
        <v>7</v>
      </c>
      <c r="AD2" t="s">
        <v>6</v>
      </c>
      <c r="AE2" t="s">
        <v>7</v>
      </c>
    </row>
    <row r="3" spans="1:32">
      <c r="M3" s="3">
        <v>43466</v>
      </c>
      <c r="N3" s="6">
        <v>5952</v>
      </c>
      <c r="O3" s="6">
        <v>5476.7945</v>
      </c>
      <c r="P3" s="6"/>
      <c r="Q3" s="3">
        <v>43647</v>
      </c>
      <c r="R3" s="6">
        <v>5952</v>
      </c>
      <c r="S3" s="6">
        <v>7473.62</v>
      </c>
      <c r="U3" s="3">
        <v>44013</v>
      </c>
      <c r="V3" s="6">
        <v>5857.3754999999992</v>
      </c>
      <c r="W3" s="6">
        <v>6498.4429999999993</v>
      </c>
      <c r="X3" s="6"/>
      <c r="Y3" s="3">
        <v>44378</v>
      </c>
      <c r="Z3" s="12">
        <v>3054.377</v>
      </c>
      <c r="AA3" s="12">
        <v>7614.575499999999</v>
      </c>
      <c r="AB3" t="s">
        <v>8</v>
      </c>
      <c r="AC3" s="3">
        <v>44743</v>
      </c>
      <c r="AD3" s="12">
        <v>2834.1749999999997</v>
      </c>
      <c r="AE3" s="12">
        <v>2888.6504999999997</v>
      </c>
    </row>
    <row r="4" spans="1:32">
      <c r="M4" s="3">
        <v>43497</v>
      </c>
      <c r="N4" s="6">
        <v>5952</v>
      </c>
      <c r="O4" s="6">
        <v>5678.8264999999992</v>
      </c>
      <c r="P4" s="6"/>
      <c r="Q4" s="3">
        <v>43678</v>
      </c>
      <c r="R4" s="6">
        <v>5952</v>
      </c>
      <c r="S4" s="6">
        <v>8434.33</v>
      </c>
      <c r="U4" s="3">
        <v>44044</v>
      </c>
      <c r="V4" s="6">
        <v>5857.3754999999992</v>
      </c>
      <c r="W4" s="6">
        <v>6402.0959999999995</v>
      </c>
      <c r="Y4" s="3">
        <v>44409</v>
      </c>
      <c r="Z4" s="12">
        <v>2611.098</v>
      </c>
      <c r="AA4" s="12">
        <v>5327.2484999999997</v>
      </c>
      <c r="AB4" t="s">
        <v>8</v>
      </c>
      <c r="AC4" s="3">
        <v>44774</v>
      </c>
      <c r="AD4" s="12">
        <v>3245.5874999999996</v>
      </c>
      <c r="AE4" s="12">
        <v>3081.8620000000001</v>
      </c>
    </row>
    <row r="5" spans="1:32">
      <c r="M5" s="3">
        <v>43525</v>
      </c>
      <c r="N5" s="6">
        <v>5952</v>
      </c>
      <c r="O5" s="6">
        <v>16271.464999999998</v>
      </c>
      <c r="P5" s="6"/>
      <c r="Q5" s="3">
        <v>43709</v>
      </c>
      <c r="R5" s="6">
        <v>5952</v>
      </c>
      <c r="S5" s="6">
        <v>18362.647999999997</v>
      </c>
      <c r="U5" s="3">
        <v>44075</v>
      </c>
      <c r="V5" s="6">
        <v>7098.6279999999997</v>
      </c>
      <c r="W5" s="6">
        <v>7098.6279999999997</v>
      </c>
      <c r="X5" s="6"/>
      <c r="Y5" s="3">
        <v>44440</v>
      </c>
      <c r="Z5" s="12">
        <v>2445.3139999999999</v>
      </c>
      <c r="AA5" s="6">
        <v>8589.6719999999987</v>
      </c>
      <c r="AB5" t="s">
        <v>8</v>
      </c>
      <c r="AC5" s="3">
        <v>44805</v>
      </c>
      <c r="AD5" s="12">
        <v>3565.58</v>
      </c>
      <c r="AE5" s="12">
        <v>2673.9684999999999</v>
      </c>
    </row>
    <row r="6" spans="1:32">
      <c r="M6" s="3">
        <v>43556</v>
      </c>
      <c r="N6" s="6">
        <v>5952</v>
      </c>
      <c r="O6" s="6">
        <v>22146.355</v>
      </c>
      <c r="P6" s="6"/>
      <c r="Q6" s="3">
        <v>43739</v>
      </c>
      <c r="R6" s="6">
        <v>5952</v>
      </c>
      <c r="S6" s="6">
        <v>6528.78</v>
      </c>
      <c r="U6" s="3">
        <v>44105</v>
      </c>
      <c r="V6" s="9">
        <v>9158.9565000000002</v>
      </c>
      <c r="W6" s="9">
        <v>9158.9565000000002</v>
      </c>
      <c r="X6" s="6"/>
      <c r="Y6" s="3">
        <v>44470</v>
      </c>
      <c r="Z6" s="12">
        <v>1658.0699999999997</v>
      </c>
      <c r="AA6" s="12">
        <v>4749.0974999999989</v>
      </c>
      <c r="AB6" t="s">
        <v>8</v>
      </c>
      <c r="AC6" s="3">
        <v>44835</v>
      </c>
      <c r="AD6" s="12">
        <v>3154.16</v>
      </c>
      <c r="AE6" s="12">
        <v>4124.2564999999995</v>
      </c>
    </row>
    <row r="7" spans="1:32">
      <c r="M7" s="3">
        <v>43586</v>
      </c>
      <c r="N7" s="6">
        <v>5952</v>
      </c>
      <c r="O7" s="6">
        <v>6110.732</v>
      </c>
      <c r="P7" s="6"/>
      <c r="Q7" s="3">
        <v>43770</v>
      </c>
      <c r="R7" s="6">
        <v>5952</v>
      </c>
      <c r="S7" s="6">
        <v>6528.7799999999988</v>
      </c>
      <c r="U7" s="3">
        <v>44136</v>
      </c>
      <c r="V7" s="9">
        <v>8599.4584999999988</v>
      </c>
      <c r="W7" s="9">
        <v>8599.4584999999988</v>
      </c>
      <c r="Y7" s="3">
        <v>44501</v>
      </c>
      <c r="Z7" s="12">
        <v>4974.2099999999991</v>
      </c>
      <c r="AA7" s="12">
        <v>9291.7124999999996</v>
      </c>
      <c r="AC7" s="3">
        <v>44866</v>
      </c>
      <c r="AD7" s="12">
        <v>3337.01</v>
      </c>
      <c r="AE7" s="12">
        <v>4480.5839999999998</v>
      </c>
    </row>
    <row r="8" spans="1:32">
      <c r="M8" s="16">
        <v>43617</v>
      </c>
      <c r="N8" s="14">
        <v>5952</v>
      </c>
      <c r="O8" s="14">
        <v>6112.1234999999997</v>
      </c>
      <c r="P8" s="14"/>
      <c r="Q8" s="3">
        <v>43800</v>
      </c>
      <c r="R8" s="6">
        <v>5952</v>
      </c>
      <c r="S8" s="6">
        <v>5476.9209999999994</v>
      </c>
      <c r="U8" s="3">
        <v>44166</v>
      </c>
      <c r="V8" s="9"/>
      <c r="W8" s="9"/>
      <c r="X8" s="14"/>
      <c r="Y8" s="3">
        <v>44531</v>
      </c>
      <c r="Z8" s="12">
        <v>2230.011</v>
      </c>
      <c r="AA8" s="12">
        <v>13421.362499999999</v>
      </c>
      <c r="AC8" s="3">
        <v>44896</v>
      </c>
      <c r="AD8" s="12">
        <v>3108.45</v>
      </c>
      <c r="AE8" s="12">
        <v>2902.9450000000002</v>
      </c>
    </row>
    <row r="9" spans="1:32">
      <c r="M9" s="3"/>
      <c r="N9" s="6"/>
      <c r="O9" s="6"/>
      <c r="P9" s="6"/>
      <c r="Q9" s="3">
        <v>43831</v>
      </c>
      <c r="R9" s="6"/>
      <c r="S9" s="6">
        <v>7036.57</v>
      </c>
      <c r="U9" s="3">
        <v>44197</v>
      </c>
      <c r="V9" s="12">
        <v>10448.313499999998</v>
      </c>
      <c r="W9" s="12">
        <v>10448.313499999998</v>
      </c>
      <c r="Y9" s="3">
        <v>44562</v>
      </c>
      <c r="Z9" s="12">
        <v>1527.9704999999999</v>
      </c>
      <c r="AA9" s="12">
        <v>6979.1084999999994</v>
      </c>
      <c r="AC9" s="3">
        <v>44927</v>
      </c>
      <c r="AD9" s="12"/>
      <c r="AE9" s="12"/>
    </row>
    <row r="10" spans="1:32">
      <c r="M10" s="3"/>
      <c r="N10" s="6"/>
      <c r="O10" s="6"/>
      <c r="P10" s="6"/>
      <c r="Q10" s="3">
        <v>43862</v>
      </c>
      <c r="R10" s="6"/>
      <c r="S10" s="6">
        <v>8632.4979999999996</v>
      </c>
      <c r="U10" s="3">
        <v>44228</v>
      </c>
      <c r="V10" s="12">
        <v>8489.9554999999982</v>
      </c>
      <c r="W10" s="12">
        <v>8489.9554999999982</v>
      </c>
      <c r="Y10" s="3">
        <v>44593</v>
      </c>
      <c r="Z10" s="12">
        <v>4996.8764999999994</v>
      </c>
      <c r="AA10" s="12">
        <v>3675.3884999999996</v>
      </c>
      <c r="AC10" s="3">
        <v>44958</v>
      </c>
      <c r="AD10" s="12"/>
      <c r="AE10" s="12"/>
    </row>
    <row r="11" spans="1:32">
      <c r="M11" s="3"/>
      <c r="N11" s="6"/>
      <c r="O11" s="6"/>
      <c r="P11" s="6"/>
      <c r="Q11" s="3">
        <v>43891</v>
      </c>
      <c r="R11" s="6"/>
      <c r="S11" s="6">
        <v>10083.338</v>
      </c>
      <c r="U11" s="3">
        <v>44256</v>
      </c>
      <c r="V11" s="12">
        <v>15140.739</v>
      </c>
      <c r="W11" s="12">
        <v>15140.739</v>
      </c>
      <c r="Y11" s="3">
        <v>44621</v>
      </c>
      <c r="Z11" s="12">
        <v>3716.6849999999999</v>
      </c>
      <c r="AA11" s="6">
        <v>3510.2024999999994</v>
      </c>
      <c r="AC11" s="3">
        <v>44986</v>
      </c>
      <c r="AD11" s="12"/>
      <c r="AE11" s="6"/>
    </row>
    <row r="12" spans="1:32">
      <c r="M12" s="3"/>
      <c r="N12" s="6"/>
      <c r="O12" s="6"/>
      <c r="Q12" s="3">
        <v>43922</v>
      </c>
      <c r="R12" s="6"/>
      <c r="S12" s="6">
        <v>13842.159</v>
      </c>
      <c r="U12" s="3">
        <v>44287</v>
      </c>
      <c r="V12" s="6">
        <v>0</v>
      </c>
      <c r="W12" s="6">
        <v>0</v>
      </c>
      <c r="X12" t="s">
        <v>9</v>
      </c>
      <c r="Y12" s="3">
        <v>44652</v>
      </c>
      <c r="Z12" s="6">
        <v>6235.7714999999989</v>
      </c>
      <c r="AA12" s="6">
        <v>7433.37</v>
      </c>
      <c r="AC12" s="3">
        <v>45017</v>
      </c>
      <c r="AD12" s="6"/>
      <c r="AE12" s="6"/>
    </row>
    <row r="13" spans="1:32">
      <c r="M13" s="3"/>
      <c r="N13" s="6"/>
      <c r="O13" s="6"/>
      <c r="Q13" s="3">
        <v>43952</v>
      </c>
      <c r="R13" s="6"/>
      <c r="S13" s="6">
        <v>17242.087999999996</v>
      </c>
      <c r="U13" s="3">
        <v>44317</v>
      </c>
      <c r="V13" s="6">
        <v>0</v>
      </c>
      <c r="W13" s="6">
        <v>0</v>
      </c>
      <c r="X13" t="s">
        <v>10</v>
      </c>
      <c r="Y13" s="3">
        <v>44682</v>
      </c>
      <c r="Z13" s="6">
        <v>2890.7549999999997</v>
      </c>
      <c r="AA13" s="17">
        <v>2808.1619999999998</v>
      </c>
      <c r="AC13" s="3">
        <v>45047</v>
      </c>
      <c r="AD13" s="6"/>
      <c r="AE13" s="17"/>
    </row>
    <row r="14" spans="1:32">
      <c r="M14" s="3"/>
      <c r="N14" s="6"/>
      <c r="O14" s="6"/>
      <c r="Q14" s="16">
        <v>43983</v>
      </c>
      <c r="R14" s="14"/>
      <c r="S14" s="14">
        <v>5857.3754999999992</v>
      </c>
      <c r="U14" s="16">
        <v>44348</v>
      </c>
      <c r="V14" s="17">
        <v>23893.733999999997</v>
      </c>
      <c r="W14" s="15"/>
      <c r="X14" s="13" t="s">
        <v>11</v>
      </c>
      <c r="Y14" s="18">
        <v>44713</v>
      </c>
      <c r="Z14" s="17">
        <v>2560.3829999999998</v>
      </c>
      <c r="AA14" s="15">
        <v>2395.1970000000001</v>
      </c>
      <c r="AC14" s="3">
        <v>45078</v>
      </c>
      <c r="AD14" s="17"/>
      <c r="AE14" s="15"/>
    </row>
    <row r="15" spans="1:32">
      <c r="N15" s="7">
        <f>SUM(N3:N14)</f>
        <v>35712</v>
      </c>
      <c r="O15" s="7">
        <f>SUM(O3:O14)</f>
        <v>61796.296499999997</v>
      </c>
      <c r="P15" s="7">
        <f>N15-O15</f>
        <v>-26084.296499999997</v>
      </c>
      <c r="R15" s="7">
        <f>SUM(R3:R14)</f>
        <v>35712</v>
      </c>
      <c r="S15" s="7">
        <f>SUM(S3:S14)</f>
        <v>115499.10749999998</v>
      </c>
      <c r="T15" s="7">
        <f>R15-S15</f>
        <v>-79787.107499999984</v>
      </c>
      <c r="V15" s="7">
        <f>SUM(V3:V14)</f>
        <v>94544.535999999978</v>
      </c>
      <c r="W15" s="7">
        <f>SUM(W3:W14)</f>
        <v>71836.589999999982</v>
      </c>
      <c r="X15" s="7">
        <f>V15-W15</f>
        <v>22707.945999999996</v>
      </c>
      <c r="Z15" s="7">
        <f>SUM(Z3:Z14)</f>
        <v>38901.521499999995</v>
      </c>
      <c r="AA15" s="7">
        <f>SUM(AA3:AA14)</f>
        <v>75795.096999999994</v>
      </c>
      <c r="AB15" s="7">
        <f>Z15-AA15</f>
        <v>-36893.575499999999</v>
      </c>
      <c r="AD15" s="7">
        <f t="shared" ref="AD15:AE15" si="0">SUM(AD3:AD14)</f>
        <v>19244.962499999998</v>
      </c>
      <c r="AE15" s="7">
        <f t="shared" si="0"/>
        <v>20152.266499999998</v>
      </c>
      <c r="AF15" s="7">
        <f>AD15-AE15</f>
        <v>-907.30400000000009</v>
      </c>
    </row>
    <row r="18" spans="13:17">
      <c r="M18" s="8" t="s">
        <v>12</v>
      </c>
    </row>
    <row r="20" spans="13:17">
      <c r="M20">
        <f>57633/12</f>
        <v>4802.75</v>
      </c>
      <c r="Q20">
        <f>M20/16</f>
        <v>300.171875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BA68A9-66DD-4720-B4FB-8DE6B66B6E76}"/>
</file>

<file path=customXml/itemProps2.xml><?xml version="1.0" encoding="utf-8"?>
<ds:datastoreItem xmlns:ds="http://schemas.openxmlformats.org/officeDocument/2006/customXml" ds:itemID="{1321C56B-88C5-4ADF-BE79-60AF8C1A407C}"/>
</file>

<file path=customXml/itemProps3.xml><?xml version="1.0" encoding="utf-8"?>
<ds:datastoreItem xmlns:ds="http://schemas.openxmlformats.org/officeDocument/2006/customXml" ds:itemID="{6820F17C-E8CD-424D-803D-43465D533D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2019-06-10T07:23:25Z</dcterms:created>
  <dcterms:modified xsi:type="dcterms:W3CDTF">2023-01-20T11:14:59Z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