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AK - Akasia/Council/"/>
    </mc:Choice>
  </mc:AlternateContent>
  <xr:revisionPtr revIDLastSave="194" documentId="8_{B062B991-2FC6-4B05-AF80-EFDC2DBA4A4C}" xr6:coauthVersionLast="47" xr6:coauthVersionMax="47" xr10:uidLastSave="{3825E72C-B46F-4B21-8E99-D99A41582739}"/>
  <bookViews>
    <workbookView xWindow="-120" yWindow="-120" windowWidth="20730" windowHeight="11160" activeTab="1" xr2:uid="{F5ADB581-C2DF-4ACA-B6F0-196AC0CBC941}"/>
  </bookViews>
  <sheets>
    <sheet name="Detailed" sheetId="1" r:id="rId1"/>
    <sheet name="Graph" sheetId="2" r:id="rId2"/>
    <sheet name="WCU Graph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1" l="1"/>
  <c r="T7" i="1"/>
  <c r="S7" i="1"/>
  <c r="R6" i="1"/>
  <c r="R7" i="1"/>
  <c r="Q15" i="3"/>
  <c r="P15" i="3"/>
  <c r="R15" i="3" s="1"/>
  <c r="U15" i="2"/>
  <c r="T15" i="2"/>
  <c r="V15" i="2" s="1"/>
  <c r="Q6" i="1"/>
  <c r="Q7" i="1"/>
  <c r="P6" i="1"/>
  <c r="P7" i="1"/>
  <c r="O6" i="1"/>
  <c r="O7" i="1"/>
  <c r="N6" i="1"/>
  <c r="M15" i="3"/>
  <c r="L15" i="3"/>
  <c r="N15" i="3" s="1"/>
  <c r="M6" i="1"/>
  <c r="J6" i="1"/>
  <c r="K6" i="1"/>
  <c r="K7" i="1"/>
  <c r="L7" i="1"/>
  <c r="M7" i="1"/>
  <c r="N7" i="1"/>
  <c r="J7" i="1"/>
  <c r="I6" i="1"/>
  <c r="I7" i="1"/>
  <c r="C7" i="1"/>
  <c r="D7" i="1"/>
  <c r="E7" i="1"/>
  <c r="F7" i="1"/>
  <c r="G7" i="1"/>
  <c r="H7" i="1"/>
  <c r="B7" i="1"/>
  <c r="H6" i="1"/>
  <c r="G6" i="1"/>
  <c r="F6" i="1"/>
  <c r="E6" i="1"/>
  <c r="D6" i="1"/>
  <c r="C6" i="1"/>
  <c r="B6" i="1"/>
  <c r="Q15" i="2"/>
  <c r="P15" i="2"/>
  <c r="M15" i="2"/>
  <c r="L15" i="2"/>
  <c r="R15" i="2" l="1"/>
  <c r="N15" i="2"/>
</calcChain>
</file>

<file path=xl/sharedStrings.xml><?xml version="1.0" encoding="utf-8"?>
<sst xmlns="http://schemas.openxmlformats.org/spreadsheetml/2006/main" count="39" uniqueCount="13">
  <si>
    <t>Akasia Body Corporate - Sanitation BC vs Council Recon</t>
  </si>
  <si>
    <t>Sanitation</t>
  </si>
  <si>
    <t>BC Total</t>
  </si>
  <si>
    <t>Council Total</t>
  </si>
  <si>
    <t>Difference</t>
  </si>
  <si>
    <t>BC</t>
  </si>
  <si>
    <t>Council</t>
  </si>
  <si>
    <t>Council Backdated</t>
  </si>
  <si>
    <t>A</t>
  </si>
  <si>
    <t>E</t>
  </si>
  <si>
    <t>High Cons</t>
  </si>
  <si>
    <t>Comments</t>
  </si>
  <si>
    <t>A - Council Backdated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</si>
</sst>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_-[$R-436]* #,##0.00_-;\-[$R-436]* #,##0.00_-;_-[$R-436]* &quot;-&quot;??_-;_-@_-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2" fillId="0" borderId="1" xfId="0" applyFont="1" applyBorder="1"/>
    <xf numFmtId="164" fontId="2" fillId="0" borderId="0" xfId="0" applyNumberFormat="1" applyFont="1"/>
    <xf numFmtId="0" fontId="1" fillId="0" borderId="0" xfId="0" applyFont="1"/>
    <xf numFmtId="0" fontId="4" fillId="0" borderId="0" xfId="0" applyFont="1"/>
    <xf numFmtId="164" fontId="2" fillId="2" borderId="0" xfId="0" applyNumberFormat="1" applyFont="1" applyFill="1"/>
    <xf numFmtId="165" fontId="3" fillId="0" borderId="1" xfId="0" applyNumberFormat="1" applyFont="1" applyBorder="1"/>
    <xf numFmtId="0" fontId="2" fillId="0" borderId="0" xfId="0" applyFont="1"/>
    <xf numFmtId="165" fontId="2" fillId="0" borderId="1" xfId="0" applyNumberFormat="1" applyFont="1" applyBorder="1"/>
    <xf numFmtId="17" fontId="1" fillId="0" borderId="0" xfId="0" applyNumberFormat="1" applyFont="1"/>
    <xf numFmtId="165" fontId="0" fillId="0" borderId="0" xfId="0" applyNumberFormat="1"/>
    <xf numFmtId="165" fontId="0" fillId="0" borderId="2" xfId="0" applyNumberFormat="1" applyBorder="1"/>
    <xf numFmtId="165" fontId="1" fillId="0" borderId="0" xfId="0" applyNumberFormat="1" applyFont="1"/>
    <xf numFmtId="165" fontId="3" fillId="0" borderId="3" xfId="0" applyNumberFormat="1" applyFont="1" applyBorder="1"/>
    <xf numFmtId="165" fontId="2" fillId="0" borderId="3" xfId="0" applyNumberFormat="1" applyFon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AK - Sanitation BC vs Council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Graph!$P$2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Graph!$O$3:$O$14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Graph!$P$3:$P$14</c:f>
              <c:numCache>
                <c:formatCode>_-[$R-436]* #,##0.00_-;\-[$R-436]* #,##0.00_-;_-[$R-436]* "-"??_-;_-@_-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2F12-4AA9-8356-1EB55F2AAD0C}"/>
            </c:ext>
          </c:extLst>
        </c:ser>
        <c:ser>
          <c:idx val="1"/>
          <c:order val="1"/>
          <c:tx>
            <c:strRef>
              <c:f>Graph!$Q$2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Graph!$O$3:$O$14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Graph!$Q$3:$Q$14</c:f>
              <c:numCache>
                <c:formatCode>_-[$R-436]* #,##0.00_-;\-[$R-436]* #,##0.00_-;_-[$R-436]* "-"??_-;_-@_-</c:formatCode>
                <c:ptCount val="12"/>
                <c:pt idx="0">
                  <c:v>9793.65</c:v>
                </c:pt>
                <c:pt idx="1">
                  <c:v>9865.7100000000009</c:v>
                </c:pt>
                <c:pt idx="2">
                  <c:v>10274.41</c:v>
                </c:pt>
                <c:pt idx="3">
                  <c:v>9865.7099999999991</c:v>
                </c:pt>
                <c:pt idx="4">
                  <c:v>0</c:v>
                </c:pt>
                <c:pt idx="5">
                  <c:v>9865.7099999999991</c:v>
                </c:pt>
                <c:pt idx="6">
                  <c:v>18525.810000000001</c:v>
                </c:pt>
                <c:pt idx="7">
                  <c:v>12308.099999999999</c:v>
                </c:pt>
                <c:pt idx="8">
                  <c:v>45248.219999999994</c:v>
                </c:pt>
                <c:pt idx="9">
                  <c:v>9865.7099999999991</c:v>
                </c:pt>
                <c:pt idx="10">
                  <c:v>9793.65</c:v>
                </c:pt>
                <c:pt idx="11">
                  <c:v>11571.189999999999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12-4AA9-8356-1EB55F2AA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018696"/>
        <c:axId val="701017976"/>
      </c:barChart>
      <c:dateAx>
        <c:axId val="7010186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017976"/>
        <c:crosses val="autoZero"/>
        <c:auto val="1"/>
        <c:lblOffset val="100"/>
        <c:baseTimeUnit val="months"/>
      </c:dateAx>
      <c:valAx>
        <c:axId val="701017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018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'WCU Graph'!$P$2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'WCU Graph'!$O$3:$O$14</c:f>
              <c:numCache>
                <c:formatCode>mmm\-yy</c:formatCode>
                <c:ptCount val="12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</c:numCache>
            </c:numRef>
          </c:cat>
          <c:val>
            <c:numRef>
              <c:f>'WCU Graph'!$P$3:$P$14</c:f>
              <c:numCache>
                <c:formatCode>_-[$R-436]* #,##0.00_-;\-[$R-436]* #,##0.00_-;_-[$R-436]* "-"??_-;_-@_-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C960-402B-B074-DAC16AC0CF6F}"/>
            </c:ext>
          </c:extLst>
        </c:ser>
        <c:ser>
          <c:idx val="1"/>
          <c:order val="1"/>
          <c:tx>
            <c:strRef>
              <c:f>'WCU Graph'!$Q$2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'WCU Graph'!$O$3:$O$14</c:f>
              <c:numCache>
                <c:formatCode>mmm\-yy</c:formatCode>
                <c:ptCount val="12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</c:numCache>
            </c:numRef>
          </c:cat>
          <c:val>
            <c:numRef>
              <c:f>'WCU Graph'!$Q$3:$Q$14</c:f>
              <c:numCache>
                <c:formatCode>_-[$R-436]* #,##0.00_-;\-[$R-436]* #,##0.00_-;_-[$R-436]* "-"??_-;_-@_-</c:formatCode>
                <c:ptCount val="12"/>
                <c:pt idx="0">
                  <c:v>11571.19</c:v>
                </c:pt>
                <c:pt idx="1">
                  <c:v>45376.880000000005</c:v>
                </c:pt>
                <c:pt idx="2">
                  <c:v>33652.400000000001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60-402B-B074-DAC16AC0C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0237704"/>
        <c:axId val="950239752"/>
      </c:barChart>
      <c:dateAx>
        <c:axId val="9502377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239752"/>
        <c:crosses val="autoZero"/>
        <c:auto val="1"/>
        <c:lblOffset val="100"/>
        <c:baseTimeUnit val="months"/>
      </c:dateAx>
      <c:valAx>
        <c:axId val="95023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237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147636</xdr:rowOff>
    </xdr:from>
    <xdr:to>
      <xdr:col>9</xdr:col>
      <xdr:colOff>504825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E0F76C-B474-6832-5DFA-82BFE169C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</xdr:row>
      <xdr:rowOff>47625</xdr:rowOff>
    </xdr:from>
    <xdr:to>
      <xdr:col>9</xdr:col>
      <xdr:colOff>76200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596FD1-923A-53D8-1D43-CD28B1C16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CE989-4E75-4148-B921-FE34651CF465}">
  <dimension ref="A1:V8"/>
  <sheetViews>
    <sheetView workbookViewId="0">
      <selection activeCell="T6" sqref="T6"/>
    </sheetView>
  </sheetViews>
  <sheetFormatPr defaultRowHeight="15"/>
  <cols>
    <col min="1" max="1" width="12.42578125" bestFit="1" customWidth="1"/>
    <col min="2" max="2" width="16.42578125" bestFit="1" customWidth="1"/>
    <col min="3" max="3" width="15.28515625" hidden="1" customWidth="1"/>
    <col min="4" max="4" width="10.7109375" hidden="1" customWidth="1"/>
    <col min="5" max="5" width="12.28515625" hidden="1" customWidth="1"/>
    <col min="6" max="6" width="12.140625" hidden="1" customWidth="1"/>
    <col min="7" max="7" width="15.28515625" hidden="1" customWidth="1"/>
    <col min="8" max="8" width="15.140625" hidden="1" customWidth="1"/>
    <col min="9" max="9" width="14" hidden="1" customWidth="1"/>
    <col min="10" max="10" width="12" hidden="1" customWidth="1"/>
    <col min="11" max="11" width="11.140625" hidden="1" customWidth="1"/>
    <col min="12" max="14" width="12.28515625" bestFit="1" customWidth="1"/>
    <col min="15" max="15" width="11.5703125" customWidth="1"/>
    <col min="16" max="16" width="11.140625" bestFit="1" customWidth="1"/>
    <col min="17" max="18" width="12.28515625" bestFit="1" customWidth="1"/>
    <col min="19" max="19" width="11.5703125" customWidth="1"/>
    <col min="20" max="20" width="11.85546875" customWidth="1"/>
  </cols>
  <sheetData>
    <row r="1" spans="1:22" ht="18.75">
      <c r="A1" s="5" t="s">
        <v>0</v>
      </c>
    </row>
    <row r="2" spans="1:22" ht="18.75">
      <c r="A2" s="5"/>
    </row>
    <row r="3" spans="1:22">
      <c r="A3" s="1"/>
      <c r="B3" s="6">
        <v>44986</v>
      </c>
      <c r="C3" s="3">
        <v>45017</v>
      </c>
      <c r="D3" s="3">
        <v>45047</v>
      </c>
      <c r="E3" s="3">
        <v>45078</v>
      </c>
      <c r="F3" s="3">
        <v>45108</v>
      </c>
      <c r="G3" s="3">
        <v>45139</v>
      </c>
      <c r="H3" s="3">
        <v>45170</v>
      </c>
      <c r="I3" s="3">
        <v>45200</v>
      </c>
      <c r="J3" s="3">
        <v>45232</v>
      </c>
      <c r="K3" s="3">
        <v>45261</v>
      </c>
      <c r="L3" s="6">
        <v>45292</v>
      </c>
      <c r="M3" s="3">
        <v>45323</v>
      </c>
      <c r="N3" s="3">
        <v>45352</v>
      </c>
      <c r="O3" s="3">
        <v>45383</v>
      </c>
      <c r="P3" s="3">
        <v>45413</v>
      </c>
      <c r="Q3" s="3">
        <v>45444</v>
      </c>
      <c r="R3" s="3">
        <v>45474</v>
      </c>
      <c r="S3" s="3">
        <v>45505</v>
      </c>
      <c r="T3" s="3">
        <v>45536</v>
      </c>
      <c r="U3" s="3">
        <v>45566</v>
      </c>
      <c r="V3" s="3">
        <v>45597</v>
      </c>
    </row>
    <row r="4" spans="1:22">
      <c r="A4" s="8" t="s">
        <v>1</v>
      </c>
      <c r="B4" s="1"/>
      <c r="C4" s="1"/>
      <c r="D4" s="1"/>
      <c r="E4" s="1"/>
      <c r="F4" s="1"/>
      <c r="G4" s="1"/>
      <c r="H4" s="1"/>
      <c r="I4" s="1"/>
    </row>
    <row r="5" spans="1:22">
      <c r="A5" s="2" t="s">
        <v>2</v>
      </c>
      <c r="B5" s="7"/>
      <c r="C5" s="7"/>
      <c r="D5" s="7"/>
      <c r="E5" s="7"/>
      <c r="F5" s="7"/>
      <c r="G5" s="7"/>
      <c r="H5" s="7"/>
      <c r="I5" s="7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1:22">
      <c r="A6" s="2" t="s">
        <v>3</v>
      </c>
      <c r="B6" s="7">
        <f>293.25+9163.4-87.98</f>
        <v>9368.67</v>
      </c>
      <c r="C6" s="7">
        <f>293.25+9163.4-87.98</f>
        <v>9368.67</v>
      </c>
      <c r="D6" s="7">
        <f>195.5+9163.4-58.65</f>
        <v>9300.25</v>
      </c>
      <c r="E6" s="7">
        <f>196.54+9649.56-58.96</f>
        <v>9787.1400000000012</v>
      </c>
      <c r="F6" s="7">
        <f>205.85+9649.56-61.76</f>
        <v>9793.65</v>
      </c>
      <c r="G6" s="7">
        <f>308.78+9649.56-92.63</f>
        <v>9865.7100000000009</v>
      </c>
      <c r="H6" s="7">
        <f>5835.59+9649.56+1482.94-1750.68-4943</f>
        <v>10274.41</v>
      </c>
      <c r="I6" s="7">
        <f>308.78-92.63+9649.56</f>
        <v>9865.7099999999991</v>
      </c>
      <c r="J6" s="14">
        <f>-308.78+92.63+50669.98-15201+9649.56-158272.83+83754.3</f>
        <v>-29616.139999999985</v>
      </c>
      <c r="K6" s="14">
        <f>308.78-92.63+9649.56</f>
        <v>9865.7099999999991</v>
      </c>
      <c r="L6" s="14">
        <v>18525.810000000001</v>
      </c>
      <c r="M6" s="14">
        <f>3797.93-1139.39+9649.56</f>
        <v>12308.099999999999</v>
      </c>
      <c r="N6" s="14">
        <f>50855.24+9649.56-15256.58</f>
        <v>45248.219999999994</v>
      </c>
      <c r="O6" s="14">
        <f>308.78-92.63+9649.56</f>
        <v>9865.7099999999991</v>
      </c>
      <c r="P6" s="14">
        <f>205.85-61.76+9649.56</f>
        <v>9793.65</v>
      </c>
      <c r="Q6" s="14">
        <f>-514.63+154.39+2585.78-775.74+10121.39</f>
        <v>11571.189999999999</v>
      </c>
      <c r="R6" s="14">
        <f>52950.76+10121.39+775.74-15885.23-2585.78</f>
        <v>45376.880000000005</v>
      </c>
      <c r="S6" s="14">
        <f>33615.73+10121.39-10084.72</f>
        <v>33652.400000000001</v>
      </c>
      <c r="T6" s="14"/>
    </row>
    <row r="7" spans="1:22">
      <c r="A7" s="2" t="s">
        <v>4</v>
      </c>
      <c r="B7" s="9">
        <f>B5-B6</f>
        <v>-9368.67</v>
      </c>
      <c r="C7" s="9">
        <f t="shared" ref="C7:H7" si="0">C5-C6</f>
        <v>-9368.67</v>
      </c>
      <c r="D7" s="9">
        <f t="shared" si="0"/>
        <v>-9300.25</v>
      </c>
      <c r="E7" s="9">
        <f t="shared" si="0"/>
        <v>-9787.1400000000012</v>
      </c>
      <c r="F7" s="9">
        <f t="shared" si="0"/>
        <v>-9793.65</v>
      </c>
      <c r="G7" s="9">
        <f t="shared" si="0"/>
        <v>-9865.7100000000009</v>
      </c>
      <c r="H7" s="9">
        <f t="shared" si="0"/>
        <v>-10274.41</v>
      </c>
      <c r="I7" s="9">
        <f t="shared" ref="I7:K7" si="1">I5-I6</f>
        <v>-9865.7099999999991</v>
      </c>
      <c r="J7" s="15">
        <f t="shared" si="1"/>
        <v>29616.139999999985</v>
      </c>
      <c r="K7" s="15">
        <f t="shared" ref="K7:N7" si="2">K5-K6</f>
        <v>-9865.7099999999991</v>
      </c>
      <c r="L7" s="15">
        <f t="shared" si="2"/>
        <v>-18525.810000000001</v>
      </c>
      <c r="M7" s="15">
        <f t="shared" si="2"/>
        <v>-12308.099999999999</v>
      </c>
      <c r="N7" s="15">
        <f t="shared" si="2"/>
        <v>-45248.219999999994</v>
      </c>
      <c r="O7" s="15">
        <f t="shared" ref="O7:P7" si="3">O5-O6</f>
        <v>-9865.7099999999991</v>
      </c>
      <c r="P7" s="15">
        <f t="shared" si="3"/>
        <v>-9793.65</v>
      </c>
      <c r="Q7" s="15">
        <f t="shared" ref="Q7:R7" si="4">Q5-Q6</f>
        <v>-11571.189999999999</v>
      </c>
      <c r="R7" s="15">
        <f t="shared" si="4"/>
        <v>-45376.880000000005</v>
      </c>
      <c r="S7" s="15">
        <f t="shared" ref="S7:T7" si="5">S5-S6</f>
        <v>-33652.400000000001</v>
      </c>
      <c r="T7" s="15">
        <f t="shared" si="5"/>
        <v>0</v>
      </c>
    </row>
    <row r="8" spans="1:22">
      <c r="A8" s="1"/>
      <c r="B8" s="1"/>
      <c r="C8" s="1"/>
      <c r="D8" s="1"/>
      <c r="E8" s="1"/>
      <c r="F8" s="1"/>
      <c r="G8" s="1"/>
      <c r="H8" s="1"/>
      <c r="I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488B-15C3-477D-8826-F036BA2A5021}">
  <dimension ref="A1:V15"/>
  <sheetViews>
    <sheetView tabSelected="1" topLeftCell="D1" workbookViewId="0">
      <selection activeCell="U5" sqref="U5"/>
    </sheetView>
  </sheetViews>
  <sheetFormatPr defaultRowHeight="15"/>
  <cols>
    <col min="11" max="11" width="9.28515625" customWidth="1"/>
    <col min="12" max="14" width="12.7109375" hidden="1" customWidth="1"/>
    <col min="16" max="17" width="12.7109375" bestFit="1" customWidth="1"/>
    <col min="18" max="18" width="17.42578125" bestFit="1" customWidth="1"/>
    <col min="21" max="21" width="13.28515625" bestFit="1" customWidth="1"/>
    <col min="22" max="22" width="17.42578125" bestFit="1" customWidth="1"/>
  </cols>
  <sheetData>
    <row r="1" spans="1:22" ht="18.75">
      <c r="A1" s="5" t="s">
        <v>0</v>
      </c>
    </row>
    <row r="2" spans="1:22">
      <c r="L2" t="s">
        <v>5</v>
      </c>
      <c r="M2" t="s">
        <v>6</v>
      </c>
      <c r="P2" t="s">
        <v>5</v>
      </c>
      <c r="Q2" t="s">
        <v>6</v>
      </c>
      <c r="T2" t="s">
        <v>5</v>
      </c>
      <c r="U2" t="s">
        <v>6</v>
      </c>
    </row>
    <row r="3" spans="1:22">
      <c r="K3" s="10">
        <v>44743</v>
      </c>
      <c r="L3" s="11"/>
      <c r="M3" s="11"/>
      <c r="N3" s="11"/>
      <c r="O3" s="10">
        <v>45108</v>
      </c>
      <c r="P3" s="11"/>
      <c r="Q3" s="11">
        <v>9793.65</v>
      </c>
      <c r="R3" s="16"/>
      <c r="S3" s="10">
        <v>45474</v>
      </c>
      <c r="T3" s="11"/>
      <c r="U3" s="11">
        <v>45376.880000000005</v>
      </c>
      <c r="V3" s="16" t="s">
        <v>7</v>
      </c>
    </row>
    <row r="4" spans="1:22">
      <c r="K4" s="10">
        <v>44774</v>
      </c>
      <c r="L4" s="11"/>
      <c r="M4" s="11"/>
      <c r="N4" s="11"/>
      <c r="O4" s="10">
        <v>45139</v>
      </c>
      <c r="P4" s="11"/>
      <c r="Q4" s="11">
        <v>9865.7100000000009</v>
      </c>
      <c r="R4" s="16"/>
      <c r="S4" s="10">
        <v>45505</v>
      </c>
      <c r="T4" s="11"/>
      <c r="U4" s="11">
        <v>33652.400000000001</v>
      </c>
      <c r="V4" s="16" t="s">
        <v>8</v>
      </c>
    </row>
    <row r="5" spans="1:22">
      <c r="K5" s="10">
        <v>44805</v>
      </c>
      <c r="L5" s="11"/>
      <c r="M5" s="11"/>
      <c r="N5" s="11"/>
      <c r="O5" s="10">
        <v>45170</v>
      </c>
      <c r="P5" s="11"/>
      <c r="Q5" s="11">
        <v>10274.41</v>
      </c>
      <c r="R5" s="16"/>
      <c r="S5" s="10">
        <v>45536</v>
      </c>
      <c r="T5" s="11"/>
      <c r="U5" s="11"/>
      <c r="V5" s="16"/>
    </row>
    <row r="6" spans="1:22">
      <c r="K6" s="10">
        <v>44835</v>
      </c>
      <c r="L6" s="11"/>
      <c r="M6" s="11"/>
      <c r="N6" s="11"/>
      <c r="O6" s="10">
        <v>45200</v>
      </c>
      <c r="P6" s="11"/>
      <c r="Q6" s="11">
        <v>9865.7099999999991</v>
      </c>
      <c r="R6" s="16"/>
      <c r="S6" s="10">
        <v>45566</v>
      </c>
      <c r="T6" s="11"/>
      <c r="U6" s="11"/>
      <c r="V6" s="16"/>
    </row>
    <row r="7" spans="1:22">
      <c r="K7" s="10">
        <v>44866</v>
      </c>
      <c r="L7" s="11"/>
      <c r="M7" s="11"/>
      <c r="N7" s="11"/>
      <c r="O7" s="10">
        <v>45231</v>
      </c>
      <c r="P7" s="11"/>
      <c r="Q7" s="11">
        <v>0</v>
      </c>
      <c r="R7" s="16" t="s">
        <v>7</v>
      </c>
      <c r="S7" s="10">
        <v>45597</v>
      </c>
      <c r="T7" s="11"/>
      <c r="U7" s="11"/>
      <c r="V7" s="16"/>
    </row>
    <row r="8" spans="1:22">
      <c r="K8" s="10">
        <v>44896</v>
      </c>
      <c r="L8" s="11"/>
      <c r="M8" s="11"/>
      <c r="N8" s="11"/>
      <c r="O8" s="10">
        <v>45261</v>
      </c>
      <c r="P8" s="11"/>
      <c r="Q8" s="11">
        <v>9865.7099999999991</v>
      </c>
      <c r="R8" s="16"/>
      <c r="S8" s="10">
        <v>45627</v>
      </c>
      <c r="T8" s="11"/>
      <c r="U8" s="11"/>
      <c r="V8" s="16"/>
    </row>
    <row r="9" spans="1:22">
      <c r="K9" s="10">
        <v>44927</v>
      </c>
      <c r="L9" s="11"/>
      <c r="M9" s="11"/>
      <c r="N9" s="11"/>
      <c r="O9" s="10">
        <v>45292</v>
      </c>
      <c r="P9" s="11"/>
      <c r="Q9" s="11">
        <v>18525.810000000001</v>
      </c>
      <c r="R9" s="16"/>
      <c r="S9" s="10">
        <v>45658</v>
      </c>
      <c r="T9" s="11"/>
      <c r="U9" s="11"/>
      <c r="V9" s="16"/>
    </row>
    <row r="10" spans="1:22">
      <c r="K10" s="10">
        <v>44958</v>
      </c>
      <c r="L10" s="11"/>
      <c r="M10" s="11"/>
      <c r="N10" s="11"/>
      <c r="O10" s="10">
        <v>45323</v>
      </c>
      <c r="P10" s="11"/>
      <c r="Q10" s="11">
        <v>12308.099999999999</v>
      </c>
      <c r="R10" s="16" t="s">
        <v>9</v>
      </c>
      <c r="S10" s="10">
        <v>45689</v>
      </c>
      <c r="T10" s="11"/>
      <c r="U10" s="11"/>
      <c r="V10" s="16"/>
    </row>
    <row r="11" spans="1:22">
      <c r="K11" s="10">
        <v>44986</v>
      </c>
      <c r="L11" s="11"/>
      <c r="M11" s="11">
        <v>9368.67</v>
      </c>
      <c r="N11" s="11"/>
      <c r="O11" s="10">
        <v>45352</v>
      </c>
      <c r="P11" s="11"/>
      <c r="Q11" s="11">
        <v>45248.219999999994</v>
      </c>
      <c r="R11" s="16" t="s">
        <v>10</v>
      </c>
      <c r="S11" s="10">
        <v>45717</v>
      </c>
      <c r="T11" s="11"/>
      <c r="U11" s="11"/>
      <c r="V11" s="16"/>
    </row>
    <row r="12" spans="1:22">
      <c r="K12" s="10">
        <v>45017</v>
      </c>
      <c r="L12" s="11"/>
      <c r="M12" s="11">
        <v>9368.67</v>
      </c>
      <c r="N12" s="11"/>
      <c r="O12" s="10">
        <v>45383</v>
      </c>
      <c r="P12" s="11"/>
      <c r="Q12" s="11">
        <v>9865.7099999999991</v>
      </c>
      <c r="R12" s="16" t="s">
        <v>9</v>
      </c>
      <c r="S12" s="10">
        <v>45748</v>
      </c>
      <c r="T12" s="11"/>
      <c r="U12" s="11"/>
      <c r="V12" s="16"/>
    </row>
    <row r="13" spans="1:22">
      <c r="K13" s="10">
        <v>45047</v>
      </c>
      <c r="L13" s="11"/>
      <c r="M13" s="11">
        <v>9300.25</v>
      </c>
      <c r="N13" s="11"/>
      <c r="O13" s="10">
        <v>45413</v>
      </c>
      <c r="P13" s="11"/>
      <c r="Q13" s="11">
        <v>9793.65</v>
      </c>
      <c r="R13" s="16" t="s">
        <v>9</v>
      </c>
      <c r="S13" s="10">
        <v>45778</v>
      </c>
      <c r="T13" s="11"/>
      <c r="U13" s="11"/>
      <c r="V13" s="16"/>
    </row>
    <row r="14" spans="1:22">
      <c r="K14" s="10">
        <v>45078</v>
      </c>
      <c r="L14" s="12"/>
      <c r="M14" s="12">
        <v>9787.1400000000012</v>
      </c>
      <c r="N14" s="12"/>
      <c r="O14" s="10">
        <v>45444</v>
      </c>
      <c r="P14" s="12"/>
      <c r="Q14" s="12">
        <v>11571.189999999999</v>
      </c>
      <c r="R14" s="17" t="s">
        <v>9</v>
      </c>
      <c r="S14" s="10">
        <v>45809</v>
      </c>
      <c r="T14" s="12"/>
      <c r="U14" s="12"/>
      <c r="V14" s="17"/>
    </row>
    <row r="15" spans="1:22">
      <c r="L15" s="13">
        <f>SUM(L3:L14)</f>
        <v>0</v>
      </c>
      <c r="M15" s="13">
        <f>SUM(M3:M14)</f>
        <v>37824.730000000003</v>
      </c>
      <c r="N15" s="13">
        <f>L15-M15</f>
        <v>-37824.730000000003</v>
      </c>
      <c r="O15" s="4"/>
      <c r="P15" s="13">
        <f>SUM(P3:P14)</f>
        <v>0</v>
      </c>
      <c r="Q15" s="13">
        <f>SUM(Q3:Q14)</f>
        <v>156977.87</v>
      </c>
      <c r="R15" s="13">
        <f>P15-Q15</f>
        <v>-156977.87</v>
      </c>
      <c r="S15" s="4"/>
      <c r="T15" s="13">
        <f>SUM(T3:T14)</f>
        <v>0</v>
      </c>
      <c r="U15" s="13">
        <f>SUM(U3:U14)</f>
        <v>79029.279999999999</v>
      </c>
      <c r="V15" s="13">
        <f>T15-U15</f>
        <v>-79029.279999999999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119B-0B10-41A1-9C05-E675B4E65BA0}">
  <dimension ref="K2:R15"/>
  <sheetViews>
    <sheetView workbookViewId="0">
      <selection activeCell="Q6" sqref="Q6"/>
    </sheetView>
  </sheetViews>
  <sheetFormatPr defaultRowHeight="15"/>
  <cols>
    <col min="12" max="12" width="0" hidden="1" customWidth="1"/>
    <col min="13" max="13" width="13.28515625" hidden="1" customWidth="1"/>
    <col min="14" max="14" width="17.42578125" hidden="1" customWidth="1"/>
    <col min="17" max="17" width="12" bestFit="1" customWidth="1"/>
    <col min="18" max="18" width="19.85546875" bestFit="1" customWidth="1"/>
  </cols>
  <sheetData>
    <row r="2" spans="11:18">
      <c r="L2" t="s">
        <v>5</v>
      </c>
      <c r="M2" t="s">
        <v>6</v>
      </c>
      <c r="N2" t="s">
        <v>11</v>
      </c>
      <c r="P2" t="s">
        <v>5</v>
      </c>
      <c r="Q2" t="s">
        <v>6</v>
      </c>
    </row>
    <row r="3" spans="11:18">
      <c r="K3" s="10">
        <v>45108</v>
      </c>
      <c r="L3" s="11"/>
      <c r="M3">
        <v>9787.14</v>
      </c>
      <c r="N3" s="16" t="s">
        <v>9</v>
      </c>
      <c r="O3" s="10">
        <v>45474</v>
      </c>
      <c r="P3" s="11"/>
      <c r="Q3" s="11">
        <v>11571.19</v>
      </c>
      <c r="R3" s="16" t="s">
        <v>9</v>
      </c>
    </row>
    <row r="4" spans="11:18">
      <c r="K4" s="10">
        <v>45139</v>
      </c>
      <c r="L4" s="11"/>
      <c r="M4" s="11">
        <v>9793.65</v>
      </c>
      <c r="N4" s="16" t="s">
        <v>9</v>
      </c>
      <c r="O4" s="10">
        <v>45505</v>
      </c>
      <c r="P4" s="11"/>
      <c r="Q4" s="11">
        <v>45376.880000000005</v>
      </c>
      <c r="R4" s="16" t="s">
        <v>12</v>
      </c>
    </row>
    <row r="5" spans="11:18">
      <c r="K5" s="10">
        <v>45170</v>
      </c>
      <c r="L5" s="11"/>
      <c r="M5" s="11">
        <v>9865.7100000000009</v>
      </c>
      <c r="N5" s="16" t="s">
        <v>9</v>
      </c>
      <c r="O5" s="10">
        <v>45536</v>
      </c>
      <c r="P5" s="11"/>
      <c r="Q5" s="11">
        <v>33652.400000000001</v>
      </c>
      <c r="R5" s="16"/>
    </row>
    <row r="6" spans="11:18">
      <c r="K6" s="10">
        <v>45200</v>
      </c>
      <c r="L6" s="11"/>
      <c r="M6" s="11">
        <v>10274.41</v>
      </c>
      <c r="N6" s="16" t="s">
        <v>7</v>
      </c>
      <c r="O6" s="10">
        <v>45566</v>
      </c>
      <c r="P6" s="11"/>
      <c r="Q6" s="11"/>
      <c r="R6" s="16"/>
    </row>
    <row r="7" spans="11:18">
      <c r="K7" s="10">
        <v>45231</v>
      </c>
      <c r="L7" s="11"/>
      <c r="M7" s="11">
        <v>9865.7099999999991</v>
      </c>
      <c r="N7" s="16" t="s">
        <v>9</v>
      </c>
      <c r="O7" s="10">
        <v>45597</v>
      </c>
      <c r="P7" s="11"/>
      <c r="Q7" s="11"/>
      <c r="R7" s="16"/>
    </row>
    <row r="8" spans="11:18">
      <c r="K8" s="10">
        <v>45261</v>
      </c>
      <c r="L8" s="11"/>
      <c r="M8" s="11">
        <v>0</v>
      </c>
      <c r="N8" s="16" t="s">
        <v>7</v>
      </c>
      <c r="O8" s="10">
        <v>45627</v>
      </c>
      <c r="P8" s="11"/>
      <c r="Q8" s="11"/>
      <c r="R8" s="16"/>
    </row>
    <row r="9" spans="11:18">
      <c r="K9" s="10">
        <v>45292</v>
      </c>
      <c r="L9" s="11"/>
      <c r="M9" s="11">
        <v>9865.7099999999991</v>
      </c>
      <c r="N9" s="16" t="s">
        <v>9</v>
      </c>
      <c r="O9" s="10">
        <v>45658</v>
      </c>
      <c r="P9" s="11"/>
      <c r="Q9" s="11"/>
      <c r="R9" s="16"/>
    </row>
    <row r="10" spans="11:18">
      <c r="K10" s="10">
        <v>45323</v>
      </c>
      <c r="L10" s="11"/>
      <c r="M10" s="11">
        <v>18525.810000000001</v>
      </c>
      <c r="N10" s="16" t="s">
        <v>7</v>
      </c>
      <c r="O10" s="10">
        <v>45689</v>
      </c>
      <c r="P10" s="11"/>
      <c r="Q10" s="11"/>
      <c r="R10" s="16"/>
    </row>
    <row r="11" spans="11:18">
      <c r="K11" s="10">
        <v>45352</v>
      </c>
      <c r="L11" s="11"/>
      <c r="M11" s="11">
        <v>12308.099999999999</v>
      </c>
      <c r="N11" s="16" t="s">
        <v>8</v>
      </c>
      <c r="O11" s="10">
        <v>45717</v>
      </c>
      <c r="P11" s="11"/>
      <c r="Q11" s="11"/>
      <c r="R11" s="16"/>
    </row>
    <row r="12" spans="11:18">
      <c r="K12" s="10">
        <v>45383</v>
      </c>
      <c r="L12" s="11"/>
      <c r="M12" s="11">
        <v>45248.219999999994</v>
      </c>
      <c r="N12" s="16" t="s">
        <v>10</v>
      </c>
      <c r="O12" s="10">
        <v>45748</v>
      </c>
      <c r="P12" s="11"/>
      <c r="Q12" s="11"/>
      <c r="R12" s="16"/>
    </row>
    <row r="13" spans="11:18">
      <c r="K13" s="10">
        <v>45413</v>
      </c>
      <c r="L13" s="11"/>
      <c r="M13" s="11">
        <v>9865.7099999999991</v>
      </c>
      <c r="N13" s="16" t="s">
        <v>9</v>
      </c>
      <c r="O13" s="10">
        <v>45778</v>
      </c>
      <c r="P13" s="11"/>
      <c r="Q13" s="11"/>
      <c r="R13" s="16"/>
    </row>
    <row r="14" spans="11:18">
      <c r="K14" s="10">
        <v>45444</v>
      </c>
      <c r="L14" s="12"/>
      <c r="M14" s="12">
        <v>9793.65</v>
      </c>
      <c r="N14" s="17" t="s">
        <v>9</v>
      </c>
      <c r="O14" s="10">
        <v>45809</v>
      </c>
      <c r="P14" s="12"/>
      <c r="Q14" s="12"/>
      <c r="R14" s="17"/>
    </row>
    <row r="15" spans="11:18">
      <c r="K15" s="4"/>
      <c r="L15" s="13">
        <f>SUM(L3:L14)</f>
        <v>0</v>
      </c>
      <c r="M15" s="13">
        <f>SUM(M4:M14)</f>
        <v>145406.68</v>
      </c>
      <c r="N15" s="13">
        <f>L15-M15</f>
        <v>-145406.68</v>
      </c>
      <c r="O15" s="4"/>
      <c r="P15" s="13">
        <f>SUM(P3:P14)</f>
        <v>0</v>
      </c>
      <c r="Q15" s="13">
        <f>SUM(Q3:Q14)</f>
        <v>90600.47</v>
      </c>
      <c r="R15" s="13">
        <f>P15-Q15</f>
        <v>-90600.47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2A19C09597A4FB0ECB8D3006DEC5B" ma:contentTypeVersion="17" ma:contentTypeDescription="Create a new document." ma:contentTypeScope="" ma:versionID="295cc371d64fe7a09f66e12b7a044a98">
  <xsd:schema xmlns:xsd="http://www.w3.org/2001/XMLSchema" xmlns:xs="http://www.w3.org/2001/XMLSchema" xmlns:p="http://schemas.microsoft.com/office/2006/metadata/properties" xmlns:ns2="4d81cd01-18d3-4d99-9da7-104aa7df8d71" xmlns:ns3="22a0b230-faea-41c6-942e-118daf6c53c7" targetNamespace="http://schemas.microsoft.com/office/2006/metadata/properties" ma:root="true" ma:fieldsID="44237ddf2954c1c60c1f83c4e8162a02" ns2:_="" ns3:_="">
    <xsd:import namespace="4d81cd01-18d3-4d99-9da7-104aa7df8d71"/>
    <xsd:import namespace="22a0b230-faea-41c6-942e-118daf6c5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cd01-18d3-4d99-9da7-104aa7df8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0fb1f15-508e-4435-a559-3077e579f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0b230-faea-41c6-942e-118daf6c53c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16fc043-e475-4f71-8898-77370e45b749}" ma:internalName="TaxCatchAll" ma:showField="CatchAllData" ma:web="22a0b230-faea-41c6-942e-118daf6c5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81cd01-18d3-4d99-9da7-104aa7df8d71">
      <Terms xmlns="http://schemas.microsoft.com/office/infopath/2007/PartnerControls"/>
    </lcf76f155ced4ddcb4097134ff3c332f>
    <TaxCatchAll xmlns="22a0b230-faea-41c6-942e-118daf6c53c7" xsi:nil="true"/>
  </documentManagement>
</p:properties>
</file>

<file path=customXml/itemProps1.xml><?xml version="1.0" encoding="utf-8"?>
<ds:datastoreItem xmlns:ds="http://schemas.openxmlformats.org/officeDocument/2006/customXml" ds:itemID="{5365F179-F720-47B1-9523-FC0E09FC7B02}"/>
</file>

<file path=customXml/itemProps2.xml><?xml version="1.0" encoding="utf-8"?>
<ds:datastoreItem xmlns:ds="http://schemas.openxmlformats.org/officeDocument/2006/customXml" ds:itemID="{20A74FDD-3832-49EA-82F0-CA27333098C0}"/>
</file>

<file path=customXml/itemProps3.xml><?xml version="1.0" encoding="utf-8"?>
<ds:datastoreItem xmlns:ds="http://schemas.openxmlformats.org/officeDocument/2006/customXml" ds:itemID="{DF801355-E1FC-415B-8BC2-B64DE469E7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Zerilda</dc:creator>
  <cp:keywords/>
  <dc:description/>
  <cp:lastModifiedBy>Zerilda</cp:lastModifiedBy>
  <cp:revision/>
  <dcterms:created xsi:type="dcterms:W3CDTF">2023-11-10T13:09:43Z</dcterms:created>
  <dcterms:modified xsi:type="dcterms:W3CDTF">2024-10-11T10:35:11Z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0x010100C2C2A19C09597A4FB0ECB8D3006DEC5B</vt:lpwstr>
  </property>
  <property fmtid="{D5CDD505-2E9C-101B-9397-08002B2CF9AE}" pid="3" name="MediaServiceImageTags">
    <vt:lpwstr/>
  </property>
</Properties>
</file>