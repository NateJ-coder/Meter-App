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405AA1-AA0C-46DE-86FD-D438C9286870}" xr6:coauthVersionLast="47" xr6:coauthVersionMax="47" xr10:uidLastSave="{00000000-0000-0000-0000-000000000000}"/>
  <bookViews>
    <workbookView xWindow="-120" yWindow="-120" windowWidth="20730" windowHeight="11160" activeTab="3" xr2:uid="{F5ADB581-C2DF-4ACA-B6F0-196AC0CBC941}"/>
  </bookViews>
  <sheets>
    <sheet name="Detailed" sheetId="1" r:id="rId1"/>
    <sheet name="Reading Month Graph" sheetId="2" r:id="rId2"/>
    <sheet name="Cons Graph" sheetId="3" r:id="rId3"/>
    <sheet name="Rates" sheetId="4" r:id="rId4"/>
    <sheet name="WCU Graph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H14" i="1"/>
  <c r="G14" i="1"/>
  <c r="E14" i="1"/>
  <c r="E15" i="1"/>
  <c r="H5" i="1"/>
  <c r="E7" i="1" s="1"/>
  <c r="H13" i="1"/>
  <c r="G13" i="1"/>
  <c r="F13" i="1"/>
  <c r="E13" i="1"/>
  <c r="D13" i="1"/>
  <c r="M13" i="1" s="1"/>
  <c r="E8" i="1"/>
  <c r="H6" i="1"/>
  <c r="G6" i="1"/>
  <c r="E6" i="1"/>
  <c r="D5" i="1"/>
  <c r="G5" i="1"/>
  <c r="F5" i="1"/>
  <c r="E5" i="1"/>
  <c r="M5" i="1"/>
  <c r="B14" i="1"/>
  <c r="D14" i="1" s="1"/>
  <c r="B13" i="1"/>
  <c r="D6" i="1"/>
  <c r="M16" i="5"/>
  <c r="L16" i="5"/>
  <c r="M15" i="2"/>
  <c r="L15" i="2"/>
  <c r="N16" i="5" l="1"/>
  <c r="K13" i="1"/>
  <c r="N15" i="2"/>
  <c r="E9" i="1"/>
  <c r="K5" i="1"/>
  <c r="E17" i="1"/>
  <c r="M14" i="1"/>
  <c r="K14" i="1"/>
  <c r="D17" i="1"/>
  <c r="M6" i="1"/>
  <c r="D9" i="1"/>
  <c r="K6" i="1"/>
</calcChain>
</file>

<file path=xl/sharedStrings.xml><?xml version="1.0" encoding="utf-8"?>
<sst xmlns="http://schemas.openxmlformats.org/spreadsheetml/2006/main" count="64" uniqueCount="30">
  <si>
    <t>Akasia Body Corporate - Electricity BC vs Council Recon</t>
  </si>
  <si>
    <t>Unit No</t>
  </si>
  <si>
    <t>Opening Reading</t>
  </si>
  <si>
    <t>Closing Reading</t>
  </si>
  <si>
    <t>Cons</t>
  </si>
  <si>
    <t>Elec Amount</t>
  </si>
  <si>
    <t>ComP</t>
  </si>
  <si>
    <t>Reading Dates</t>
  </si>
  <si>
    <t>Estimated?</t>
  </si>
  <si>
    <t>Rates</t>
  </si>
  <si>
    <t>Days</t>
  </si>
  <si>
    <t>Kwh p/day</t>
  </si>
  <si>
    <t>BC Bulk</t>
  </si>
  <si>
    <t>Council Bulk</t>
  </si>
  <si>
    <t>Actual</t>
  </si>
  <si>
    <t>Total BC</t>
  </si>
  <si>
    <t>Total Council</t>
  </si>
  <si>
    <t>Difference</t>
  </si>
  <si>
    <t>1Aug - 31Aug 2024</t>
  </si>
  <si>
    <t>1Sep - 30Sep 2024</t>
  </si>
  <si>
    <t>BC</t>
  </si>
  <si>
    <t>Council</t>
  </si>
  <si>
    <t>Comments</t>
  </si>
  <si>
    <t>Vista Del Monte Body Corporate - Electricity BC vs Council Recon</t>
  </si>
  <si>
    <t>Service Fee</t>
  </si>
  <si>
    <t>Network Fee</t>
  </si>
  <si>
    <t>31Jul - 30Aug 2024</t>
  </si>
  <si>
    <t>Actual / Estimated</t>
  </si>
  <si>
    <t>A - BC ComP not included</t>
  </si>
  <si>
    <t>30Aug - 30Sep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</si>
</sst>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_-[$R-436]* #,##0.00_-;\-[$R-436]* #,##0.00_-;_-[$R-436]* &quot;-&quot;??_-;_-@_-"/>
    <numFmt numFmtId="167" formatCode="_-[$R-1C09]* #,##0.00_-;\-[$R-1C09]* #,##0.00_-;_-[$R-1C09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165" fontId="3" fillId="0" borderId="1" xfId="0" applyNumberFormat="1" applyFont="1" applyBorder="1"/>
    <xf numFmtId="0" fontId="2" fillId="0" borderId="0" xfId="0" applyFont="1"/>
    <xf numFmtId="17" fontId="1" fillId="0" borderId="0" xfId="0" applyNumberFormat="1" applyFont="1"/>
    <xf numFmtId="165" fontId="0" fillId="0" borderId="0" xfId="0" applyNumberFormat="1"/>
    <xf numFmtId="165" fontId="0" fillId="0" borderId="2" xfId="0" applyNumberFormat="1" applyBorder="1"/>
    <xf numFmtId="165" fontId="1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wrapText="1"/>
    </xf>
    <xf numFmtId="165" fontId="3" fillId="0" borderId="0" xfId="0" applyNumberFormat="1" applyFont="1"/>
    <xf numFmtId="1" fontId="3" fillId="0" borderId="0" xfId="0" applyNumberFormat="1" applyFont="1" applyAlignment="1">
      <alignment vertical="center"/>
    </xf>
    <xf numFmtId="0" fontId="0" fillId="0" borderId="3" xfId="0" applyBorder="1"/>
    <xf numFmtId="167" fontId="0" fillId="0" borderId="3" xfId="0" applyNumberFormat="1" applyBorder="1"/>
    <xf numFmtId="0" fontId="1" fillId="0" borderId="3" xfId="0" applyFont="1" applyBorder="1"/>
    <xf numFmtId="167" fontId="1" fillId="0" borderId="3" xfId="0" applyNumberFormat="1" applyFont="1" applyBorder="1"/>
    <xf numFmtId="0" fontId="0" fillId="0" borderId="0" xfId="0" applyAlignment="1">
      <alignment horizontal="center"/>
    </xf>
    <xf numFmtId="164" fontId="1" fillId="0" borderId="0" xfId="0" applyNumberFormat="1" applyFont="1"/>
    <xf numFmtId="1" fontId="0" fillId="0" borderId="0" xfId="0" applyNumberFormat="1" applyAlignment="1">
      <alignment horizontal="right"/>
    </xf>
    <xf numFmtId="0" fontId="0" fillId="0" borderId="3" xfId="0" applyNumberFormat="1" applyBorder="1"/>
    <xf numFmtId="165" fontId="0" fillId="0" borderId="3" xfId="0" applyNumberForma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'Reading Month Graph'!$L$2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'Reading Month Graph'!$K$3:$K$15</c:f>
              <c:numCache>
                <c:formatCode>mmm\-yy</c:formatCode>
                <c:ptCount val="1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'Reading Month Graph'!$L$3:$L$15</c:f>
              <c:numCache>
                <c:formatCode>_-[$R-436]* #,##0.00_-;\-[$R-436]* #,##0.00_-;_-[$R-436]* "-"??_-;_-@_-</c:formatCode>
                <c:ptCount val="13"/>
                <c:pt idx="7">
                  <c:v>52403.14</c:v>
                </c:pt>
                <c:pt idx="8">
                  <c:v>49118.1</c:v>
                </c:pt>
                <c:pt idx="12">
                  <c:v>101521.23999999999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F-439F-A119-2097CC31861E}"/>
            </c:ext>
          </c:extLst>
        </c:ser>
        <c:ser>
          <c:idx val="1"/>
          <c:order val="1"/>
          <c:tx>
            <c:strRef>
              <c:f>'Reading Month Graph'!$M$2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'Reading Month Graph'!$K$3:$K$15</c:f>
              <c:numCache>
                <c:formatCode>mmm\-yy</c:formatCode>
                <c:ptCount val="1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'Reading Month Graph'!$M$3:$M$15</c:f>
              <c:numCache>
                <c:formatCode>_-[$R-436]* #,##0.00_-;\-[$R-436]* #,##0.00_-;_-[$R-436]* "-"??_-;_-@_-</c:formatCode>
                <c:ptCount val="13"/>
                <c:pt idx="7">
                  <c:v>55487.63</c:v>
                </c:pt>
                <c:pt idx="8">
                  <c:v>52829.47</c:v>
                </c:pt>
                <c:pt idx="12">
                  <c:v>108317.1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0F-439F-A119-2097CC31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70760"/>
        <c:axId val="29772808"/>
      </c:barChart>
      <c:dateAx>
        <c:axId val="29770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2808"/>
        <c:crosses val="autoZero"/>
        <c:auto val="1"/>
        <c:lblOffset val="100"/>
        <c:baseTimeUnit val="months"/>
      </c:dateAx>
      <c:valAx>
        <c:axId val="2977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AKA - Elec Cons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Graph'!$L$3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Graph'!$K$4:$K$15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'Cons Graph'!$L$6:$L$15</c:f>
              <c:numCache>
                <c:formatCode>0</c:formatCode>
                <c:ptCount val="10"/>
                <c:pt idx="5">
                  <c:v>20091</c:v>
                </c:pt>
                <c:pt idx="6">
                  <c:v>19078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E-4FF7-A454-8B3457F85284}"/>
            </c:ext>
          </c:extLst>
        </c:ser>
        <c:ser>
          <c:idx val="1"/>
          <c:order val="1"/>
          <c:tx>
            <c:strRef>
              <c:f>'Cons Graph'!$M$3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Graph'!$K$4:$K$15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'Cons Graph'!$M$6:$M$15</c:f>
              <c:numCache>
                <c:formatCode>0</c:formatCode>
                <c:ptCount val="10"/>
                <c:pt idx="5">
                  <c:v>20707</c:v>
                </c:pt>
                <c:pt idx="6">
                  <c:v>19690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FE-4FF7-A454-8B3457F85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808392"/>
        <c:axId val="1713810440"/>
      </c:barChart>
      <c:dateAx>
        <c:axId val="1713808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10440"/>
        <c:crosses val="autoZero"/>
        <c:auto val="1"/>
        <c:lblOffset val="100"/>
        <c:baseTimeUnit val="months"/>
      </c:dateAx>
      <c:valAx>
        <c:axId val="171381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0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AKA - Elec KWh p/day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Graph'!$L$18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Graph'!$K$19:$K$30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'Cons Graph'!$L$21:$L$30</c:f>
              <c:numCache>
                <c:formatCode>0</c:formatCode>
                <c:ptCount val="10"/>
                <c:pt idx="5">
                  <c:v>669.7</c:v>
                </c:pt>
                <c:pt idx="6">
                  <c:v>615.41935483870964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5-43AE-B99A-EC9508EC3485}"/>
            </c:ext>
          </c:extLst>
        </c:ser>
        <c:ser>
          <c:idx val="1"/>
          <c:order val="1"/>
          <c:tx>
            <c:strRef>
              <c:f>'Cons Graph'!$M$18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Graph'!$K$19:$K$30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'Cons Graph'!$M$21:$M$30</c:f>
              <c:numCache>
                <c:formatCode>0</c:formatCode>
                <c:ptCount val="10"/>
                <c:pt idx="5">
                  <c:v>667.9677419354839</c:v>
                </c:pt>
                <c:pt idx="6">
                  <c:v>656.33333333333337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E5-43AE-B99A-EC9508EC3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164167"/>
        <c:axId val="403166215"/>
      </c:barChart>
      <c:dateAx>
        <c:axId val="4031641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66215"/>
        <c:crosses val="autoZero"/>
        <c:auto val="1"/>
        <c:lblOffset val="100"/>
        <c:baseTimeUnit val="months"/>
      </c:dateAx>
      <c:valAx>
        <c:axId val="403166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64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Rates!$J$3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Rates!$I$4:$I$15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Rates!$J$6:$J$15</c:f>
              <c:numCache>
                <c:formatCode>_-[$R-436]* #,##0.00_-;\-[$R-436]* #,##0.00_-;_-[$R-436]* "-"??_-;_-@_-</c:formatCode>
                <c:ptCount val="10"/>
                <c:pt idx="5">
                  <c:v>2.6137197252501112</c:v>
                </c:pt>
                <c:pt idx="6">
                  <c:v>2.6137200222147099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D-48EF-B32E-9CAB881A41B5}"/>
            </c:ext>
          </c:extLst>
        </c:ser>
        <c:ser>
          <c:idx val="1"/>
          <c:order val="1"/>
          <c:tx>
            <c:strRef>
              <c:f>Rates!$K$3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Rates!$I$4:$I$15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Rates!$K$6:$K$15</c:f>
              <c:numCache>
                <c:formatCode>_-[$R-436]* #,##0.00_-;\-[$R-436]* #,##0.00_-;_-[$R-436]* "-"??_-;_-@_-</c:formatCode>
                <c:ptCount val="10"/>
                <c:pt idx="5">
                  <c:v>2.6137197252501112</c:v>
                </c:pt>
                <c:pt idx="6">
                  <c:v>2.6137200222147099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D-48EF-B32E-9CAB881A41B5}"/>
            </c:ext>
          </c:extLst>
        </c:ser>
        <c:ser>
          <c:idx val="2"/>
          <c:order val="2"/>
          <c:tx>
            <c:strRef>
              <c:f>Rates!$L$3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Rates!$I$4:$I$15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Rates!$L$4:$L$15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B96D-48EF-B32E-9CAB881A41B5}"/>
            </c:ext>
          </c:extLst>
        </c:ser>
        <c:ser>
          <c:idx val="3"/>
          <c:order val="3"/>
          <c:tx>
            <c:strRef>
              <c:f>Rates!$M$3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Rates!$I$4:$I$15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Rates!$M$4:$M$15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B96D-48EF-B32E-9CAB881A4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157128"/>
        <c:axId val="1311963656"/>
      </c:barChart>
      <c:dateAx>
        <c:axId val="12411571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63656"/>
        <c:crosses val="autoZero"/>
        <c:auto val="1"/>
        <c:lblOffset val="100"/>
        <c:baseTimeUnit val="months"/>
      </c:dateAx>
      <c:valAx>
        <c:axId val="131196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5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'WCU Graph'!$L$3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'WCU Graph'!$K$4:$K$15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'WCU Graph'!$L$4:$L$15</c:f>
              <c:numCache>
                <c:formatCode>_-[$R-436]* #,##0.00_-;\-[$R-436]* #,##0.00_-;_-[$R-436]* "-"??_-;_-@_-</c:formatCode>
                <c:ptCount val="12"/>
                <c:pt idx="9">
                  <c:v>52403.14</c:v>
                </c:pt>
                <c:pt idx="10">
                  <c:v>49118.1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5-4049-BFBC-64E768A3A058}"/>
            </c:ext>
          </c:extLst>
        </c:ser>
        <c:ser>
          <c:idx val="1"/>
          <c:order val="1"/>
          <c:tx>
            <c:strRef>
              <c:f>'WCU Graph'!$M$3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'WCU Graph'!$K$4:$K$15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'WCU Graph'!$M$4:$M$15</c:f>
              <c:numCache>
                <c:formatCode>_-[$R-436]* #,##0.00_-;\-[$R-436]* #,##0.00_-;_-[$R-436]* "-"??_-;_-@_-</c:formatCode>
                <c:ptCount val="12"/>
                <c:pt idx="9">
                  <c:v>55487.63</c:v>
                </c:pt>
                <c:pt idx="10">
                  <c:v>52829.47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75-4049-BFBC-64E768A3A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825095"/>
        <c:axId val="900827143"/>
      </c:barChart>
      <c:dateAx>
        <c:axId val="9008250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27143"/>
        <c:crosses val="autoZero"/>
        <c:auto val="1"/>
        <c:lblOffset val="100"/>
        <c:baseTimeUnit val="months"/>
      </c:dateAx>
      <c:valAx>
        <c:axId val="90082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25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19050</xdr:rowOff>
    </xdr:from>
    <xdr:to>
      <xdr:col>8</xdr:col>
      <xdr:colOff>590550</xdr:colOff>
      <xdr:row>18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BBEE23-4BD7-169F-F35B-D3ED44400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104775</xdr:rowOff>
    </xdr:from>
    <xdr:to>
      <xdr:col>9</xdr:col>
      <xdr:colOff>390525</xdr:colOff>
      <xdr:row>15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D24F37-CA98-5849-F9F2-E54183418C6E}"/>
            </a:ext>
            <a:ext uri="{147F2762-F138-4A5C-976F-8EAC2B608ADB}">
              <a16:predDERef xmlns:a16="http://schemas.microsoft.com/office/drawing/2014/main" pred="{03356DA1-F58B-4332-9D80-AEAD620F7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16</xdr:row>
      <xdr:rowOff>66675</xdr:rowOff>
    </xdr:from>
    <xdr:to>
      <xdr:col>9</xdr:col>
      <xdr:colOff>352425</xdr:colOff>
      <xdr:row>32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F75469-2A0D-380D-BCA6-46A17A50EA9F}"/>
            </a:ext>
            <a:ext uri="{147F2762-F138-4A5C-976F-8EAC2B608ADB}">
              <a16:predDERef xmlns:a16="http://schemas.microsoft.com/office/drawing/2014/main" pred="{A0D24F37-CA98-5849-F9F2-E54183418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85724</xdr:rowOff>
    </xdr:from>
    <xdr:to>
      <xdr:col>7</xdr:col>
      <xdr:colOff>495300</xdr:colOff>
      <xdr:row>15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F40A2-407D-A31E-D61C-853E2742B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85725</xdr:rowOff>
    </xdr:from>
    <xdr:to>
      <xdr:col>9</xdr:col>
      <xdr:colOff>190500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0FDA82-CFA8-1ACD-3433-1FB1256A4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E989-4E75-4148-B921-FE34651CF465}">
  <dimension ref="A1:M18"/>
  <sheetViews>
    <sheetView workbookViewId="0">
      <selection activeCell="K5" sqref="K5:K6"/>
    </sheetView>
  </sheetViews>
  <sheetFormatPr defaultRowHeight="15" x14ac:dyDescent="0.25"/>
  <cols>
    <col min="1" max="1" width="12.42578125" bestFit="1" customWidth="1"/>
    <col min="2" max="2" width="16.28515625" bestFit="1" customWidth="1"/>
    <col min="3" max="3" width="15.140625" bestFit="1" customWidth="1"/>
    <col min="4" max="4" width="10.85546875" bestFit="1" customWidth="1"/>
    <col min="5" max="5" width="13" bestFit="1" customWidth="1"/>
    <col min="6" max="7" width="12.140625" customWidth="1"/>
    <col min="8" max="8" width="15.140625" bestFit="1" customWidth="1"/>
    <col min="9" max="9" width="20.85546875" customWidth="1"/>
    <col min="10" max="10" width="10.85546875" bestFit="1" customWidth="1"/>
    <col min="13" max="13" width="12" bestFit="1" customWidth="1"/>
  </cols>
  <sheetData>
    <row r="1" spans="1:13" ht="18.75" x14ac:dyDescent="0.3">
      <c r="A1" s="3" t="s">
        <v>23</v>
      </c>
    </row>
    <row r="2" spans="1:13" ht="18.75" x14ac:dyDescent="0.3">
      <c r="A2" s="3"/>
    </row>
    <row r="3" spans="1:13" x14ac:dyDescent="0.25">
      <c r="A3" s="19">
        <v>45505</v>
      </c>
    </row>
    <row r="4" spans="1:13" x14ac:dyDescent="0.25">
      <c r="A4" s="16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24</v>
      </c>
      <c r="H4" s="16" t="s">
        <v>25</v>
      </c>
      <c r="I4" s="16" t="s">
        <v>7</v>
      </c>
      <c r="J4" s="16" t="s">
        <v>8</v>
      </c>
      <c r="K4" s="16" t="s">
        <v>9</v>
      </c>
      <c r="L4" s="16" t="s">
        <v>10</v>
      </c>
      <c r="M4" s="16" t="s">
        <v>11</v>
      </c>
    </row>
    <row r="5" spans="1:13" x14ac:dyDescent="0.25">
      <c r="A5" s="14" t="s">
        <v>12</v>
      </c>
      <c r="B5" s="14">
        <v>911831</v>
      </c>
      <c r="C5" s="14">
        <v>931922</v>
      </c>
      <c r="D5" s="21">
        <f>C5-B5</f>
        <v>20091</v>
      </c>
      <c r="E5" s="15">
        <f>43595.95*1.15</f>
        <v>50135.342499999992</v>
      </c>
      <c r="F5" s="15">
        <f>2066.87*1.15</f>
        <v>2376.9004999999997</v>
      </c>
      <c r="G5" s="15">
        <f>235.79*1.15</f>
        <v>271.15849999999995</v>
      </c>
      <c r="H5" s="22">
        <f>951.45*1.15</f>
        <v>1094.1675</v>
      </c>
      <c r="I5" s="14" t="s">
        <v>26</v>
      </c>
      <c r="J5" s="14" t="s">
        <v>14</v>
      </c>
      <c r="K5" s="15">
        <f>(E5+F5)/D5</f>
        <v>2.6137197252501112</v>
      </c>
      <c r="L5" s="14">
        <v>30</v>
      </c>
      <c r="M5" s="14">
        <f>D5/L5</f>
        <v>669.7</v>
      </c>
    </row>
    <row r="6" spans="1:13" x14ac:dyDescent="0.25">
      <c r="A6" s="14" t="s">
        <v>13</v>
      </c>
      <c r="B6" s="14">
        <v>907659</v>
      </c>
      <c r="C6" s="14">
        <v>928366</v>
      </c>
      <c r="D6" s="14">
        <f>C6-B6</f>
        <v>20707</v>
      </c>
      <c r="E6" s="15">
        <f>47062.87*1.15</f>
        <v>54122.300499999998</v>
      </c>
      <c r="F6" s="14"/>
      <c r="G6" s="22">
        <f>235.79*1.15</f>
        <v>271.15849999999995</v>
      </c>
      <c r="H6" s="22">
        <f>951.45*1.15</f>
        <v>1094.1675</v>
      </c>
      <c r="I6" s="14" t="s">
        <v>18</v>
      </c>
      <c r="J6" s="14" t="s">
        <v>14</v>
      </c>
      <c r="K6" s="4">
        <f>E6/D6</f>
        <v>2.6137200222147099</v>
      </c>
      <c r="L6" s="14">
        <v>31</v>
      </c>
      <c r="M6" s="14">
        <f>D6/L6</f>
        <v>667.9677419354839</v>
      </c>
    </row>
    <row r="7" spans="1:13" x14ac:dyDescent="0.25">
      <c r="A7" s="16" t="s">
        <v>15</v>
      </c>
      <c r="B7" s="14"/>
      <c r="C7" s="14"/>
      <c r="D7" s="14"/>
      <c r="E7" s="17">
        <f>E5+F5+G5+H5</f>
        <v>53877.568999999989</v>
      </c>
      <c r="F7" s="14"/>
      <c r="G7" s="14"/>
      <c r="H7" s="14"/>
      <c r="I7" s="14"/>
      <c r="J7" s="14"/>
      <c r="K7" s="14"/>
      <c r="L7" s="14"/>
      <c r="M7" s="14"/>
    </row>
    <row r="8" spans="1:13" x14ac:dyDescent="0.25">
      <c r="A8" s="16" t="s">
        <v>16</v>
      </c>
      <c r="B8" s="14"/>
      <c r="C8" s="14"/>
      <c r="D8" s="14"/>
      <c r="E8" s="17">
        <f>E6+F6+H6+G6</f>
        <v>55487.626499999998</v>
      </c>
      <c r="F8" s="14"/>
      <c r="G8" s="14"/>
      <c r="H8" s="14"/>
      <c r="I8" s="14"/>
      <c r="J8" s="14"/>
      <c r="K8" s="14"/>
      <c r="L8" s="14"/>
      <c r="M8" s="14"/>
    </row>
    <row r="9" spans="1:13" x14ac:dyDescent="0.25">
      <c r="A9" s="16" t="s">
        <v>17</v>
      </c>
      <c r="B9" s="14"/>
      <c r="C9" s="14"/>
      <c r="D9" s="14">
        <f>D5-D6</f>
        <v>-616</v>
      </c>
      <c r="E9" s="17">
        <f>E7-E8</f>
        <v>-1610.0575000000099</v>
      </c>
      <c r="F9" s="14"/>
      <c r="G9" s="14"/>
      <c r="H9" s="14"/>
      <c r="I9" s="14"/>
      <c r="J9" s="14"/>
      <c r="K9" s="14"/>
      <c r="L9" s="14"/>
      <c r="M9" s="14"/>
    </row>
    <row r="11" spans="1:13" x14ac:dyDescent="0.25">
      <c r="A11" s="19">
        <v>45536</v>
      </c>
    </row>
    <row r="12" spans="1:13" x14ac:dyDescent="0.25">
      <c r="A12" s="16" t="s">
        <v>1</v>
      </c>
      <c r="B12" s="16" t="s">
        <v>2</v>
      </c>
      <c r="C12" s="16" t="s">
        <v>3</v>
      </c>
      <c r="D12" s="16" t="s">
        <v>4</v>
      </c>
      <c r="E12" s="16" t="s">
        <v>5</v>
      </c>
      <c r="F12" s="16" t="s">
        <v>6</v>
      </c>
      <c r="G12" s="16" t="s">
        <v>24</v>
      </c>
      <c r="H12" s="16" t="s">
        <v>25</v>
      </c>
      <c r="I12" s="16" t="s">
        <v>7</v>
      </c>
      <c r="J12" s="16" t="s">
        <v>8</v>
      </c>
      <c r="K12" s="16" t="s">
        <v>9</v>
      </c>
      <c r="L12" s="16" t="s">
        <v>10</v>
      </c>
      <c r="M12" s="16" t="s">
        <v>11</v>
      </c>
    </row>
    <row r="13" spans="1:13" x14ac:dyDescent="0.25">
      <c r="A13" s="14" t="s">
        <v>12</v>
      </c>
      <c r="B13" s="14">
        <f>C5</f>
        <v>931922</v>
      </c>
      <c r="C13" s="14">
        <v>951000</v>
      </c>
      <c r="D13" s="21">
        <f>C13-B13</f>
        <v>19078</v>
      </c>
      <c r="E13" s="15">
        <f>41391.89*1.15</f>
        <v>47600.673499999997</v>
      </c>
      <c r="F13" s="15">
        <f>1968.59*1.15</f>
        <v>2263.8784999999998</v>
      </c>
      <c r="G13" s="15">
        <f>235.79*1.15</f>
        <v>271.15849999999995</v>
      </c>
      <c r="H13" s="22">
        <f>951.45*1.15</f>
        <v>1094.1675</v>
      </c>
      <c r="I13" s="14" t="s">
        <v>29</v>
      </c>
      <c r="J13" s="14" t="s">
        <v>14</v>
      </c>
      <c r="K13" s="15">
        <f>(E13+F13)/D13</f>
        <v>2.6137200964461682</v>
      </c>
      <c r="L13" s="14">
        <v>31</v>
      </c>
      <c r="M13" s="14">
        <f>D13/L13</f>
        <v>615.41935483870964</v>
      </c>
    </row>
    <row r="14" spans="1:13" x14ac:dyDescent="0.25">
      <c r="A14" s="14" t="s">
        <v>13</v>
      </c>
      <c r="B14" s="14">
        <f>C6</f>
        <v>928366</v>
      </c>
      <c r="C14" s="14">
        <v>948056</v>
      </c>
      <c r="D14" s="14">
        <f>C14-B14</f>
        <v>19690</v>
      </c>
      <c r="E14" s="15">
        <f>44751.43*1.15</f>
        <v>51464.144499999995</v>
      </c>
      <c r="F14" s="14"/>
      <c r="G14" s="15">
        <f>235.79*1.15</f>
        <v>271.15849999999995</v>
      </c>
      <c r="H14" s="22">
        <f>951.45*1.15</f>
        <v>1094.1675</v>
      </c>
      <c r="I14" s="14" t="s">
        <v>19</v>
      </c>
      <c r="J14" s="14" t="s">
        <v>14</v>
      </c>
      <c r="K14" s="4">
        <f>E14/D14</f>
        <v>2.6137198831894359</v>
      </c>
      <c r="L14" s="14">
        <v>30</v>
      </c>
      <c r="M14" s="14">
        <f>D14/L14</f>
        <v>656.33333333333337</v>
      </c>
    </row>
    <row r="15" spans="1:13" x14ac:dyDescent="0.25">
      <c r="A15" s="16" t="s">
        <v>15</v>
      </c>
      <c r="B15" s="14"/>
      <c r="C15" s="14"/>
      <c r="D15" s="14"/>
      <c r="E15" s="17">
        <f>E13+F13+H13+G13</f>
        <v>51229.877999999997</v>
      </c>
      <c r="F15" s="14"/>
      <c r="G15" s="14"/>
      <c r="H15" s="14"/>
      <c r="I15" s="14"/>
      <c r="J15" s="14"/>
      <c r="K15" s="14"/>
      <c r="L15" s="14"/>
      <c r="M15" s="14"/>
    </row>
    <row r="16" spans="1:13" x14ac:dyDescent="0.25">
      <c r="A16" s="16" t="s">
        <v>16</v>
      </c>
      <c r="B16" s="14"/>
      <c r="C16" s="14"/>
      <c r="D16" s="14"/>
      <c r="E16" s="17">
        <f>E14+F14+H14+G14</f>
        <v>52829.470499999996</v>
      </c>
      <c r="F16" s="14"/>
      <c r="G16" s="14"/>
      <c r="H16" s="14"/>
      <c r="I16" s="14"/>
      <c r="J16" s="14"/>
      <c r="K16" s="14"/>
      <c r="L16" s="14"/>
      <c r="M16" s="14"/>
    </row>
    <row r="17" spans="1:13" x14ac:dyDescent="0.25">
      <c r="A17" s="16" t="s">
        <v>17</v>
      </c>
      <c r="B17" s="14"/>
      <c r="C17" s="14"/>
      <c r="D17" s="14">
        <f>D13-D14</f>
        <v>-612</v>
      </c>
      <c r="E17" s="17">
        <f>E15-E16</f>
        <v>-1599.5924999999988</v>
      </c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488B-15C3-477D-8826-F036BA2A5021}">
  <dimension ref="A1:S15"/>
  <sheetViews>
    <sheetView workbookViewId="0">
      <selection activeCell="L10" sqref="L10:N11"/>
    </sheetView>
  </sheetViews>
  <sheetFormatPr defaultRowHeight="15" x14ac:dyDescent="0.25"/>
  <cols>
    <col min="12" max="12" width="12.5703125" customWidth="1"/>
    <col min="13" max="13" width="12.7109375" customWidth="1"/>
    <col min="14" max="14" width="23.5703125" customWidth="1"/>
    <col min="15" max="15" width="17.42578125" bestFit="1" customWidth="1"/>
  </cols>
  <sheetData>
    <row r="1" spans="1:14" ht="18.75" x14ac:dyDescent="0.3">
      <c r="A1" s="3" t="s">
        <v>23</v>
      </c>
    </row>
    <row r="2" spans="1:14" x14ac:dyDescent="0.25">
      <c r="L2" t="s">
        <v>20</v>
      </c>
      <c r="M2" t="s">
        <v>21</v>
      </c>
      <c r="N2" t="s">
        <v>27</v>
      </c>
    </row>
    <row r="3" spans="1:14" x14ac:dyDescent="0.25">
      <c r="K3" s="6">
        <v>45292</v>
      </c>
      <c r="L3" s="7"/>
      <c r="M3" s="7"/>
      <c r="N3" s="18"/>
    </row>
    <row r="4" spans="1:14" x14ac:dyDescent="0.25">
      <c r="K4" s="6">
        <v>45323</v>
      </c>
      <c r="L4" s="7"/>
      <c r="M4" s="7"/>
      <c r="N4" s="18"/>
    </row>
    <row r="5" spans="1:14" x14ac:dyDescent="0.25">
      <c r="K5" s="6">
        <v>45352</v>
      </c>
      <c r="L5" s="7"/>
      <c r="M5" s="7"/>
      <c r="N5" s="18"/>
    </row>
    <row r="6" spans="1:14" x14ac:dyDescent="0.25">
      <c r="K6" s="6">
        <v>45383</v>
      </c>
      <c r="L6" s="7"/>
      <c r="M6" s="7"/>
      <c r="N6" s="18"/>
    </row>
    <row r="7" spans="1:14" x14ac:dyDescent="0.25">
      <c r="K7" s="6">
        <v>45413</v>
      </c>
      <c r="L7" s="7"/>
      <c r="M7" s="7"/>
      <c r="N7" s="18"/>
    </row>
    <row r="8" spans="1:14" x14ac:dyDescent="0.25">
      <c r="K8" s="6">
        <v>45444</v>
      </c>
      <c r="L8" s="7"/>
      <c r="M8" s="7"/>
      <c r="N8" s="18"/>
    </row>
    <row r="9" spans="1:14" x14ac:dyDescent="0.25">
      <c r="K9" s="6">
        <v>45474</v>
      </c>
      <c r="L9" s="7"/>
      <c r="M9" s="7"/>
      <c r="N9" s="18"/>
    </row>
    <row r="10" spans="1:14" x14ac:dyDescent="0.25">
      <c r="K10" s="6">
        <v>45505</v>
      </c>
      <c r="L10" s="7">
        <v>52403.14</v>
      </c>
      <c r="M10" s="7">
        <v>55487.63</v>
      </c>
      <c r="N10" s="18" t="s">
        <v>28</v>
      </c>
    </row>
    <row r="11" spans="1:14" x14ac:dyDescent="0.25">
      <c r="K11" s="6">
        <v>45536</v>
      </c>
      <c r="L11" s="7">
        <v>49118.1</v>
      </c>
      <c r="M11" s="7">
        <v>52829.47</v>
      </c>
      <c r="N11" s="18" t="s">
        <v>28</v>
      </c>
    </row>
    <row r="12" spans="1:14" x14ac:dyDescent="0.25">
      <c r="K12" s="6">
        <v>45566</v>
      </c>
      <c r="L12" s="7"/>
      <c r="M12" s="7"/>
      <c r="N12" s="18"/>
    </row>
    <row r="13" spans="1:14" x14ac:dyDescent="0.25">
      <c r="K13" s="6">
        <v>45597</v>
      </c>
      <c r="L13" s="7"/>
      <c r="M13" s="7"/>
      <c r="N13" s="18"/>
    </row>
    <row r="14" spans="1:14" x14ac:dyDescent="0.25">
      <c r="K14" s="6">
        <v>45627</v>
      </c>
      <c r="L14" s="8"/>
      <c r="M14" s="8"/>
      <c r="N14" s="23"/>
    </row>
    <row r="15" spans="1:14" x14ac:dyDescent="0.25">
      <c r="K15" s="2"/>
      <c r="L15" s="9">
        <f>SUM(L3:L14)</f>
        <v>101521.23999999999</v>
      </c>
      <c r="M15" s="9">
        <f>SUM(M3:M14)</f>
        <v>108317.1</v>
      </c>
      <c r="N15" s="9">
        <f>L15-M15</f>
        <v>-6795.8600000000151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D157-8F76-4444-9B54-5E19040000C4}">
  <dimension ref="A1:Q30"/>
  <sheetViews>
    <sheetView workbookViewId="0">
      <selection activeCell="L26" sqref="L26:M27"/>
    </sheetView>
  </sheetViews>
  <sheetFormatPr defaultRowHeight="15" x14ac:dyDescent="0.25"/>
  <cols>
    <col min="14" max="14" width="22" bestFit="1" customWidth="1"/>
  </cols>
  <sheetData>
    <row r="1" spans="1:14" ht="18.75" x14ac:dyDescent="0.3">
      <c r="A1" s="3" t="s">
        <v>0</v>
      </c>
    </row>
    <row r="3" spans="1:14" x14ac:dyDescent="0.25">
      <c r="L3" s="5" t="s">
        <v>20</v>
      </c>
      <c r="M3" s="5" t="s">
        <v>21</v>
      </c>
      <c r="N3" s="5"/>
    </row>
    <row r="4" spans="1:14" x14ac:dyDescent="0.25">
      <c r="K4" s="6">
        <v>45292</v>
      </c>
    </row>
    <row r="5" spans="1:14" x14ac:dyDescent="0.25">
      <c r="K5" s="6">
        <v>45323</v>
      </c>
    </row>
    <row r="6" spans="1:14" x14ac:dyDescent="0.25">
      <c r="K6" s="6">
        <v>45352</v>
      </c>
      <c r="L6" s="10"/>
      <c r="M6" s="10"/>
    </row>
    <row r="7" spans="1:14" x14ac:dyDescent="0.25">
      <c r="K7" s="6">
        <v>45383</v>
      </c>
      <c r="L7" s="13"/>
      <c r="M7" s="13"/>
    </row>
    <row r="8" spans="1:14" x14ac:dyDescent="0.25">
      <c r="K8" s="6">
        <v>45413</v>
      </c>
      <c r="L8" s="13"/>
      <c r="M8" s="13"/>
    </row>
    <row r="9" spans="1:14" x14ac:dyDescent="0.25">
      <c r="K9" s="6">
        <v>45444</v>
      </c>
      <c r="L9" s="10"/>
      <c r="M9" s="10"/>
    </row>
    <row r="10" spans="1:14" x14ac:dyDescent="0.25">
      <c r="K10" s="6">
        <v>45474</v>
      </c>
      <c r="L10" s="10"/>
      <c r="M10" s="10"/>
    </row>
    <row r="11" spans="1:14" x14ac:dyDescent="0.25">
      <c r="K11" s="6">
        <v>45505</v>
      </c>
      <c r="L11" s="10">
        <v>20091</v>
      </c>
      <c r="M11" s="10">
        <v>20707</v>
      </c>
    </row>
    <row r="12" spans="1:14" x14ac:dyDescent="0.25">
      <c r="K12" s="6">
        <v>45536</v>
      </c>
      <c r="L12" s="10">
        <v>19078</v>
      </c>
      <c r="M12" s="10">
        <v>19690</v>
      </c>
    </row>
    <row r="13" spans="1:14" x14ac:dyDescent="0.25">
      <c r="K13" s="6">
        <v>45566</v>
      </c>
      <c r="L13" s="20"/>
      <c r="M13" s="10"/>
    </row>
    <row r="14" spans="1:14" x14ac:dyDescent="0.25">
      <c r="K14" s="6">
        <v>45597</v>
      </c>
      <c r="L14" s="10"/>
      <c r="M14" s="10"/>
    </row>
    <row r="15" spans="1:14" x14ac:dyDescent="0.25">
      <c r="K15" s="6">
        <v>45627</v>
      </c>
      <c r="L15" s="10"/>
      <c r="M15" s="10"/>
    </row>
    <row r="16" spans="1:14" x14ac:dyDescent="0.25">
      <c r="K16" s="1"/>
      <c r="L16" s="1"/>
      <c r="M16" s="1"/>
    </row>
    <row r="17" spans="11:14" x14ac:dyDescent="0.25">
      <c r="K17" s="1"/>
      <c r="L17" s="1"/>
      <c r="M17" s="1"/>
    </row>
    <row r="18" spans="11:14" x14ac:dyDescent="0.25">
      <c r="L18" s="5" t="s">
        <v>20</v>
      </c>
      <c r="M18" s="5" t="s">
        <v>21</v>
      </c>
      <c r="N18" s="5"/>
    </row>
    <row r="19" spans="11:14" x14ac:dyDescent="0.25">
      <c r="K19" s="6">
        <v>45292</v>
      </c>
    </row>
    <row r="20" spans="11:14" x14ac:dyDescent="0.25">
      <c r="K20" s="6">
        <v>45323</v>
      </c>
    </row>
    <row r="21" spans="11:14" x14ac:dyDescent="0.25">
      <c r="K21" s="6">
        <v>45352</v>
      </c>
      <c r="L21" s="10"/>
      <c r="M21" s="10"/>
    </row>
    <row r="22" spans="11:14" x14ac:dyDescent="0.25">
      <c r="K22" s="6">
        <v>45383</v>
      </c>
      <c r="L22" s="10"/>
      <c r="M22" s="10"/>
    </row>
    <row r="23" spans="11:14" x14ac:dyDescent="0.25">
      <c r="K23" s="6">
        <v>45413</v>
      </c>
      <c r="L23" s="10"/>
      <c r="M23" s="10"/>
    </row>
    <row r="24" spans="11:14" x14ac:dyDescent="0.25">
      <c r="K24" s="6">
        <v>45444</v>
      </c>
      <c r="L24" s="10"/>
      <c r="M24" s="10"/>
    </row>
    <row r="25" spans="11:14" x14ac:dyDescent="0.25">
      <c r="K25" s="6">
        <v>45474</v>
      </c>
      <c r="L25" s="10"/>
      <c r="M25" s="10"/>
    </row>
    <row r="26" spans="11:14" x14ac:dyDescent="0.25">
      <c r="K26" s="6">
        <v>45505</v>
      </c>
      <c r="L26" s="10">
        <v>669.7</v>
      </c>
      <c r="M26" s="10">
        <v>667.9677419354839</v>
      </c>
    </row>
    <row r="27" spans="11:14" x14ac:dyDescent="0.25">
      <c r="K27" s="6">
        <v>45536</v>
      </c>
      <c r="L27" s="10">
        <v>615.41935483870964</v>
      </c>
      <c r="M27" s="10">
        <v>656.33333333333337</v>
      </c>
    </row>
    <row r="28" spans="11:14" x14ac:dyDescent="0.25">
      <c r="K28" s="6">
        <v>45566</v>
      </c>
      <c r="L28" s="10"/>
      <c r="M28" s="10"/>
    </row>
    <row r="29" spans="11:14" x14ac:dyDescent="0.25">
      <c r="K29" s="6">
        <v>45597</v>
      </c>
      <c r="L29" s="10"/>
      <c r="M29" s="10"/>
    </row>
    <row r="30" spans="11:14" x14ac:dyDescent="0.25">
      <c r="K30" s="6">
        <v>45627</v>
      </c>
      <c r="L30" s="10"/>
      <c r="M30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C900-45F5-4AD0-AD59-5AFB6B9B773F}">
  <dimension ref="A1:P15"/>
  <sheetViews>
    <sheetView tabSelected="1" workbookViewId="0">
      <selection activeCell="L11" sqref="L11"/>
    </sheetView>
  </sheetViews>
  <sheetFormatPr defaultColWidth="9.140625" defaultRowHeight="15" x14ac:dyDescent="0.25"/>
  <sheetData>
    <row r="1" spans="1:12" ht="18.75" x14ac:dyDescent="0.3">
      <c r="A1" s="3" t="s">
        <v>0</v>
      </c>
    </row>
    <row r="3" spans="1:12" x14ac:dyDescent="0.25">
      <c r="I3" s="1"/>
      <c r="J3" s="1" t="s">
        <v>20</v>
      </c>
      <c r="K3" s="1" t="s">
        <v>21</v>
      </c>
      <c r="L3" s="1"/>
    </row>
    <row r="4" spans="1:12" x14ac:dyDescent="0.25">
      <c r="I4" s="6">
        <v>45292</v>
      </c>
      <c r="L4" s="11"/>
    </row>
    <row r="5" spans="1:12" x14ac:dyDescent="0.25">
      <c r="I5" s="6">
        <v>45323</v>
      </c>
      <c r="L5" s="1"/>
    </row>
    <row r="6" spans="1:12" x14ac:dyDescent="0.25">
      <c r="I6" s="6">
        <v>45352</v>
      </c>
      <c r="J6" s="12"/>
      <c r="K6" s="12"/>
      <c r="L6" s="1"/>
    </row>
    <row r="7" spans="1:12" x14ac:dyDescent="0.25">
      <c r="I7" s="6">
        <v>45383</v>
      </c>
      <c r="J7" s="12"/>
      <c r="K7" s="12"/>
      <c r="L7" s="1"/>
    </row>
    <row r="8" spans="1:12" x14ac:dyDescent="0.25">
      <c r="I8" s="6">
        <v>45413</v>
      </c>
      <c r="J8" s="12"/>
      <c r="K8" s="12"/>
      <c r="L8" s="1"/>
    </row>
    <row r="9" spans="1:12" x14ac:dyDescent="0.25">
      <c r="I9" s="6">
        <v>45444</v>
      </c>
      <c r="J9" s="12"/>
      <c r="K9" s="12"/>
      <c r="L9" s="1"/>
    </row>
    <row r="10" spans="1:12" x14ac:dyDescent="0.25">
      <c r="I10" s="6">
        <v>45474</v>
      </c>
      <c r="J10" s="7"/>
      <c r="K10" s="12"/>
      <c r="L10" s="1"/>
    </row>
    <row r="11" spans="1:12" x14ac:dyDescent="0.25">
      <c r="I11" s="6">
        <v>45505</v>
      </c>
      <c r="J11" s="12">
        <v>2.6137197252501112</v>
      </c>
      <c r="K11" s="12">
        <v>2.6137197252501112</v>
      </c>
      <c r="L11" s="1"/>
    </row>
    <row r="12" spans="1:12" x14ac:dyDescent="0.25">
      <c r="I12" s="6">
        <v>45536</v>
      </c>
      <c r="J12" s="12">
        <v>2.6137200222147099</v>
      </c>
      <c r="K12" s="12">
        <v>2.6137200222147099</v>
      </c>
      <c r="L12" s="1"/>
    </row>
    <row r="13" spans="1:12" x14ac:dyDescent="0.25">
      <c r="I13" s="6">
        <v>45566</v>
      </c>
      <c r="J13" s="12"/>
      <c r="K13" s="12"/>
      <c r="L13" s="1"/>
    </row>
    <row r="14" spans="1:12" x14ac:dyDescent="0.25">
      <c r="I14" s="6">
        <v>45597</v>
      </c>
      <c r="J14" s="12"/>
      <c r="K14" s="12"/>
      <c r="L14" s="1"/>
    </row>
    <row r="15" spans="1:12" x14ac:dyDescent="0.25">
      <c r="I15" s="6">
        <v>45627</v>
      </c>
      <c r="J15" s="12"/>
      <c r="K15" s="12"/>
      <c r="L15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A85B-B9B1-4F7A-9DF9-6FB8ACF00B10}">
  <dimension ref="K3:N16"/>
  <sheetViews>
    <sheetView workbookViewId="0">
      <selection activeCell="M10" sqref="M10"/>
    </sheetView>
  </sheetViews>
  <sheetFormatPr defaultRowHeight="15" x14ac:dyDescent="0.25"/>
  <cols>
    <col min="10" max="10" width="8" customWidth="1"/>
    <col min="12" max="13" width="13.28515625" bestFit="1" customWidth="1"/>
    <col min="14" max="14" width="23.7109375" bestFit="1" customWidth="1"/>
  </cols>
  <sheetData>
    <row r="3" spans="11:14" x14ac:dyDescent="0.25">
      <c r="L3" t="s">
        <v>20</v>
      </c>
      <c r="M3" t="s">
        <v>21</v>
      </c>
      <c r="N3" t="s">
        <v>22</v>
      </c>
    </row>
    <row r="4" spans="11:14" x14ac:dyDescent="0.25">
      <c r="K4" s="6">
        <v>45292</v>
      </c>
      <c r="L4" s="7"/>
      <c r="M4" s="7"/>
      <c r="N4" s="7"/>
    </row>
    <row r="5" spans="11:14" x14ac:dyDescent="0.25">
      <c r="K5" s="6">
        <v>45323</v>
      </c>
      <c r="L5" s="7"/>
      <c r="M5" s="7"/>
      <c r="N5" s="7"/>
    </row>
    <row r="6" spans="11:14" x14ac:dyDescent="0.25">
      <c r="K6" s="6">
        <v>45352</v>
      </c>
      <c r="L6" s="7"/>
      <c r="M6" s="7"/>
      <c r="N6" s="7"/>
    </row>
    <row r="7" spans="11:14" x14ac:dyDescent="0.25">
      <c r="K7" s="6">
        <v>45383</v>
      </c>
      <c r="L7" s="7"/>
      <c r="M7" s="7"/>
      <c r="N7" s="7"/>
    </row>
    <row r="8" spans="11:14" x14ac:dyDescent="0.25">
      <c r="K8" s="6">
        <v>45413</v>
      </c>
      <c r="L8" s="7"/>
      <c r="M8" s="7"/>
      <c r="N8" s="7"/>
    </row>
    <row r="9" spans="11:14" x14ac:dyDescent="0.25">
      <c r="K9" s="6">
        <v>45444</v>
      </c>
      <c r="L9" s="7"/>
      <c r="M9" s="7"/>
      <c r="N9" s="7"/>
    </row>
    <row r="10" spans="11:14" x14ac:dyDescent="0.25">
      <c r="K10" s="6">
        <v>45474</v>
      </c>
      <c r="L10" s="7"/>
      <c r="M10" s="7"/>
      <c r="N10" s="7"/>
    </row>
    <row r="11" spans="11:14" x14ac:dyDescent="0.25">
      <c r="K11" s="6">
        <v>45505</v>
      </c>
      <c r="L11" s="7"/>
      <c r="M11" s="7"/>
      <c r="N11" s="7"/>
    </row>
    <row r="12" spans="11:14" x14ac:dyDescent="0.25">
      <c r="K12" s="6">
        <v>45536</v>
      </c>
      <c r="L12" s="7"/>
      <c r="M12" s="7"/>
      <c r="N12" s="7"/>
    </row>
    <row r="13" spans="11:14" x14ac:dyDescent="0.25">
      <c r="K13" s="6">
        <v>45566</v>
      </c>
      <c r="L13" s="7">
        <v>52403.14</v>
      </c>
      <c r="M13" s="7">
        <v>55487.63</v>
      </c>
      <c r="N13" s="18" t="s">
        <v>28</v>
      </c>
    </row>
    <row r="14" spans="11:14" x14ac:dyDescent="0.25">
      <c r="K14" s="6">
        <v>45597</v>
      </c>
      <c r="L14" s="7">
        <v>49118.1</v>
      </c>
      <c r="M14" s="7">
        <v>52829.47</v>
      </c>
      <c r="N14" s="18" t="s">
        <v>28</v>
      </c>
    </row>
    <row r="15" spans="11:14" x14ac:dyDescent="0.25">
      <c r="K15" s="6">
        <v>45627</v>
      </c>
      <c r="L15" s="8"/>
      <c r="M15" s="8"/>
      <c r="N15" s="7"/>
    </row>
    <row r="16" spans="11:14" x14ac:dyDescent="0.25">
      <c r="K16" s="2"/>
      <c r="L16" s="9">
        <f>SUM(L4:L15)</f>
        <v>101521.23999999999</v>
      </c>
      <c r="M16" s="9">
        <f>SUM(M4:M15)</f>
        <v>108317.1</v>
      </c>
      <c r="N16" s="9">
        <f>L16-M16</f>
        <v>-6795.8600000000151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7" ma:contentTypeDescription="Create a new document." ma:contentTypeScope="" ma:versionID="295cc371d64fe7a09f66e12b7a044a9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44237ddf2954c1c60c1f83c4e8162a02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968390-4334-4F46-AFE3-49FEA9684F86}">
  <ds:schemaRefs>
    <ds:schemaRef ds:uri="http://schemas.microsoft.com/office/2006/metadata/properties"/>
    <ds:schemaRef ds:uri="http://schemas.microsoft.com/office/infopath/2007/PartnerControls"/>
    <ds:schemaRef ds:uri="4d81cd01-18d3-4d99-9da7-104aa7df8d71"/>
    <ds:schemaRef ds:uri="22a0b230-faea-41c6-942e-118daf6c53c7"/>
  </ds:schemaRefs>
</ds:datastoreItem>
</file>

<file path=customXml/itemProps2.xml><?xml version="1.0" encoding="utf-8"?>
<ds:datastoreItem xmlns:ds="http://schemas.openxmlformats.org/officeDocument/2006/customXml" ds:itemID="{09EC73AB-1B98-4A8A-BE01-167102DBE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1875CF-1536-4673-BA20-FB57F7F50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1cd01-18d3-4d99-9da7-104aa7df8d71"/>
    <ds:schemaRef ds:uri="22a0b230-faea-41c6-942e-118daf6c5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</vt:lpstr>
      <vt:lpstr>Reading Month Graph</vt:lpstr>
      <vt:lpstr>Cons Graph</vt:lpstr>
      <vt:lpstr>Rates</vt:lpstr>
      <vt:lpstr>WCU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</dc:creator>
  <cp:keywords/>
  <dc:description/>
  <cp:lastModifiedBy>Zerilda</cp:lastModifiedBy>
  <cp:revision/>
  <dcterms:created xsi:type="dcterms:W3CDTF">2023-11-10T13:09:43Z</dcterms:created>
  <dcterms:modified xsi:type="dcterms:W3CDTF">2024-10-14T13:29:29Z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