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AK - Akasia/Council/"/>
    </mc:Choice>
  </mc:AlternateContent>
  <xr:revisionPtr revIDLastSave="532" documentId="8_{73334F6E-661E-432E-A63A-19866B374206}" xr6:coauthVersionLast="47" xr6:coauthVersionMax="47" xr10:uidLastSave="{7E11B4DC-2CD1-4359-88C1-E0463F25ECE1}"/>
  <bookViews>
    <workbookView xWindow="-120" yWindow="-120" windowWidth="20730" windowHeight="11160" firstSheet="2" activeTab="1" xr2:uid="{F5ADB581-C2DF-4ACA-B6F0-196AC0CBC941}"/>
  </bookViews>
  <sheets>
    <sheet name="Detailed" sheetId="1" r:id="rId1"/>
    <sheet name="Graph" sheetId="2" r:id="rId2"/>
    <sheet name="Cons Graph" sheetId="3" r:id="rId3"/>
    <sheet name="Rates" sheetId="4" r:id="rId4"/>
    <sheet name="WCU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D151" i="1"/>
  <c r="M151" i="1" s="1"/>
  <c r="E150" i="1"/>
  <c r="B150" i="1"/>
  <c r="D150" i="1" s="1"/>
  <c r="E143" i="1"/>
  <c r="D143" i="1"/>
  <c r="M143" i="1" s="1"/>
  <c r="E142" i="1"/>
  <c r="B142" i="1"/>
  <c r="D142" i="1" s="1"/>
  <c r="D134" i="1"/>
  <c r="K135" i="1"/>
  <c r="E135" i="1"/>
  <c r="E134" i="1"/>
  <c r="B110" i="1"/>
  <c r="D102" i="1"/>
  <c r="U15" i="2"/>
  <c r="T15" i="2"/>
  <c r="V15" i="2" s="1"/>
  <c r="B134" i="1"/>
  <c r="E137" i="1"/>
  <c r="E136" i="1"/>
  <c r="E138" i="1" s="1"/>
  <c r="D135" i="1"/>
  <c r="R15" i="5"/>
  <c r="Q15" i="5"/>
  <c r="S15" i="5"/>
  <c r="D126" i="1"/>
  <c r="E129" i="1"/>
  <c r="E128" i="1"/>
  <c r="E130" i="1" s="1"/>
  <c r="B127" i="1"/>
  <c r="M126" i="1"/>
  <c r="K126" i="1"/>
  <c r="E121" i="1"/>
  <c r="E120" i="1"/>
  <c r="E122" i="1" s="1"/>
  <c r="B119" i="1"/>
  <c r="M118" i="1"/>
  <c r="K118" i="1"/>
  <c r="E113" i="1"/>
  <c r="E112" i="1"/>
  <c r="E114" i="1" s="1"/>
  <c r="B111" i="1"/>
  <c r="D111" i="1" s="1"/>
  <c r="M110" i="1"/>
  <c r="K110" i="1"/>
  <c r="N15" i="5"/>
  <c r="M15" i="5"/>
  <c r="O15" i="5" s="1"/>
  <c r="E105" i="1"/>
  <c r="B103" i="1"/>
  <c r="E104" i="1"/>
  <c r="D103" i="1"/>
  <c r="M102" i="1"/>
  <c r="K102" i="1"/>
  <c r="E95" i="1"/>
  <c r="E96" i="1"/>
  <c r="D95" i="1"/>
  <c r="M94" i="1"/>
  <c r="K94" i="1"/>
  <c r="E87" i="1"/>
  <c r="E88" i="1"/>
  <c r="D87" i="1"/>
  <c r="M86" i="1"/>
  <c r="K86" i="1"/>
  <c r="E79" i="1"/>
  <c r="C79" i="1"/>
  <c r="E71" i="1"/>
  <c r="E64" i="1"/>
  <c r="C62" i="1"/>
  <c r="E62" i="1"/>
  <c r="E80" i="1"/>
  <c r="B79" i="1"/>
  <c r="D79" i="1" s="1"/>
  <c r="M78" i="1"/>
  <c r="K78" i="1"/>
  <c r="E72" i="1"/>
  <c r="D71" i="1"/>
  <c r="M70" i="1"/>
  <c r="K70" i="1"/>
  <c r="K5" i="1"/>
  <c r="K6" i="1"/>
  <c r="H54" i="1"/>
  <c r="G54" i="1"/>
  <c r="E54" i="1"/>
  <c r="H46" i="1"/>
  <c r="G46" i="1"/>
  <c r="E46" i="1"/>
  <c r="E48" i="1" s="1"/>
  <c r="H38" i="1"/>
  <c r="G38" i="1"/>
  <c r="E38" i="1"/>
  <c r="H30" i="1"/>
  <c r="G30" i="1"/>
  <c r="E30" i="1"/>
  <c r="H22" i="1"/>
  <c r="G22" i="1"/>
  <c r="E22" i="1"/>
  <c r="E56" i="1"/>
  <c r="E55" i="1"/>
  <c r="E40" i="1"/>
  <c r="E24" i="1"/>
  <c r="E16" i="1"/>
  <c r="E8" i="1"/>
  <c r="H14" i="1"/>
  <c r="G14" i="1"/>
  <c r="E14" i="1"/>
  <c r="H6" i="1"/>
  <c r="G6" i="1"/>
  <c r="E6" i="1"/>
  <c r="E47" i="1"/>
  <c r="E39" i="1"/>
  <c r="E31" i="1"/>
  <c r="Q15" i="2"/>
  <c r="P15" i="2"/>
  <c r="M15" i="2"/>
  <c r="L15" i="2"/>
  <c r="E63" i="1"/>
  <c r="B62" i="1"/>
  <c r="D62" i="1" s="1"/>
  <c r="M62" i="1" s="1"/>
  <c r="B61" i="1"/>
  <c r="D54" i="1"/>
  <c r="M54" i="1" s="1"/>
  <c r="B53" i="1"/>
  <c r="B46" i="1"/>
  <c r="M46" i="1" s="1"/>
  <c r="B45" i="1"/>
  <c r="B38" i="1"/>
  <c r="M38" i="1" s="1"/>
  <c r="B37" i="1"/>
  <c r="B30" i="1"/>
  <c r="M30" i="1" s="1"/>
  <c r="B29" i="1"/>
  <c r="E23" i="1"/>
  <c r="B22" i="1"/>
  <c r="M21" i="1"/>
  <c r="B13" i="1"/>
  <c r="B21" i="1"/>
  <c r="E15" i="1"/>
  <c r="E7" i="1"/>
  <c r="M5" i="1"/>
  <c r="B14" i="1"/>
  <c r="M14" i="1" s="1"/>
  <c r="M6" i="1"/>
  <c r="D5" i="1"/>
  <c r="D154" i="1" l="1"/>
  <c r="M150" i="1"/>
  <c r="E152" i="1"/>
  <c r="K150" i="1"/>
  <c r="E153" i="1"/>
  <c r="K151" i="1"/>
  <c r="D146" i="1"/>
  <c r="M142" i="1"/>
  <c r="E144" i="1"/>
  <c r="K142" i="1"/>
  <c r="E145" i="1"/>
  <c r="K143" i="1"/>
  <c r="D138" i="1"/>
  <c r="M134" i="1"/>
  <c r="K134" i="1"/>
  <c r="M135" i="1"/>
  <c r="D130" i="1"/>
  <c r="M127" i="1"/>
  <c r="K127" i="1"/>
  <c r="D122" i="1"/>
  <c r="M119" i="1"/>
  <c r="K119" i="1"/>
  <c r="D114" i="1"/>
  <c r="M111" i="1"/>
  <c r="K111" i="1"/>
  <c r="D106" i="1"/>
  <c r="M103" i="1"/>
  <c r="K103" i="1"/>
  <c r="E106" i="1"/>
  <c r="D98" i="1"/>
  <c r="M95" i="1"/>
  <c r="E97" i="1"/>
  <c r="K95" i="1"/>
  <c r="E98" i="1"/>
  <c r="D90" i="1"/>
  <c r="M87" i="1"/>
  <c r="E89" i="1"/>
  <c r="K87" i="1"/>
  <c r="E90" i="1"/>
  <c r="D82" i="1"/>
  <c r="M79" i="1"/>
  <c r="E81" i="1"/>
  <c r="K79" i="1"/>
  <c r="E82" i="1"/>
  <c r="D74" i="1"/>
  <c r="M71" i="1"/>
  <c r="E73" i="1"/>
  <c r="K71" i="1"/>
  <c r="E74" i="1"/>
  <c r="R15" i="2"/>
  <c r="N15" i="2"/>
  <c r="E32" i="1"/>
  <c r="D9" i="1"/>
  <c r="D25" i="1"/>
  <c r="M22" i="1"/>
  <c r="K22" i="1"/>
  <c r="E25" i="1"/>
  <c r="K14" i="1"/>
  <c r="E9" i="1"/>
  <c r="E17" i="1"/>
  <c r="K62" i="1"/>
  <c r="M61" i="1"/>
  <c r="D65" i="1"/>
  <c r="K61" i="1"/>
  <c r="E65" i="1"/>
  <c r="K54" i="1"/>
  <c r="K53" i="1"/>
  <c r="D57" i="1"/>
  <c r="M53" i="1"/>
  <c r="E57" i="1"/>
  <c r="K46" i="1"/>
  <c r="D49" i="1"/>
  <c r="M45" i="1"/>
  <c r="K45" i="1"/>
  <c r="E49" i="1"/>
  <c r="K38" i="1"/>
  <c r="M37" i="1"/>
  <c r="D41" i="1"/>
  <c r="K37" i="1"/>
  <c r="E41" i="1"/>
  <c r="K30" i="1"/>
  <c r="D33" i="1"/>
  <c r="M29" i="1"/>
  <c r="K29" i="1"/>
  <c r="E33" i="1"/>
  <c r="K21" i="1"/>
  <c r="M13" i="1"/>
  <c r="D17" i="1"/>
  <c r="K13" i="1"/>
  <c r="E154" i="1" l="1"/>
  <c r="E146" i="1"/>
</calcChain>
</file>

<file path=xl/sharedStrings.xml><?xml version="1.0" encoding="utf-8"?>
<sst xmlns="http://schemas.openxmlformats.org/spreadsheetml/2006/main" count="488" uniqueCount="54">
  <si>
    <t>Akasia Body Corporate - Water BC vs Council Recon</t>
  </si>
  <si>
    <t>Unit No</t>
  </si>
  <si>
    <t>Opening Reading</t>
  </si>
  <si>
    <t>Closing Reading</t>
  </si>
  <si>
    <t>Cons</t>
  </si>
  <si>
    <t>Water Amount</t>
  </si>
  <si>
    <t>ComP</t>
  </si>
  <si>
    <t>Basic Water Fee</t>
  </si>
  <si>
    <t>Water Flats</t>
  </si>
  <si>
    <t>Reading Dates</t>
  </si>
  <si>
    <t>Estimated?</t>
  </si>
  <si>
    <t>Rates</t>
  </si>
  <si>
    <t>Days</t>
  </si>
  <si>
    <t>KL p/day</t>
  </si>
  <si>
    <t>BC Bulk</t>
  </si>
  <si>
    <t>1Mar - 31Mar 2023</t>
  </si>
  <si>
    <t>Budgeted</t>
  </si>
  <si>
    <t>Council Bulk</t>
  </si>
  <si>
    <t>Estimated</t>
  </si>
  <si>
    <t>Total BC</t>
  </si>
  <si>
    <t>Total Council</t>
  </si>
  <si>
    <t>Difference</t>
  </si>
  <si>
    <t>1Apr - 30Apr 2023</t>
  </si>
  <si>
    <t>1May - 31May 2023</t>
  </si>
  <si>
    <t>1Jun - 30Jun 2023</t>
  </si>
  <si>
    <t>1Jul - 31Jul 2023</t>
  </si>
  <si>
    <t>1Aug - 31Aug 2023</t>
  </si>
  <si>
    <t>20Jan 2022 - 18Oct 2023</t>
  </si>
  <si>
    <t>Actual</t>
  </si>
  <si>
    <t>18Oct - 18Nov 2023</t>
  </si>
  <si>
    <t>17Jul - 4Dec 2023</t>
  </si>
  <si>
    <t>4Dec 2023 - 4Jan 2024</t>
  </si>
  <si>
    <t>4Dec 2023 - 5Feb 2024</t>
  </si>
  <si>
    <t>5Feb - 6Mar 2024</t>
  </si>
  <si>
    <t>6Mar - 5Apr 2024</t>
  </si>
  <si>
    <t>5Apr - 5May 2024</t>
  </si>
  <si>
    <t>2May - 4Jun 2024</t>
  </si>
  <si>
    <t>4Jun - 2Jul 2024</t>
  </si>
  <si>
    <t>2Jul - 1Aug 2024</t>
  </si>
  <si>
    <t>5Apr - 1Aug 2024</t>
  </si>
  <si>
    <t>1Aug - 2Sep 2024</t>
  </si>
  <si>
    <t>2Sep - 1Oct 2024</t>
  </si>
  <si>
    <t>BC</t>
  </si>
  <si>
    <t>Council</t>
  </si>
  <si>
    <t>E</t>
  </si>
  <si>
    <t>Council Backdated</t>
  </si>
  <si>
    <t>A</t>
  </si>
  <si>
    <t>Council read high cons.</t>
  </si>
  <si>
    <t>Comments</t>
  </si>
  <si>
    <t>A - Council Backdated</t>
  </si>
  <si>
    <t>Council Read High Cons</t>
  </si>
  <si>
    <t>Council Estimated</t>
  </si>
  <si>
    <t>Take on</t>
  </si>
  <si>
    <t>Council Recalculations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</si>
</sst>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_-[$R-436]* #,##0.00_-;\-[$R-436]* #,##0.00_-;_-[$R-436]* &quot;-&quot;??_-;_-@_-"/>
    <numFmt numFmtId="166" formatCode="_-[$R-430]* #,##0.00_-;\-[$R-430]* #,##0.00_-;_-[$R-430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0" xfId="0" applyNumberFormat="1" applyFont="1"/>
    <xf numFmtId="0" fontId="1" fillId="0" borderId="0" xfId="0" applyFont="1"/>
    <xf numFmtId="0" fontId="4" fillId="0" borderId="0" xfId="0" applyFont="1"/>
    <xf numFmtId="164" fontId="2" fillId="2" borderId="0" xfId="0" applyNumberFormat="1" applyFont="1" applyFill="1"/>
    <xf numFmtId="165" fontId="3" fillId="0" borderId="1" xfId="0" applyNumberFormat="1" applyFont="1" applyBorder="1"/>
    <xf numFmtId="15" fontId="3" fillId="0" borderId="1" xfId="0" applyNumberFormat="1" applyFont="1" applyBorder="1"/>
    <xf numFmtId="0" fontId="2" fillId="0" borderId="0" xfId="0" applyFont="1"/>
    <xf numFmtId="165" fontId="2" fillId="0" borderId="1" xfId="0" applyNumberFormat="1" applyFont="1" applyBorder="1"/>
    <xf numFmtId="17" fontId="1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165" fontId="1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3" fillId="0" borderId="0" xfId="0" applyFont="1" applyAlignment="1">
      <alignment wrapText="1"/>
    </xf>
    <xf numFmtId="165" fontId="3" fillId="0" borderId="0" xfId="0" applyNumberFormat="1" applyFont="1"/>
    <xf numFmtId="0" fontId="1" fillId="0" borderId="3" xfId="0" applyFont="1" applyBorder="1"/>
    <xf numFmtId="0" fontId="0" fillId="0" borderId="3" xfId="0" applyBorder="1"/>
    <xf numFmtId="166" fontId="0" fillId="0" borderId="3" xfId="0" applyNumberFormat="1" applyBorder="1"/>
    <xf numFmtId="166" fontId="1" fillId="0" borderId="3" xfId="0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Graph!$T$2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Graph!$S$3:$S$14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Graph!$T$3:$T$14</c:f>
              <c:numCache>
                <c:formatCode>_-[$R-436]* #,##0.00_-;\-[$R-436]* #,##0.00_-;_-[$R-436]* "-"??_-;_-@_-</c:formatCode>
                <c:ptCount val="12"/>
                <c:pt idx="0">
                  <c:v>51153.828499999989</c:v>
                </c:pt>
                <c:pt idx="1">
                  <c:v>51153.828499999989</c:v>
                </c:pt>
                <c:pt idx="2">
                  <c:v>51153.828499999989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2-4967-887F-24DE8531384C}"/>
            </c:ext>
          </c:extLst>
        </c:ser>
        <c:ser>
          <c:idx val="1"/>
          <c:order val="1"/>
          <c:tx>
            <c:strRef>
              <c:f>Graph!$U$2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Graph!$S$3:$S$14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Graph!$U$3:$U$14</c:f>
              <c:numCache>
                <c:formatCode>_-[$R-436]* #,##0.00_-;\-[$R-436]* #,##0.00_-;_-[$R-436]* "-"??_-;_-@_-</c:formatCode>
                <c:ptCount val="12"/>
                <c:pt idx="0">
                  <c:v>207824.76</c:v>
                </c:pt>
                <c:pt idx="1">
                  <c:v>141804.32999999999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52-4967-887F-24DE85313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736967"/>
        <c:axId val="1917739015"/>
      </c:barChart>
      <c:dateAx>
        <c:axId val="1917736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39015"/>
        <c:crosses val="autoZero"/>
        <c:auto val="1"/>
        <c:lblOffset val="100"/>
        <c:baseTimeUnit val="months"/>
      </c:dateAx>
      <c:valAx>
        <c:axId val="191773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3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AKA - Water Cons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Graph'!$S$3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Graph'!$R$4:$R$15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'Cons Graph'!$S$4:$S$15</c:f>
              <c:numCache>
                <c:formatCode>0</c:formatCode>
                <c:ptCount val="12"/>
                <c:pt idx="0">
                  <c:v>1674</c:v>
                </c:pt>
                <c:pt idx="1">
                  <c:v>3113</c:v>
                </c:pt>
                <c:pt idx="2">
                  <c:v>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C-4F40-8D57-972EED5BDD10}"/>
            </c:ext>
          </c:extLst>
        </c:ser>
        <c:ser>
          <c:idx val="1"/>
          <c:order val="1"/>
          <c:tx>
            <c:strRef>
              <c:f>'Cons Graph'!$T$3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Graph'!$R$4:$R$15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'Cons Graph'!$T$4:$T$15</c:f>
              <c:numCache>
                <c:formatCode>0</c:formatCode>
                <c:ptCount val="12"/>
                <c:pt idx="0">
                  <c:v>5079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3C-4F40-8D57-972EED5BD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00775"/>
        <c:axId val="508006919"/>
      </c:barChart>
      <c:dateAx>
        <c:axId val="5080007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6919"/>
        <c:crosses val="autoZero"/>
        <c:auto val="1"/>
        <c:lblOffset val="100"/>
        <c:baseTimeUnit val="months"/>
      </c:dateAx>
      <c:valAx>
        <c:axId val="50800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AKA - KL p/day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Graph'!$S$23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Graph'!$R$24:$R$35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'Cons Graph'!$S$24:$S$35</c:f>
              <c:numCache>
                <c:formatCode>0</c:formatCode>
                <c:ptCount val="12"/>
                <c:pt idx="0">
                  <c:v>56</c:v>
                </c:pt>
                <c:pt idx="1">
                  <c:v>3113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6-4D5B-916E-4498892B8B5F}"/>
            </c:ext>
          </c:extLst>
        </c:ser>
        <c:ser>
          <c:idx val="1"/>
          <c:order val="1"/>
          <c:tx>
            <c:strRef>
              <c:f>'Cons Graph'!$T$23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Graph'!$R$24:$R$35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'Cons Graph'!$T$24:$T$35</c:f>
              <c:numCache>
                <c:formatCode>0</c:formatCode>
                <c:ptCount val="12"/>
                <c:pt idx="0">
                  <c:v>43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6-4D5B-916E-4498892B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39335"/>
        <c:axId val="407141383"/>
      </c:barChart>
      <c:dateAx>
        <c:axId val="4071393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41383"/>
        <c:crosses val="autoZero"/>
        <c:auto val="1"/>
        <c:lblOffset val="100"/>
        <c:baseTimeUnit val="months"/>
      </c:dateAx>
      <c:valAx>
        <c:axId val="40714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3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AKA - Water Rates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Rates!$R$3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Rates!$Q$4:$Q$15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Rates!$R$4:$R$15</c:f>
              <c:numCache>
                <c:formatCode>_-[$R-436]* #,##0.00_-;\-[$R-436]* #,##0.00_-;_-[$R-436]* "-"??_-;_-@_-</c:formatCode>
                <c:ptCount val="12"/>
                <c:pt idx="0">
                  <c:v>30.557842592592586</c:v>
                </c:pt>
                <c:pt idx="1">
                  <c:v>16.432325248955987</c:v>
                </c:pt>
                <c:pt idx="2">
                  <c:v>19.850146876212644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E-44BD-BB43-5E0CCD8607F8}"/>
            </c:ext>
          </c:extLst>
        </c:ser>
        <c:ser>
          <c:idx val="1"/>
          <c:order val="1"/>
          <c:tx>
            <c:strRef>
              <c:f>Rates!$S$3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Rates!$Q$4:$Q$15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Rates!$S$4:$S$15</c:f>
              <c:numCache>
                <c:formatCode>_-[$R-436]* #,##0.00_-;\-[$R-436]* #,##0.00_-;_-[$R-436]* "-"??_-;_-@_-</c:formatCode>
                <c:ptCount val="12"/>
                <c:pt idx="0">
                  <c:v>39.585772789919275</c:v>
                </c:pt>
                <c:pt idx="1">
                  <c:v>43.37799871506585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5E-44BD-BB43-5E0CCD86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10023"/>
        <c:axId val="2144536584"/>
      </c:barChart>
      <c:dateAx>
        <c:axId val="517910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536584"/>
        <c:crosses val="autoZero"/>
        <c:auto val="1"/>
        <c:lblOffset val="100"/>
        <c:baseTimeUnit val="months"/>
      </c:dateAx>
      <c:valAx>
        <c:axId val="214453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WCU!$Q$2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WCU!$P$3:$P$14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WCU!$Q$3:$Q$14</c:f>
              <c:numCache>
                <c:formatCode>_-[$R-436]* #,##0.00_-;\-[$R-436]* #,##0.00_-;_-[$R-436]* "-"??_-;_-@_-</c:formatCode>
                <c:ptCount val="12"/>
                <c:pt idx="0">
                  <c:v>48303.9</c:v>
                </c:pt>
                <c:pt idx="1">
                  <c:v>48303.9</c:v>
                </c:pt>
                <c:pt idx="2">
                  <c:v>52859.34</c:v>
                </c:pt>
                <c:pt idx="3">
                  <c:v>52905.24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A-4229-95C6-4B32883247A2}"/>
            </c:ext>
          </c:extLst>
        </c:ser>
        <c:ser>
          <c:idx val="1"/>
          <c:order val="1"/>
          <c:tx>
            <c:strRef>
              <c:f>WCU!$R$2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WCU!$P$3:$P$14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WCU!$R$3:$R$14</c:f>
              <c:numCache>
                <c:formatCode>_-[$R-436]* #,##0.00_-;\-[$R-436]* #,##0.00_-;_-[$R-436]* "-"??_-;_-@_-</c:formatCode>
                <c:ptCount val="12"/>
                <c:pt idx="0">
                  <c:v>15041.72</c:v>
                </c:pt>
                <c:pt idx="1">
                  <c:v>207824.76</c:v>
                </c:pt>
                <c:pt idx="2">
                  <c:v>141804.32999999999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A-4229-95C6-4B3288324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580231"/>
        <c:axId val="851623944"/>
      </c:barChart>
      <c:dateAx>
        <c:axId val="5185802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23944"/>
        <c:crosses val="autoZero"/>
        <c:auto val="1"/>
        <c:lblOffset val="100"/>
        <c:baseTimeUnit val="months"/>
      </c:dateAx>
      <c:valAx>
        <c:axId val="8516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8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9</xdr:col>
      <xdr:colOff>152400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DC9ACF-1274-E0D6-098D-BE5E234E9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114300</xdr:rowOff>
    </xdr:from>
    <xdr:to>
      <xdr:col>9</xdr:col>
      <xdr:colOff>180975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0CBA0-EDF6-D9E5-451E-F77852A59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20</xdr:row>
      <xdr:rowOff>114300</xdr:rowOff>
    </xdr:from>
    <xdr:to>
      <xdr:col>9</xdr:col>
      <xdr:colOff>285750</xdr:colOff>
      <xdr:row>36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836F2B-D798-05C9-7615-4C5D42CDEF56}"/>
            </a:ext>
            <a:ext uri="{147F2762-F138-4A5C-976F-8EAC2B608ADB}">
              <a16:predDERef xmlns:a16="http://schemas.microsoft.com/office/drawing/2014/main" pred="{2CF0CBA0-EDF6-D9E5-451E-F77852A59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114300</xdr:rowOff>
    </xdr:from>
    <xdr:to>
      <xdr:col>7</xdr:col>
      <xdr:colOff>419100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B263D-9605-BC22-CA39-6CD54EEC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57150</xdr:rowOff>
    </xdr:from>
    <xdr:to>
      <xdr:col>9</xdr:col>
      <xdr:colOff>342900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ACE34-1D99-80BC-E3EE-C6FE49DEB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E989-4E75-4148-B921-FE34651CF465}">
  <dimension ref="A1:M154"/>
  <sheetViews>
    <sheetView topLeftCell="A147" workbookViewId="0">
      <selection activeCell="K150" sqref="K150"/>
    </sheetView>
  </sheetViews>
  <sheetFormatPr defaultRowHeight="15"/>
  <cols>
    <col min="1" max="1" width="12.42578125" bestFit="1" customWidth="1"/>
    <col min="2" max="2" width="16.28515625" bestFit="1" customWidth="1"/>
    <col min="3" max="3" width="15.140625" bestFit="1" customWidth="1"/>
    <col min="5" max="5" width="14.5703125" bestFit="1" customWidth="1"/>
    <col min="6" max="6" width="12.140625" customWidth="1"/>
    <col min="7" max="7" width="15.140625" bestFit="1" customWidth="1"/>
    <col min="8" max="8" width="15.140625" customWidth="1"/>
    <col min="9" max="9" width="21" customWidth="1"/>
    <col min="10" max="10" width="10.85546875" bestFit="1" customWidth="1"/>
    <col min="13" max="13" width="12" bestFit="1" customWidth="1"/>
  </cols>
  <sheetData>
    <row r="1" spans="1:13" ht="18.75">
      <c r="A1" s="6" t="s">
        <v>0</v>
      </c>
    </row>
    <row r="2" spans="1:13" ht="18.75">
      <c r="A2" s="6"/>
    </row>
    <row r="3" spans="1:13">
      <c r="A3" s="7">
        <v>44986</v>
      </c>
    </row>
    <row r="4" spans="1:1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>
      <c r="A5" s="3" t="s">
        <v>14</v>
      </c>
      <c r="B5" s="3"/>
      <c r="C5" s="3"/>
      <c r="D5" s="3">
        <f>C5-B5</f>
        <v>0</v>
      </c>
      <c r="E5" s="8">
        <v>47767.19</v>
      </c>
      <c r="F5" s="8"/>
      <c r="G5" s="8"/>
      <c r="H5" s="8"/>
      <c r="I5" s="3" t="s">
        <v>15</v>
      </c>
      <c r="J5" s="3" t="s">
        <v>16</v>
      </c>
      <c r="K5" s="3" t="e">
        <f>(E5+F5)/D5</f>
        <v>#DIV/0!</v>
      </c>
      <c r="L5" s="3">
        <v>31</v>
      </c>
      <c r="M5" s="3">
        <f>D5/L5</f>
        <v>0</v>
      </c>
    </row>
    <row r="6" spans="1:13">
      <c r="A6" s="3" t="s">
        <v>17</v>
      </c>
      <c r="B6" s="3"/>
      <c r="C6" s="3"/>
      <c r="D6" s="3">
        <v>30</v>
      </c>
      <c r="E6" s="8">
        <f>978.6*1.15</f>
        <v>1125.3899999999999</v>
      </c>
      <c r="F6" s="8"/>
      <c r="G6" s="8">
        <f>4838.93*1.15</f>
        <v>5564.7695000000003</v>
      </c>
      <c r="H6" s="8">
        <f>251.06*1.15</f>
        <v>288.71899999999999</v>
      </c>
      <c r="I6" s="9" t="s">
        <v>15</v>
      </c>
      <c r="J6" s="3" t="s">
        <v>18</v>
      </c>
      <c r="K6" s="8">
        <f>E6/D6</f>
        <v>37.512999999999998</v>
      </c>
      <c r="L6" s="3">
        <v>31</v>
      </c>
      <c r="M6" s="3">
        <f>D6/L6</f>
        <v>0.967741935483871</v>
      </c>
    </row>
    <row r="7" spans="1:13">
      <c r="A7" s="2" t="s">
        <v>19</v>
      </c>
      <c r="B7" s="2"/>
      <c r="C7" s="2"/>
      <c r="D7" s="2"/>
      <c r="E7" s="11">
        <f>E5+F5+G5</f>
        <v>47767.19</v>
      </c>
      <c r="F7" s="2"/>
      <c r="G7" s="2"/>
      <c r="H7" s="2"/>
      <c r="I7" s="3"/>
      <c r="J7" s="3"/>
      <c r="K7" s="3"/>
      <c r="L7" s="3"/>
      <c r="M7" s="3"/>
    </row>
    <row r="8" spans="1:13">
      <c r="A8" s="2" t="s">
        <v>20</v>
      </c>
      <c r="B8" s="2"/>
      <c r="C8" s="2"/>
      <c r="D8" s="2"/>
      <c r="E8" s="11">
        <f>E6+F6+G6+H6</f>
        <v>6978.8784999999998</v>
      </c>
      <c r="F8" s="2"/>
      <c r="G8" s="2"/>
      <c r="H8" s="2"/>
      <c r="I8" s="3"/>
      <c r="J8" s="3"/>
      <c r="K8" s="3"/>
      <c r="L8" s="3"/>
      <c r="M8" s="3"/>
    </row>
    <row r="9" spans="1:13">
      <c r="A9" s="2" t="s">
        <v>21</v>
      </c>
      <c r="B9" s="2"/>
      <c r="C9" s="2"/>
      <c r="D9" s="2">
        <f>D5-D6</f>
        <v>-30</v>
      </c>
      <c r="E9" s="11">
        <f>E7-E8</f>
        <v>40788.311500000003</v>
      </c>
      <c r="F9" s="2"/>
      <c r="G9" s="2"/>
      <c r="H9" s="2"/>
      <c r="I9" s="3"/>
      <c r="J9" s="3"/>
      <c r="K9" s="3"/>
      <c r="L9" s="3"/>
      <c r="M9" s="3"/>
    </row>
    <row r="10" spans="1:13">
      <c r="A10" s="10"/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</row>
    <row r="11" spans="1:13">
      <c r="A11" s="4">
        <v>45017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</row>
    <row r="13" spans="1:13">
      <c r="A13" s="3" t="s">
        <v>14</v>
      </c>
      <c r="B13" s="3">
        <f>C5</f>
        <v>0</v>
      </c>
      <c r="C13" s="3"/>
      <c r="D13" s="3">
        <v>0</v>
      </c>
      <c r="E13" s="8">
        <v>47767.19</v>
      </c>
      <c r="F13" s="8"/>
      <c r="G13" s="8"/>
      <c r="H13" s="8"/>
      <c r="I13" s="3"/>
      <c r="J13" s="3" t="s">
        <v>16</v>
      </c>
      <c r="K13" s="3" t="e">
        <f>(E13+F13)/D13</f>
        <v>#DIV/0!</v>
      </c>
      <c r="L13" s="3">
        <v>30</v>
      </c>
      <c r="M13" s="3">
        <f>D13/L13</f>
        <v>0</v>
      </c>
    </row>
    <row r="14" spans="1:13">
      <c r="A14" s="3" t="s">
        <v>17</v>
      </c>
      <c r="B14" s="3">
        <f>C6</f>
        <v>0</v>
      </c>
      <c r="C14" s="3">
        <v>0</v>
      </c>
      <c r="D14" s="3">
        <v>30</v>
      </c>
      <c r="E14" s="8">
        <f>978.6*1.15</f>
        <v>1125.3899999999999</v>
      </c>
      <c r="F14" s="8"/>
      <c r="G14" s="8">
        <f>4838.93*1.15</f>
        <v>5564.7695000000003</v>
      </c>
      <c r="H14" s="8">
        <f>251.06*1.15</f>
        <v>288.71899999999999</v>
      </c>
      <c r="I14" s="9" t="s">
        <v>22</v>
      </c>
      <c r="J14" s="3" t="s">
        <v>18</v>
      </c>
      <c r="K14" s="8">
        <f>E14/D14</f>
        <v>37.512999999999998</v>
      </c>
      <c r="L14" s="3">
        <v>30</v>
      </c>
      <c r="M14" s="3">
        <f>D14/L14</f>
        <v>1</v>
      </c>
    </row>
    <row r="15" spans="1:13">
      <c r="A15" s="2" t="s">
        <v>19</v>
      </c>
      <c r="B15" s="2"/>
      <c r="C15" s="2"/>
      <c r="D15" s="2"/>
      <c r="E15" s="11">
        <f>E13+F13+G13</f>
        <v>47767.19</v>
      </c>
      <c r="F15" s="2"/>
      <c r="G15" s="2"/>
      <c r="H15" s="2"/>
      <c r="I15" s="3"/>
      <c r="J15" s="3"/>
      <c r="K15" s="3"/>
      <c r="L15" s="3"/>
      <c r="M15" s="3"/>
    </row>
    <row r="16" spans="1:13">
      <c r="A16" s="2" t="s">
        <v>20</v>
      </c>
      <c r="B16" s="2"/>
      <c r="C16" s="2"/>
      <c r="D16" s="2"/>
      <c r="E16" s="11">
        <f>E14+F14+G14+H14</f>
        <v>6978.8784999999998</v>
      </c>
      <c r="F16" s="2"/>
      <c r="G16" s="2"/>
      <c r="H16" s="2"/>
      <c r="I16" s="3"/>
      <c r="J16" s="3"/>
      <c r="K16" s="3"/>
      <c r="L16" s="3"/>
      <c r="M16" s="3"/>
    </row>
    <row r="17" spans="1:13">
      <c r="A17" s="2" t="s">
        <v>21</v>
      </c>
      <c r="B17" s="2"/>
      <c r="C17" s="2"/>
      <c r="D17" s="2">
        <f>D13-D14</f>
        <v>-30</v>
      </c>
      <c r="E17" s="11">
        <f>E15-E16</f>
        <v>40788.311500000003</v>
      </c>
      <c r="F17" s="2"/>
      <c r="G17" s="2"/>
      <c r="H17" s="2"/>
      <c r="I17" s="3"/>
      <c r="J17" s="3"/>
      <c r="K17" s="3"/>
      <c r="L17" s="3"/>
      <c r="M17" s="3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4">
        <v>45047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s="3" t="s">
        <v>14</v>
      </c>
      <c r="B21" s="3">
        <f>C13</f>
        <v>0</v>
      </c>
      <c r="C21" s="3"/>
      <c r="D21" s="3">
        <v>0</v>
      </c>
      <c r="E21" s="8">
        <v>47767.19</v>
      </c>
      <c r="F21" s="8"/>
      <c r="G21" s="8"/>
      <c r="H21" s="8"/>
      <c r="I21" s="3"/>
      <c r="J21" s="21" t="s">
        <v>16</v>
      </c>
      <c r="K21" s="3" t="e">
        <f>(E21+F21)/D21</f>
        <v>#DIV/0!</v>
      </c>
      <c r="L21" s="3">
        <v>31</v>
      </c>
      <c r="M21" s="3">
        <f>D21/L21</f>
        <v>0</v>
      </c>
    </row>
    <row r="22" spans="1:13">
      <c r="A22" s="3" t="s">
        <v>17</v>
      </c>
      <c r="B22" s="3">
        <f>C14</f>
        <v>0</v>
      </c>
      <c r="C22" s="3">
        <v>0</v>
      </c>
      <c r="D22" s="3">
        <v>20</v>
      </c>
      <c r="E22" s="8">
        <f>652.4*1.15</f>
        <v>750.25999999999988</v>
      </c>
      <c r="F22" s="8"/>
      <c r="G22" s="8">
        <f>4838.93*1.15</f>
        <v>5564.7695000000003</v>
      </c>
      <c r="H22" s="8">
        <f>251.06*1.15</f>
        <v>288.71899999999999</v>
      </c>
      <c r="I22" s="3" t="s">
        <v>23</v>
      </c>
      <c r="J22" s="3" t="s">
        <v>18</v>
      </c>
      <c r="K22" s="8">
        <f>E22/D22</f>
        <v>37.512999999999991</v>
      </c>
      <c r="L22" s="3">
        <v>31</v>
      </c>
      <c r="M22" s="3">
        <f>D22/L22</f>
        <v>0.64516129032258063</v>
      </c>
    </row>
    <row r="23" spans="1:13">
      <c r="A23" s="2" t="s">
        <v>19</v>
      </c>
      <c r="B23" s="2"/>
      <c r="C23" s="2"/>
      <c r="D23" s="2"/>
      <c r="E23" s="11">
        <f>E21+F21+G21</f>
        <v>47767.19</v>
      </c>
      <c r="F23" s="2"/>
      <c r="G23" s="2"/>
      <c r="H23" s="2"/>
      <c r="I23" s="3"/>
      <c r="J23" s="3"/>
      <c r="K23" s="3"/>
      <c r="L23" s="3"/>
      <c r="M23" s="3"/>
    </row>
    <row r="24" spans="1:13">
      <c r="A24" s="2" t="s">
        <v>20</v>
      </c>
      <c r="B24" s="2"/>
      <c r="C24" s="2"/>
      <c r="D24" s="2"/>
      <c r="E24" s="11">
        <f>E22+F22+G22+H22</f>
        <v>6603.7485000000006</v>
      </c>
      <c r="F24" s="2"/>
      <c r="G24" s="2"/>
      <c r="H24" s="2"/>
      <c r="I24" s="3"/>
      <c r="J24" s="3"/>
      <c r="K24" s="3"/>
      <c r="L24" s="3"/>
      <c r="M24" s="3"/>
    </row>
    <row r="25" spans="1:13">
      <c r="A25" s="2" t="s">
        <v>21</v>
      </c>
      <c r="B25" s="2"/>
      <c r="C25" s="2"/>
      <c r="D25" s="2">
        <f>D21-D22</f>
        <v>-20</v>
      </c>
      <c r="E25" s="11">
        <f>E23-E24</f>
        <v>41163.441500000001</v>
      </c>
      <c r="F25" s="2"/>
      <c r="G25" s="2"/>
      <c r="H25" s="2"/>
      <c r="I25" s="3"/>
      <c r="J25" s="3"/>
      <c r="K25" s="3"/>
      <c r="L25" s="3"/>
      <c r="M25" s="3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4">
        <v>45078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 t="s">
        <v>13</v>
      </c>
    </row>
    <row r="29" spans="1:13">
      <c r="A29" s="3" t="s">
        <v>14</v>
      </c>
      <c r="B29" s="3">
        <f>C21</f>
        <v>0</v>
      </c>
      <c r="C29" s="3"/>
      <c r="D29" s="3">
        <v>0</v>
      </c>
      <c r="E29" s="8">
        <v>47767.19</v>
      </c>
      <c r="F29" s="8"/>
      <c r="G29" s="8"/>
      <c r="H29" s="8"/>
      <c r="I29" s="3"/>
      <c r="J29" s="21" t="s">
        <v>16</v>
      </c>
      <c r="K29" s="3" t="e">
        <f>(E29+F29)/D29</f>
        <v>#DIV/0!</v>
      </c>
      <c r="L29" s="3">
        <v>30</v>
      </c>
      <c r="M29" s="3">
        <f>D29/L29</f>
        <v>0</v>
      </c>
    </row>
    <row r="30" spans="1:13">
      <c r="A30" s="3" t="s">
        <v>17</v>
      </c>
      <c r="B30" s="3">
        <f>C22</f>
        <v>0</v>
      </c>
      <c r="C30" s="3">
        <v>0</v>
      </c>
      <c r="D30" s="3">
        <v>20</v>
      </c>
      <c r="E30" s="8">
        <f>660.4*1.15</f>
        <v>759.45999999999992</v>
      </c>
      <c r="F30" s="8"/>
      <c r="G30" s="8">
        <f>5283.93*1.15</f>
        <v>6076.5194999999994</v>
      </c>
      <c r="H30" s="8">
        <f>274.16*1.15</f>
        <v>315.28399999999999</v>
      </c>
      <c r="I30" s="3" t="s">
        <v>24</v>
      </c>
      <c r="J30" s="3" t="s">
        <v>18</v>
      </c>
      <c r="K30" s="8">
        <f>E30/D30</f>
        <v>37.972999999999999</v>
      </c>
      <c r="L30" s="3">
        <v>30</v>
      </c>
      <c r="M30" s="3">
        <f>D30/L30</f>
        <v>0.66666666666666663</v>
      </c>
    </row>
    <row r="31" spans="1:13">
      <c r="A31" s="2" t="s">
        <v>19</v>
      </c>
      <c r="B31" s="2"/>
      <c r="C31" s="2"/>
      <c r="D31" s="2"/>
      <c r="E31" s="11">
        <f>E29+F29+G29</f>
        <v>47767.19</v>
      </c>
      <c r="F31" s="2"/>
      <c r="G31" s="2"/>
      <c r="H31" s="2"/>
      <c r="I31" s="3"/>
      <c r="J31" s="3"/>
      <c r="K31" s="3"/>
      <c r="L31" s="3"/>
      <c r="M31" s="3"/>
    </row>
    <row r="32" spans="1:13">
      <c r="A32" s="2" t="s">
        <v>20</v>
      </c>
      <c r="B32" s="2"/>
      <c r="C32" s="2"/>
      <c r="D32" s="2"/>
      <c r="E32" s="11">
        <f>E30+F30+G30+H30</f>
        <v>7151.2634999999991</v>
      </c>
      <c r="F32" s="2"/>
      <c r="G32" s="2"/>
      <c r="H32" s="2"/>
      <c r="I32" s="3"/>
      <c r="J32" s="3"/>
      <c r="K32" s="3"/>
      <c r="L32" s="3"/>
      <c r="M32" s="3"/>
    </row>
    <row r="33" spans="1:13">
      <c r="A33" s="2" t="s">
        <v>21</v>
      </c>
      <c r="B33" s="2"/>
      <c r="C33" s="2"/>
      <c r="D33" s="2">
        <f>D29-D30</f>
        <v>-20</v>
      </c>
      <c r="E33" s="11">
        <f>E31-E32</f>
        <v>40615.926500000001</v>
      </c>
      <c r="F33" s="2"/>
      <c r="G33" s="2"/>
      <c r="H33" s="2"/>
      <c r="I33" s="3"/>
      <c r="J33" s="3"/>
      <c r="K33" s="3"/>
      <c r="L33" s="3"/>
      <c r="M33" s="3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4">
        <v>45108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</row>
    <row r="37" spans="1:13">
      <c r="A37" s="3" t="s">
        <v>14</v>
      </c>
      <c r="B37" s="3">
        <f>C29</f>
        <v>0</v>
      </c>
      <c r="C37" s="3"/>
      <c r="D37" s="3">
        <v>0</v>
      </c>
      <c r="E37" s="8">
        <v>47767.19</v>
      </c>
      <c r="F37" s="8"/>
      <c r="G37" s="8"/>
      <c r="H37" s="8"/>
      <c r="I37" s="3"/>
      <c r="J37" s="21" t="s">
        <v>16</v>
      </c>
      <c r="K37" s="3" t="e">
        <f>(E37+F37)/D37</f>
        <v>#DIV/0!</v>
      </c>
      <c r="L37" s="3">
        <v>31</v>
      </c>
      <c r="M37" s="3">
        <f>D37/L37</f>
        <v>0</v>
      </c>
    </row>
    <row r="38" spans="1:13">
      <c r="A38" s="3" t="s">
        <v>17</v>
      </c>
      <c r="B38" s="3">
        <f>C30</f>
        <v>0</v>
      </c>
      <c r="C38" s="3">
        <v>0</v>
      </c>
      <c r="D38" s="3">
        <v>20</v>
      </c>
      <c r="E38" s="8">
        <f>712.4*1.15</f>
        <v>819.25999999999988</v>
      </c>
      <c r="F38" s="8"/>
      <c r="G38" s="8">
        <f>5283.93*1.15</f>
        <v>6076.5194999999994</v>
      </c>
      <c r="H38" s="8">
        <f>274.16*1.15</f>
        <v>315.28399999999999</v>
      </c>
      <c r="I38" s="3" t="s">
        <v>25</v>
      </c>
      <c r="J38" s="3" t="s">
        <v>18</v>
      </c>
      <c r="K38" s="8">
        <f>E38/D38</f>
        <v>40.962999999999994</v>
      </c>
      <c r="L38" s="3">
        <v>31</v>
      </c>
      <c r="M38" s="3">
        <f>D38/L38</f>
        <v>0.64516129032258063</v>
      </c>
    </row>
    <row r="39" spans="1:13">
      <c r="A39" s="2" t="s">
        <v>19</v>
      </c>
      <c r="B39" s="2"/>
      <c r="C39" s="2"/>
      <c r="D39" s="2"/>
      <c r="E39" s="11">
        <f>E37+F37+G37</f>
        <v>47767.19</v>
      </c>
      <c r="F39" s="2"/>
      <c r="G39" s="2"/>
      <c r="H39" s="2"/>
      <c r="I39" s="3"/>
      <c r="J39" s="3"/>
      <c r="K39" s="3"/>
      <c r="L39" s="3"/>
      <c r="M39" s="3"/>
    </row>
    <row r="40" spans="1:13">
      <c r="A40" s="2" t="s">
        <v>20</v>
      </c>
      <c r="B40" s="2"/>
      <c r="C40" s="2"/>
      <c r="D40" s="2"/>
      <c r="E40" s="11">
        <f>E38+F38+G38+H38</f>
        <v>7211.0634999999993</v>
      </c>
      <c r="F40" s="2"/>
      <c r="G40" s="2"/>
      <c r="H40" s="2"/>
      <c r="I40" s="3"/>
      <c r="J40" s="3"/>
      <c r="K40" s="3"/>
      <c r="L40" s="3"/>
      <c r="M40" s="3"/>
    </row>
    <row r="41" spans="1:13">
      <c r="A41" s="2" t="s">
        <v>21</v>
      </c>
      <c r="B41" s="2"/>
      <c r="C41" s="2"/>
      <c r="D41" s="2">
        <f>D37-D38</f>
        <v>-20</v>
      </c>
      <c r="E41" s="11">
        <f>E39-E40</f>
        <v>40556.126500000006</v>
      </c>
      <c r="F41" s="2"/>
      <c r="G41" s="2"/>
      <c r="H41" s="2"/>
      <c r="I41" s="3"/>
      <c r="J41" s="3"/>
      <c r="K41" s="3"/>
      <c r="L41" s="3"/>
      <c r="M41" s="3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4">
        <v>45139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  <c r="J44" s="2" t="s">
        <v>10</v>
      </c>
      <c r="K44" s="2" t="s">
        <v>11</v>
      </c>
      <c r="L44" s="2" t="s">
        <v>12</v>
      </c>
      <c r="M44" s="2" t="s">
        <v>13</v>
      </c>
    </row>
    <row r="45" spans="1:13">
      <c r="A45" s="3" t="s">
        <v>14</v>
      </c>
      <c r="B45" s="3">
        <f>C37</f>
        <v>0</v>
      </c>
      <c r="C45" s="3"/>
      <c r="D45" s="3">
        <v>0</v>
      </c>
      <c r="E45" s="8">
        <v>47767.19</v>
      </c>
      <c r="F45" s="8"/>
      <c r="G45" s="8"/>
      <c r="H45" s="8"/>
      <c r="I45" s="3"/>
      <c r="J45" s="21" t="s">
        <v>16</v>
      </c>
      <c r="K45" s="3" t="e">
        <f>(E45+F45)/D45</f>
        <v>#DIV/0!</v>
      </c>
      <c r="L45" s="3">
        <v>31</v>
      </c>
      <c r="M45" s="3">
        <f>D45/L45</f>
        <v>0</v>
      </c>
    </row>
    <row r="46" spans="1:13">
      <c r="A46" s="3" t="s">
        <v>17</v>
      </c>
      <c r="B46" s="3">
        <f>C38</f>
        <v>0</v>
      </c>
      <c r="C46" s="3">
        <v>0</v>
      </c>
      <c r="D46" s="3">
        <v>30</v>
      </c>
      <c r="E46" s="8">
        <f>1068.6*1.15</f>
        <v>1228.8899999999999</v>
      </c>
      <c r="F46" s="8"/>
      <c r="G46" s="8">
        <f>5283.93*1.15</f>
        <v>6076.5194999999994</v>
      </c>
      <c r="H46" s="8">
        <f>274.16*1.15</f>
        <v>315.28399999999999</v>
      </c>
      <c r="I46" s="3" t="s">
        <v>26</v>
      </c>
      <c r="J46" s="3" t="s">
        <v>18</v>
      </c>
      <c r="K46" s="8">
        <f>E46/D46</f>
        <v>40.962999999999994</v>
      </c>
      <c r="L46" s="3">
        <v>31</v>
      </c>
      <c r="M46" s="3">
        <f>D46/L46</f>
        <v>0.967741935483871</v>
      </c>
    </row>
    <row r="47" spans="1:13">
      <c r="A47" s="2" t="s">
        <v>19</v>
      </c>
      <c r="B47" s="2"/>
      <c r="C47" s="2"/>
      <c r="D47" s="2"/>
      <c r="E47" s="11">
        <f>E45+F45+G45</f>
        <v>47767.19</v>
      </c>
      <c r="F47" s="2"/>
      <c r="G47" s="2"/>
      <c r="H47" s="2"/>
      <c r="I47" s="3"/>
      <c r="J47" s="3"/>
      <c r="K47" s="3"/>
      <c r="L47" s="3"/>
      <c r="M47" s="3"/>
    </row>
    <row r="48" spans="1:13">
      <c r="A48" s="2" t="s">
        <v>20</v>
      </c>
      <c r="B48" s="2"/>
      <c r="C48" s="2"/>
      <c r="D48" s="2"/>
      <c r="E48" s="11">
        <f>E46+F46+G46+H46</f>
        <v>7620.6934999999994</v>
      </c>
      <c r="F48" s="2"/>
      <c r="G48" s="2"/>
      <c r="H48" s="2"/>
      <c r="I48" s="3"/>
      <c r="J48" s="3"/>
      <c r="K48" s="3"/>
      <c r="L48" s="3"/>
      <c r="M48" s="3"/>
    </row>
    <row r="49" spans="1:13">
      <c r="A49" s="2" t="s">
        <v>21</v>
      </c>
      <c r="B49" s="2"/>
      <c r="C49" s="2"/>
      <c r="D49" s="2">
        <f>D45-D46</f>
        <v>-30</v>
      </c>
      <c r="E49" s="11">
        <f>E47-E48</f>
        <v>40146.496500000001</v>
      </c>
      <c r="F49" s="2"/>
      <c r="G49" s="2"/>
      <c r="H49" s="2"/>
      <c r="I49" s="3"/>
      <c r="J49" s="3"/>
      <c r="K49" s="3"/>
      <c r="L49" s="3"/>
      <c r="M49" s="3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4">
        <v>45170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</row>
    <row r="53" spans="1:13">
      <c r="A53" s="3" t="s">
        <v>14</v>
      </c>
      <c r="B53" s="3">
        <f>C45</f>
        <v>0</v>
      </c>
      <c r="C53" s="3"/>
      <c r="D53" s="3">
        <v>0</v>
      </c>
      <c r="E53" s="8">
        <v>47767.19</v>
      </c>
      <c r="F53" s="8"/>
      <c r="G53" s="8"/>
      <c r="H53" s="8"/>
      <c r="I53" s="3"/>
      <c r="J53" s="21" t="s">
        <v>16</v>
      </c>
      <c r="K53" s="3" t="e">
        <f>(E53+F53)/D53</f>
        <v>#DIV/0!</v>
      </c>
      <c r="L53" s="3">
        <v>30</v>
      </c>
      <c r="M53" s="3">
        <f>D53/L53</f>
        <v>0</v>
      </c>
    </row>
    <row r="54" spans="1:13">
      <c r="A54" s="3" t="s">
        <v>17</v>
      </c>
      <c r="B54" s="3">
        <v>25122</v>
      </c>
      <c r="C54" s="3">
        <v>25722</v>
      </c>
      <c r="D54" s="3">
        <f>C54-B54</f>
        <v>600</v>
      </c>
      <c r="E54" s="8">
        <f>(19482.35-16458.04)*1.15</f>
        <v>3477.956499999997</v>
      </c>
      <c r="F54" s="8"/>
      <c r="G54" s="8">
        <f>5283.93*1.15</f>
        <v>6076.5194999999994</v>
      </c>
      <c r="H54" s="8">
        <f>274.16*1.15</f>
        <v>315.28399999999999</v>
      </c>
      <c r="I54" s="3" t="s">
        <v>27</v>
      </c>
      <c r="J54" s="3" t="s">
        <v>28</v>
      </c>
      <c r="K54" s="8">
        <f>E54/D54</f>
        <v>5.7965941666666616</v>
      </c>
      <c r="L54" s="3">
        <v>636</v>
      </c>
      <c r="M54" s="3">
        <f>D54/L54</f>
        <v>0.94339622641509435</v>
      </c>
    </row>
    <row r="55" spans="1:13">
      <c r="A55" s="2" t="s">
        <v>19</v>
      </c>
      <c r="B55" s="2"/>
      <c r="C55" s="2"/>
      <c r="D55" s="2"/>
      <c r="E55" s="11">
        <f>E53+F53+G53</f>
        <v>47767.19</v>
      </c>
      <c r="F55" s="2"/>
      <c r="G55" s="2"/>
      <c r="H55" s="2"/>
      <c r="I55" s="3"/>
      <c r="J55" s="3"/>
      <c r="K55" s="3"/>
      <c r="L55" s="3"/>
      <c r="M55" s="3"/>
    </row>
    <row r="56" spans="1:13">
      <c r="A56" s="2" t="s">
        <v>20</v>
      </c>
      <c r="B56" s="2"/>
      <c r="C56" s="2"/>
      <c r="D56" s="2"/>
      <c r="E56" s="11">
        <f>E54+F54+G54+H54</f>
        <v>9869.7599999999966</v>
      </c>
      <c r="F56" s="2"/>
      <c r="G56" s="2"/>
      <c r="H56" s="2"/>
      <c r="I56" s="3"/>
      <c r="J56" s="3"/>
      <c r="K56" s="3"/>
      <c r="L56" s="3"/>
      <c r="M56" s="3"/>
    </row>
    <row r="57" spans="1:13">
      <c r="A57" s="2" t="s">
        <v>21</v>
      </c>
      <c r="B57" s="2"/>
      <c r="C57" s="2"/>
      <c r="D57" s="2">
        <f>D53-D54</f>
        <v>-600</v>
      </c>
      <c r="E57" s="11">
        <f>E55-E56</f>
        <v>37897.430000000008</v>
      </c>
      <c r="F57" s="2"/>
      <c r="G57" s="2"/>
      <c r="H57" s="2"/>
      <c r="I57" s="3"/>
      <c r="J57" s="3"/>
      <c r="K57" s="3"/>
      <c r="L57" s="3"/>
      <c r="M57" s="3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4">
        <v>45200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</row>
    <row r="61" spans="1:13">
      <c r="A61" s="3" t="s">
        <v>14</v>
      </c>
      <c r="B61" s="3">
        <f>C53</f>
        <v>0</v>
      </c>
      <c r="C61" s="3"/>
      <c r="D61" s="3">
        <v>0</v>
      </c>
      <c r="E61" s="8">
        <v>47767.19</v>
      </c>
      <c r="F61" s="8"/>
      <c r="G61" s="8"/>
      <c r="H61" s="8"/>
      <c r="I61" s="3"/>
      <c r="J61" s="21" t="s">
        <v>16</v>
      </c>
      <c r="K61" s="3" t="e">
        <f>(E61+F61)/D61</f>
        <v>#DIV/0!</v>
      </c>
      <c r="L61" s="3">
        <v>31</v>
      </c>
      <c r="M61" s="3">
        <f>D61/L61</f>
        <v>0</v>
      </c>
    </row>
    <row r="62" spans="1:13">
      <c r="A62" s="3" t="s">
        <v>17</v>
      </c>
      <c r="B62" s="3">
        <f>C54</f>
        <v>25722</v>
      </c>
      <c r="C62" s="3">
        <f>B62+30</f>
        <v>25752</v>
      </c>
      <c r="D62" s="3">
        <f>C62-B62</f>
        <v>30</v>
      </c>
      <c r="E62" s="8">
        <f>1228.88+315.28</f>
        <v>1544.16</v>
      </c>
      <c r="F62" s="8"/>
      <c r="G62" s="8">
        <v>6076.52</v>
      </c>
      <c r="H62" s="8"/>
      <c r="I62" s="3" t="s">
        <v>29</v>
      </c>
      <c r="J62" s="3" t="s">
        <v>18</v>
      </c>
      <c r="K62" s="8">
        <f>E62/D62</f>
        <v>51.472000000000001</v>
      </c>
      <c r="L62" s="3">
        <v>32</v>
      </c>
      <c r="M62" s="3">
        <f>D62/L62</f>
        <v>0.9375</v>
      </c>
    </row>
    <row r="63" spans="1:13">
      <c r="A63" s="2" t="s">
        <v>19</v>
      </c>
      <c r="B63" s="2"/>
      <c r="C63" s="2"/>
      <c r="D63" s="2"/>
      <c r="E63" s="11">
        <f>E61+F61+G61</f>
        <v>47767.19</v>
      </c>
      <c r="F63" s="2"/>
      <c r="G63" s="2"/>
      <c r="H63" s="2"/>
      <c r="I63" s="3"/>
      <c r="J63" s="3"/>
      <c r="K63" s="3"/>
      <c r="L63" s="3"/>
      <c r="M63" s="3"/>
    </row>
    <row r="64" spans="1:13">
      <c r="A64" s="2" t="s">
        <v>20</v>
      </c>
      <c r="B64" s="2"/>
      <c r="C64" s="2"/>
      <c r="D64" s="2"/>
      <c r="E64" s="11">
        <f>E62+F62+G62+H62</f>
        <v>7620.68</v>
      </c>
      <c r="F64" s="2"/>
      <c r="G64" s="2"/>
      <c r="H64" s="2"/>
      <c r="I64" s="3"/>
      <c r="J64" s="3"/>
      <c r="K64" s="3"/>
      <c r="L64" s="3"/>
      <c r="M64" s="3"/>
    </row>
    <row r="65" spans="1:13">
      <c r="A65" s="2" t="s">
        <v>21</v>
      </c>
      <c r="B65" s="2"/>
      <c r="C65" s="2"/>
      <c r="D65" s="2">
        <f>D61-D62</f>
        <v>-30</v>
      </c>
      <c r="E65" s="11">
        <f>E63-E64</f>
        <v>40146.51</v>
      </c>
      <c r="F65" s="2"/>
      <c r="G65" s="2"/>
      <c r="H65" s="2"/>
      <c r="I65" s="3"/>
      <c r="J65" s="3"/>
      <c r="K65" s="3"/>
      <c r="L65" s="3"/>
      <c r="M65" s="3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8" spans="1:13">
      <c r="A68" s="12">
        <v>45619</v>
      </c>
    </row>
    <row r="69" spans="1:13">
      <c r="A69" s="20" t="s">
        <v>1</v>
      </c>
      <c r="B69" s="20" t="s">
        <v>2</v>
      </c>
      <c r="C69" s="20" t="s">
        <v>3</v>
      </c>
      <c r="D69" s="20" t="s">
        <v>4</v>
      </c>
      <c r="E69" s="20" t="s">
        <v>5</v>
      </c>
      <c r="F69" s="20" t="s">
        <v>6</v>
      </c>
      <c r="G69" s="20" t="s">
        <v>7</v>
      </c>
      <c r="H69" s="20" t="s">
        <v>8</v>
      </c>
      <c r="I69" s="20" t="s">
        <v>9</v>
      </c>
      <c r="J69" s="20" t="s">
        <v>10</v>
      </c>
      <c r="K69" s="20" t="s">
        <v>11</v>
      </c>
      <c r="L69" s="20" t="s">
        <v>12</v>
      </c>
      <c r="M69" s="20" t="s">
        <v>13</v>
      </c>
    </row>
    <row r="70" spans="1:13">
      <c r="A70" s="21" t="s">
        <v>14</v>
      </c>
      <c r="B70" s="21"/>
      <c r="C70" s="21"/>
      <c r="D70" s="21">
        <v>0</v>
      </c>
      <c r="E70" s="22">
        <v>47767.19</v>
      </c>
      <c r="F70" s="21"/>
      <c r="G70" s="21"/>
      <c r="H70" s="21"/>
      <c r="I70" s="21"/>
      <c r="J70" s="21" t="s">
        <v>16</v>
      </c>
      <c r="K70" s="22" t="e">
        <f>(E70+F70)/D70</f>
        <v>#DIV/0!</v>
      </c>
      <c r="L70" s="21">
        <v>31</v>
      </c>
      <c r="M70" s="21">
        <f>D70/L70</f>
        <v>0</v>
      </c>
    </row>
    <row r="71" spans="1:13">
      <c r="A71" s="21" t="s">
        <v>17</v>
      </c>
      <c r="B71" s="21">
        <v>0</v>
      </c>
      <c r="C71" s="21">
        <v>4923</v>
      </c>
      <c r="D71" s="21">
        <f>C71-B71</f>
        <v>4923</v>
      </c>
      <c r="E71" s="22">
        <f>-1228.89+201660.85+315.28</f>
        <v>200747.24</v>
      </c>
      <c r="F71" s="21"/>
      <c r="G71" s="22">
        <v>6076.52</v>
      </c>
      <c r="H71" s="21"/>
      <c r="I71" s="21" t="s">
        <v>30</v>
      </c>
      <c r="J71" s="21" t="s">
        <v>28</v>
      </c>
      <c r="K71" s="22">
        <f>E71/D71</f>
        <v>40.777420272191748</v>
      </c>
      <c r="L71" s="21">
        <v>140</v>
      </c>
      <c r="M71" s="21">
        <f>D71/L71</f>
        <v>35.164285714285711</v>
      </c>
    </row>
    <row r="72" spans="1:13">
      <c r="A72" s="20" t="s">
        <v>19</v>
      </c>
      <c r="B72" s="21"/>
      <c r="C72" s="21"/>
      <c r="D72" s="21"/>
      <c r="E72" s="23">
        <f>E70+F70+G70</f>
        <v>47767.19</v>
      </c>
      <c r="F72" s="21"/>
      <c r="G72" s="21"/>
      <c r="H72" s="21"/>
      <c r="I72" s="21"/>
      <c r="J72" s="21"/>
      <c r="K72" s="21"/>
      <c r="L72" s="21"/>
      <c r="M72" s="21"/>
    </row>
    <row r="73" spans="1:13">
      <c r="A73" s="20" t="s">
        <v>20</v>
      </c>
      <c r="B73" s="21"/>
      <c r="C73" s="21"/>
      <c r="D73" s="21"/>
      <c r="E73" s="23">
        <f>E71+F71+G71+H71</f>
        <v>206823.75999999998</v>
      </c>
      <c r="F73" s="21"/>
      <c r="G73" s="21"/>
      <c r="H73" s="21"/>
      <c r="I73" s="21"/>
      <c r="J73" s="21"/>
      <c r="K73" s="21"/>
      <c r="L73" s="21"/>
      <c r="M73" s="21"/>
    </row>
    <row r="74" spans="1:13">
      <c r="A74" s="20" t="s">
        <v>21</v>
      </c>
      <c r="B74" s="21"/>
      <c r="C74" s="21"/>
      <c r="D74" s="21">
        <f>D70-D71</f>
        <v>-4923</v>
      </c>
      <c r="E74" s="23">
        <f>E72-E73</f>
        <v>-159056.56999999998</v>
      </c>
      <c r="F74" s="21"/>
      <c r="G74" s="21"/>
      <c r="H74" s="21"/>
      <c r="I74" s="21"/>
      <c r="J74" s="21"/>
      <c r="K74" s="21"/>
      <c r="L74" s="21"/>
      <c r="M74" s="21"/>
    </row>
    <row r="76" spans="1:13">
      <c r="A76" s="12">
        <v>45261</v>
      </c>
    </row>
    <row r="77" spans="1:13">
      <c r="A77" s="20" t="s">
        <v>1</v>
      </c>
      <c r="B77" s="20" t="s">
        <v>2</v>
      </c>
      <c r="C77" s="20" t="s">
        <v>3</v>
      </c>
      <c r="D77" s="20" t="s">
        <v>4</v>
      </c>
      <c r="E77" s="20" t="s">
        <v>5</v>
      </c>
      <c r="F77" s="20" t="s">
        <v>6</v>
      </c>
      <c r="G77" s="20" t="s">
        <v>7</v>
      </c>
      <c r="H77" s="20" t="s">
        <v>8</v>
      </c>
      <c r="I77" s="20" t="s">
        <v>9</v>
      </c>
      <c r="J77" s="20" t="s">
        <v>10</v>
      </c>
      <c r="K77" s="20" t="s">
        <v>11</v>
      </c>
      <c r="L77" s="20" t="s">
        <v>12</v>
      </c>
      <c r="M77" s="20" t="s">
        <v>13</v>
      </c>
    </row>
    <row r="78" spans="1:13">
      <c r="A78" s="21" t="s">
        <v>14</v>
      </c>
      <c r="B78" s="21"/>
      <c r="C78" s="21"/>
      <c r="D78" s="21">
        <v>0</v>
      </c>
      <c r="E78" s="22">
        <v>47767.19</v>
      </c>
      <c r="F78" s="21"/>
      <c r="G78" s="21"/>
      <c r="H78" s="21"/>
      <c r="I78" s="21"/>
      <c r="J78" s="21" t="s">
        <v>16</v>
      </c>
      <c r="K78" s="22" t="e">
        <f>(E78+F78)/D78</f>
        <v>#DIV/0!</v>
      </c>
      <c r="L78" s="21">
        <v>31</v>
      </c>
      <c r="M78" s="21">
        <f>D78/L78</f>
        <v>0</v>
      </c>
    </row>
    <row r="79" spans="1:13">
      <c r="A79" s="21" t="s">
        <v>17</v>
      </c>
      <c r="B79" s="21">
        <f>C71</f>
        <v>4923</v>
      </c>
      <c r="C79" s="21">
        <f>B79+30</f>
        <v>4953</v>
      </c>
      <c r="D79" s="21">
        <f>C79-B79</f>
        <v>30</v>
      </c>
      <c r="E79" s="22">
        <f>1228.89+315.28</f>
        <v>1544.17</v>
      </c>
      <c r="F79" s="21"/>
      <c r="G79" s="22">
        <v>6076.52</v>
      </c>
      <c r="H79" s="21"/>
      <c r="I79" s="21" t="s">
        <v>31</v>
      </c>
      <c r="J79" s="21" t="s">
        <v>18</v>
      </c>
      <c r="K79" s="22">
        <f>E79/D79</f>
        <v>51.472333333333339</v>
      </c>
      <c r="L79" s="21">
        <v>31</v>
      </c>
      <c r="M79" s="21">
        <f>D79/L79</f>
        <v>0.967741935483871</v>
      </c>
    </row>
    <row r="80" spans="1:13">
      <c r="A80" s="20" t="s">
        <v>19</v>
      </c>
      <c r="B80" s="21"/>
      <c r="C80" s="21"/>
      <c r="D80" s="21"/>
      <c r="E80" s="23">
        <f>E78+F78+G78</f>
        <v>47767.19</v>
      </c>
      <c r="F80" s="21"/>
      <c r="G80" s="21"/>
      <c r="H80" s="21"/>
      <c r="I80" s="21"/>
      <c r="J80" s="21"/>
      <c r="K80" s="21"/>
      <c r="L80" s="21"/>
      <c r="M80" s="21"/>
    </row>
    <row r="81" spans="1:13">
      <c r="A81" s="20" t="s">
        <v>20</v>
      </c>
      <c r="B81" s="21"/>
      <c r="C81" s="21"/>
      <c r="D81" s="21"/>
      <c r="E81" s="23">
        <f>E79+F79+G79+H79</f>
        <v>7620.6900000000005</v>
      </c>
      <c r="F81" s="21"/>
      <c r="G81" s="21"/>
      <c r="H81" s="21"/>
      <c r="I81" s="21"/>
      <c r="J81" s="21"/>
      <c r="K81" s="21"/>
      <c r="L81" s="21"/>
      <c r="M81" s="21"/>
    </row>
    <row r="82" spans="1:13">
      <c r="A82" s="20" t="s">
        <v>21</v>
      </c>
      <c r="B82" s="21"/>
      <c r="C82" s="21"/>
      <c r="D82" s="21">
        <f>D78-D79</f>
        <v>-30</v>
      </c>
      <c r="E82" s="23">
        <f>E80-E81</f>
        <v>40146.5</v>
      </c>
      <c r="F82" s="21"/>
      <c r="G82" s="21"/>
      <c r="H82" s="21"/>
      <c r="I82" s="21"/>
      <c r="J82" s="21"/>
      <c r="K82" s="21"/>
      <c r="L82" s="21"/>
      <c r="M82" s="21"/>
    </row>
    <row r="84" spans="1:13">
      <c r="A84" s="12">
        <v>45292</v>
      </c>
    </row>
    <row r="85" spans="1:13">
      <c r="A85" s="20" t="s">
        <v>1</v>
      </c>
      <c r="B85" s="20" t="s">
        <v>2</v>
      </c>
      <c r="C85" s="20" t="s">
        <v>3</v>
      </c>
      <c r="D85" s="20" t="s">
        <v>4</v>
      </c>
      <c r="E85" s="20" t="s">
        <v>5</v>
      </c>
      <c r="F85" s="20" t="s">
        <v>6</v>
      </c>
      <c r="G85" s="20" t="s">
        <v>7</v>
      </c>
      <c r="H85" s="20" t="s">
        <v>8</v>
      </c>
      <c r="I85" s="20" t="s">
        <v>9</v>
      </c>
      <c r="J85" s="20" t="s">
        <v>10</v>
      </c>
      <c r="K85" s="20" t="s">
        <v>11</v>
      </c>
      <c r="L85" s="20" t="s">
        <v>12</v>
      </c>
      <c r="M85" s="20" t="s">
        <v>13</v>
      </c>
    </row>
    <row r="86" spans="1:13">
      <c r="A86" s="21" t="s">
        <v>14</v>
      </c>
      <c r="B86" s="21"/>
      <c r="C86" s="21"/>
      <c r="D86" s="21">
        <v>0</v>
      </c>
      <c r="E86" s="22">
        <v>48303.9</v>
      </c>
      <c r="F86" s="21"/>
      <c r="G86" s="21"/>
      <c r="H86" s="21"/>
      <c r="I86" s="21"/>
      <c r="J86" s="21" t="s">
        <v>16</v>
      </c>
      <c r="K86" s="22" t="e">
        <f>(E86+F86)/D86</f>
        <v>#DIV/0!</v>
      </c>
      <c r="L86" s="21">
        <v>31</v>
      </c>
      <c r="M86" s="21">
        <f>D86/L86</f>
        <v>0</v>
      </c>
    </row>
    <row r="87" spans="1:13">
      <c r="A87" s="21" t="s">
        <v>17</v>
      </c>
      <c r="B87" s="21">
        <v>4923</v>
      </c>
      <c r="C87" s="21">
        <v>6185</v>
      </c>
      <c r="D87" s="21">
        <f>C87-B87</f>
        <v>1262</v>
      </c>
      <c r="E87" s="22">
        <f>51695.31-1228.89+315.28</f>
        <v>50781.7</v>
      </c>
      <c r="F87" s="21"/>
      <c r="G87" s="22">
        <v>6076.52</v>
      </c>
      <c r="H87" s="21"/>
      <c r="I87" s="21" t="s">
        <v>32</v>
      </c>
      <c r="J87" s="21" t="s">
        <v>28</v>
      </c>
      <c r="K87" s="22">
        <f>E87/D87</f>
        <v>40.239064976228207</v>
      </c>
      <c r="L87" s="21">
        <v>63</v>
      </c>
      <c r="M87" s="21">
        <f>D87/L87</f>
        <v>20.031746031746032</v>
      </c>
    </row>
    <row r="88" spans="1:13">
      <c r="A88" s="20" t="s">
        <v>19</v>
      </c>
      <c r="B88" s="21"/>
      <c r="C88" s="21"/>
      <c r="D88" s="21"/>
      <c r="E88" s="23">
        <f>E86+F86+G86</f>
        <v>48303.9</v>
      </c>
      <c r="F88" s="21"/>
      <c r="G88" s="21"/>
      <c r="H88" s="21"/>
      <c r="I88" s="21"/>
      <c r="J88" s="21"/>
      <c r="K88" s="21"/>
      <c r="L88" s="21"/>
      <c r="M88" s="21"/>
    </row>
    <row r="89" spans="1:13">
      <c r="A89" s="20" t="s">
        <v>20</v>
      </c>
      <c r="B89" s="21"/>
      <c r="C89" s="21"/>
      <c r="D89" s="21"/>
      <c r="E89" s="23">
        <f>E87+F87+G87+H87</f>
        <v>56858.22</v>
      </c>
      <c r="F89" s="21"/>
      <c r="G89" s="21"/>
      <c r="H89" s="21"/>
      <c r="I89" s="21"/>
      <c r="J89" s="21"/>
      <c r="K89" s="21"/>
      <c r="L89" s="21"/>
      <c r="M89" s="21"/>
    </row>
    <row r="90" spans="1:13">
      <c r="A90" s="20" t="s">
        <v>21</v>
      </c>
      <c r="B90" s="21"/>
      <c r="C90" s="21"/>
      <c r="D90" s="21">
        <f>D86-D87</f>
        <v>-1262</v>
      </c>
      <c r="E90" s="23">
        <f>E88-E89</f>
        <v>-8554.32</v>
      </c>
      <c r="F90" s="21"/>
      <c r="G90" s="21"/>
      <c r="H90" s="21"/>
      <c r="I90" s="21"/>
      <c r="J90" s="21"/>
      <c r="K90" s="21"/>
      <c r="L90" s="21"/>
      <c r="M90" s="21"/>
    </row>
    <row r="92" spans="1:13">
      <c r="A92" s="12">
        <v>45323</v>
      </c>
    </row>
    <row r="93" spans="1:13">
      <c r="A93" s="20" t="s">
        <v>1</v>
      </c>
      <c r="B93" s="20" t="s">
        <v>2</v>
      </c>
      <c r="C93" s="20" t="s">
        <v>3</v>
      </c>
      <c r="D93" s="20" t="s">
        <v>4</v>
      </c>
      <c r="E93" s="20" t="s">
        <v>5</v>
      </c>
      <c r="F93" s="20" t="s">
        <v>6</v>
      </c>
      <c r="G93" s="20" t="s">
        <v>7</v>
      </c>
      <c r="H93" s="20" t="s">
        <v>8</v>
      </c>
      <c r="I93" s="20" t="s">
        <v>9</v>
      </c>
      <c r="J93" s="20" t="s">
        <v>10</v>
      </c>
      <c r="K93" s="20" t="s">
        <v>11</v>
      </c>
      <c r="L93" s="20" t="s">
        <v>12</v>
      </c>
      <c r="M93" s="20" t="s">
        <v>13</v>
      </c>
    </row>
    <row r="94" spans="1:13">
      <c r="A94" s="21" t="s">
        <v>14</v>
      </c>
      <c r="B94" s="21"/>
      <c r="C94" s="21">
        <v>6555</v>
      </c>
      <c r="D94" s="21">
        <v>0</v>
      </c>
      <c r="E94" s="22">
        <v>48303.9</v>
      </c>
      <c r="F94" s="21"/>
      <c r="G94" s="21"/>
      <c r="H94" s="21"/>
      <c r="I94" s="21"/>
      <c r="J94" s="21" t="s">
        <v>16</v>
      </c>
      <c r="K94" s="22" t="e">
        <f>(E94+F94)/D94</f>
        <v>#DIV/0!</v>
      </c>
      <c r="L94" s="21">
        <v>29</v>
      </c>
      <c r="M94" s="21">
        <f>D94/L94</f>
        <v>0</v>
      </c>
    </row>
    <row r="95" spans="1:13">
      <c r="A95" s="21" t="s">
        <v>17</v>
      </c>
      <c r="B95" s="21">
        <v>6185</v>
      </c>
      <c r="C95" s="21">
        <v>6554</v>
      </c>
      <c r="D95" s="21">
        <f>C95-B95</f>
        <v>369</v>
      </c>
      <c r="E95" s="22">
        <f>15115.35+315.28</f>
        <v>15430.630000000001</v>
      </c>
      <c r="F95" s="21"/>
      <c r="G95" s="22">
        <v>6076.52</v>
      </c>
      <c r="H95" s="21"/>
      <c r="I95" s="21" t="s">
        <v>33</v>
      </c>
      <c r="J95" s="21" t="s">
        <v>28</v>
      </c>
      <c r="K95" s="22">
        <f>E95/D95</f>
        <v>41.817425474254748</v>
      </c>
      <c r="L95" s="21">
        <v>30</v>
      </c>
      <c r="M95" s="21">
        <f>D95/L95</f>
        <v>12.3</v>
      </c>
    </row>
    <row r="96" spans="1:13">
      <c r="A96" s="20" t="s">
        <v>19</v>
      </c>
      <c r="B96" s="21"/>
      <c r="C96" s="21"/>
      <c r="D96" s="21"/>
      <c r="E96" s="23">
        <f>E94+F94+G94</f>
        <v>48303.9</v>
      </c>
      <c r="F96" s="21"/>
      <c r="G96" s="21"/>
      <c r="H96" s="21"/>
      <c r="I96" s="21"/>
      <c r="J96" s="21"/>
      <c r="K96" s="21"/>
      <c r="L96" s="21"/>
      <c r="M96" s="21"/>
    </row>
    <row r="97" spans="1:13">
      <c r="A97" s="20" t="s">
        <v>20</v>
      </c>
      <c r="B97" s="21"/>
      <c r="C97" s="21"/>
      <c r="D97" s="21"/>
      <c r="E97" s="23">
        <f>E95+F95+G95+H95</f>
        <v>21507.15</v>
      </c>
      <c r="F97" s="21"/>
      <c r="G97" s="21"/>
      <c r="H97" s="21"/>
      <c r="I97" s="21"/>
      <c r="J97" s="21"/>
      <c r="K97" s="21"/>
      <c r="L97" s="21"/>
      <c r="M97" s="21"/>
    </row>
    <row r="98" spans="1:13">
      <c r="A98" s="20" t="s">
        <v>21</v>
      </c>
      <c r="B98" s="21"/>
      <c r="C98" s="21"/>
      <c r="D98" s="21">
        <f>D94-D95</f>
        <v>-369</v>
      </c>
      <c r="E98" s="23">
        <f>E96-E97</f>
        <v>26796.75</v>
      </c>
      <c r="F98" s="21"/>
      <c r="G98" s="21"/>
      <c r="H98" s="21"/>
      <c r="I98" s="21"/>
      <c r="J98" s="21"/>
      <c r="K98" s="21"/>
      <c r="L98" s="21"/>
      <c r="M98" s="21"/>
    </row>
    <row r="100" spans="1:13">
      <c r="A100" s="12">
        <v>45352</v>
      </c>
    </row>
    <row r="101" spans="1:13">
      <c r="A101" s="20" t="s">
        <v>1</v>
      </c>
      <c r="B101" s="20" t="s">
        <v>2</v>
      </c>
      <c r="C101" s="20" t="s">
        <v>3</v>
      </c>
      <c r="D101" s="20" t="s">
        <v>4</v>
      </c>
      <c r="E101" s="20" t="s">
        <v>5</v>
      </c>
      <c r="F101" s="20" t="s">
        <v>6</v>
      </c>
      <c r="G101" s="20" t="s">
        <v>7</v>
      </c>
      <c r="H101" s="20" t="s">
        <v>8</v>
      </c>
      <c r="I101" s="20" t="s">
        <v>9</v>
      </c>
      <c r="J101" s="20" t="s">
        <v>10</v>
      </c>
      <c r="K101" s="20" t="s">
        <v>11</v>
      </c>
      <c r="L101" s="20" t="s">
        <v>12</v>
      </c>
      <c r="M101" s="20" t="s">
        <v>13</v>
      </c>
    </row>
    <row r="102" spans="1:13">
      <c r="A102" s="21" t="s">
        <v>14</v>
      </c>
      <c r="B102" s="21">
        <v>6555</v>
      </c>
      <c r="C102" s="21">
        <v>10989</v>
      </c>
      <c r="D102" s="21">
        <f>C102-B102</f>
        <v>4434</v>
      </c>
      <c r="E102" s="22">
        <v>48303.9</v>
      </c>
      <c r="F102" s="21"/>
      <c r="G102" s="21"/>
      <c r="H102" s="21"/>
      <c r="I102" s="21"/>
      <c r="J102" s="21" t="s">
        <v>16</v>
      </c>
      <c r="K102" s="22">
        <f>(E102+F102)/D102</f>
        <v>10.893978349120433</v>
      </c>
      <c r="L102" s="21">
        <v>31</v>
      </c>
      <c r="M102" s="21">
        <f>D102/L102</f>
        <v>143.03225806451613</v>
      </c>
    </row>
    <row r="103" spans="1:13">
      <c r="A103" s="21" t="s">
        <v>17</v>
      </c>
      <c r="B103" s="21">
        <f>C95</f>
        <v>6554</v>
      </c>
      <c r="C103" s="21">
        <v>11495</v>
      </c>
      <c r="D103" s="21">
        <f>C103-B103</f>
        <v>4941</v>
      </c>
      <c r="E103" s="22">
        <v>202398.18</v>
      </c>
      <c r="F103" s="21"/>
      <c r="G103" s="22">
        <v>6076.52</v>
      </c>
      <c r="H103" s="21">
        <v>315.27999999999997</v>
      </c>
      <c r="I103" s="21" t="s">
        <v>34</v>
      </c>
      <c r="J103" s="21" t="s">
        <v>28</v>
      </c>
      <c r="K103" s="22">
        <f>E103/D103</f>
        <v>40.962999392835457</v>
      </c>
      <c r="L103" s="21">
        <v>30</v>
      </c>
      <c r="M103" s="21">
        <f>D103/L103</f>
        <v>164.7</v>
      </c>
    </row>
    <row r="104" spans="1:13">
      <c r="A104" s="20" t="s">
        <v>19</v>
      </c>
      <c r="B104" s="21"/>
      <c r="C104" s="21"/>
      <c r="D104" s="21"/>
      <c r="E104" s="23">
        <f>E102+F102+G102</f>
        <v>48303.9</v>
      </c>
      <c r="F104" s="21"/>
      <c r="G104" s="21"/>
      <c r="H104" s="21"/>
      <c r="I104" s="21"/>
      <c r="J104" s="21"/>
      <c r="K104" s="21"/>
      <c r="L104" s="21"/>
      <c r="M104" s="21"/>
    </row>
    <row r="105" spans="1:13">
      <c r="A105" s="20" t="s">
        <v>20</v>
      </c>
      <c r="B105" s="21"/>
      <c r="C105" s="21"/>
      <c r="D105" s="21"/>
      <c r="E105" s="23">
        <f>E103+F103+G103+H103</f>
        <v>208789.97999999998</v>
      </c>
      <c r="F105" s="21"/>
      <c r="G105" s="21"/>
      <c r="H105" s="21"/>
      <c r="I105" s="21"/>
      <c r="J105" s="21"/>
      <c r="K105" s="21"/>
      <c r="L105" s="21"/>
      <c r="M105" s="21"/>
    </row>
    <row r="106" spans="1:13">
      <c r="A106" s="20" t="s">
        <v>21</v>
      </c>
      <c r="B106" s="21"/>
      <c r="C106" s="21"/>
      <c r="D106" s="21">
        <f>D102-D103</f>
        <v>-507</v>
      </c>
      <c r="E106" s="23">
        <f>E104-E105</f>
        <v>-160486.07999999999</v>
      </c>
      <c r="F106" s="21"/>
      <c r="G106" s="21"/>
      <c r="H106" s="21"/>
      <c r="I106" s="21"/>
      <c r="J106" s="21"/>
      <c r="K106" s="21"/>
      <c r="L106" s="21"/>
      <c r="M106" s="21"/>
    </row>
    <row r="108" spans="1:13">
      <c r="A108" s="12">
        <v>45383</v>
      </c>
    </row>
    <row r="109" spans="1:13">
      <c r="A109" s="20" t="s">
        <v>1</v>
      </c>
      <c r="B109" s="20" t="s">
        <v>2</v>
      </c>
      <c r="C109" s="20" t="s">
        <v>3</v>
      </c>
      <c r="D109" s="20" t="s">
        <v>4</v>
      </c>
      <c r="E109" s="20" t="s">
        <v>5</v>
      </c>
      <c r="F109" s="20" t="s">
        <v>6</v>
      </c>
      <c r="G109" s="20" t="s">
        <v>7</v>
      </c>
      <c r="H109" s="20" t="s">
        <v>8</v>
      </c>
      <c r="I109" s="20" t="s">
        <v>9</v>
      </c>
      <c r="J109" s="20" t="s">
        <v>10</v>
      </c>
      <c r="K109" s="20" t="s">
        <v>11</v>
      </c>
      <c r="L109" s="20" t="s">
        <v>12</v>
      </c>
      <c r="M109" s="20" t="s">
        <v>13</v>
      </c>
    </row>
    <row r="110" spans="1:13">
      <c r="A110" s="21" t="s">
        <v>14</v>
      </c>
      <c r="B110" s="21">
        <f>C102</f>
        <v>10989</v>
      </c>
      <c r="C110" s="21"/>
      <c r="D110" s="21">
        <v>0</v>
      </c>
      <c r="E110" s="22">
        <v>48303.9</v>
      </c>
      <c r="F110" s="21"/>
      <c r="G110" s="21"/>
      <c r="H110" s="21"/>
      <c r="I110" s="21"/>
      <c r="J110" s="21" t="s">
        <v>16</v>
      </c>
      <c r="K110" s="22" t="e">
        <f>(E110+F110)/D110</f>
        <v>#DIV/0!</v>
      </c>
      <c r="L110" s="21">
        <v>31</v>
      </c>
      <c r="M110" s="21">
        <f>D110/L110</f>
        <v>0</v>
      </c>
    </row>
    <row r="111" spans="1:13">
      <c r="A111" s="21" t="s">
        <v>17</v>
      </c>
      <c r="B111" s="21">
        <f>C103</f>
        <v>11495</v>
      </c>
      <c r="C111" s="21">
        <v>11525</v>
      </c>
      <c r="D111" s="21">
        <f>C111-B111</f>
        <v>30</v>
      </c>
      <c r="E111" s="22">
        <v>1228.8900000000001</v>
      </c>
      <c r="F111" s="21"/>
      <c r="G111" s="22">
        <v>6076.52</v>
      </c>
      <c r="H111" s="21">
        <v>315.27999999999997</v>
      </c>
      <c r="I111" s="21" t="s">
        <v>35</v>
      </c>
      <c r="J111" s="21" t="s">
        <v>18</v>
      </c>
      <c r="K111" s="22">
        <f>E111/D111</f>
        <v>40.963000000000001</v>
      </c>
      <c r="L111" s="21">
        <v>30</v>
      </c>
      <c r="M111" s="21">
        <f>D111/L111</f>
        <v>1</v>
      </c>
    </row>
    <row r="112" spans="1:13">
      <c r="A112" s="20" t="s">
        <v>19</v>
      </c>
      <c r="B112" s="21"/>
      <c r="C112" s="21"/>
      <c r="D112" s="21"/>
      <c r="E112" s="23">
        <f>E110+F110+G110</f>
        <v>48303.9</v>
      </c>
      <c r="F112" s="21"/>
      <c r="G112" s="21"/>
      <c r="H112" s="21"/>
      <c r="I112" s="21"/>
      <c r="J112" s="21"/>
      <c r="K112" s="21"/>
      <c r="L112" s="21"/>
      <c r="M112" s="21"/>
    </row>
    <row r="113" spans="1:13">
      <c r="A113" s="20" t="s">
        <v>20</v>
      </c>
      <c r="B113" s="21"/>
      <c r="C113" s="21"/>
      <c r="D113" s="21"/>
      <c r="E113" s="23">
        <f>E111+F111+G111+H111</f>
        <v>7620.6900000000005</v>
      </c>
      <c r="F113" s="21"/>
      <c r="G113" s="21"/>
      <c r="H113" s="21"/>
      <c r="I113" s="21"/>
      <c r="J113" s="21"/>
      <c r="K113" s="21"/>
      <c r="L113" s="21"/>
      <c r="M113" s="21"/>
    </row>
    <row r="114" spans="1:13">
      <c r="A114" s="20" t="s">
        <v>21</v>
      </c>
      <c r="B114" s="21"/>
      <c r="C114" s="21"/>
      <c r="D114" s="21">
        <f>D110-D111</f>
        <v>-30</v>
      </c>
      <c r="E114" s="23">
        <f>E112-E113</f>
        <v>40683.21</v>
      </c>
      <c r="F114" s="21"/>
      <c r="G114" s="21"/>
      <c r="H114" s="21"/>
      <c r="I114" s="21"/>
      <c r="J114" s="21"/>
      <c r="K114" s="21"/>
      <c r="L114" s="21"/>
      <c r="M114" s="21"/>
    </row>
    <row r="116" spans="1:13">
      <c r="A116" s="12">
        <v>45413</v>
      </c>
    </row>
    <row r="117" spans="1:13">
      <c r="A117" s="20" t="s">
        <v>1</v>
      </c>
      <c r="B117" s="20" t="s">
        <v>2</v>
      </c>
      <c r="C117" s="20" t="s">
        <v>3</v>
      </c>
      <c r="D117" s="20" t="s">
        <v>4</v>
      </c>
      <c r="E117" s="20" t="s">
        <v>5</v>
      </c>
      <c r="F117" s="20" t="s">
        <v>6</v>
      </c>
      <c r="G117" s="20" t="s">
        <v>7</v>
      </c>
      <c r="H117" s="20" t="s">
        <v>8</v>
      </c>
      <c r="I117" s="20" t="s">
        <v>9</v>
      </c>
      <c r="J117" s="20" t="s">
        <v>10</v>
      </c>
      <c r="K117" s="20" t="s">
        <v>11</v>
      </c>
      <c r="L117" s="20" t="s">
        <v>12</v>
      </c>
      <c r="M117" s="20" t="s">
        <v>13</v>
      </c>
    </row>
    <row r="118" spans="1:13">
      <c r="A118" s="21" t="s">
        <v>14</v>
      </c>
      <c r="B118" s="21"/>
      <c r="C118" s="21">
        <v>1791</v>
      </c>
      <c r="D118" s="21">
        <v>0</v>
      </c>
      <c r="E118" s="22">
        <v>48303.9</v>
      </c>
      <c r="F118" s="21"/>
      <c r="G118" s="21"/>
      <c r="H118" s="21"/>
      <c r="I118" s="21" t="s">
        <v>36</v>
      </c>
      <c r="J118" s="21" t="s">
        <v>16</v>
      </c>
      <c r="K118" s="22" t="e">
        <f>(E118+F118)/D118</f>
        <v>#DIV/0!</v>
      </c>
      <c r="L118" s="21">
        <v>33</v>
      </c>
      <c r="M118" s="21">
        <f>D118/L118</f>
        <v>0</v>
      </c>
    </row>
    <row r="119" spans="1:13">
      <c r="A119" s="21" t="s">
        <v>17</v>
      </c>
      <c r="B119" s="21">
        <f>C111</f>
        <v>11525</v>
      </c>
      <c r="C119" s="21">
        <v>11525</v>
      </c>
      <c r="D119" s="21">
        <v>20</v>
      </c>
      <c r="E119" s="22">
        <v>819.26</v>
      </c>
      <c r="F119" s="21"/>
      <c r="G119" s="22">
        <v>6076.52</v>
      </c>
      <c r="H119" s="21">
        <v>315.27999999999997</v>
      </c>
      <c r="I119" s="21" t="s">
        <v>35</v>
      </c>
      <c r="J119" s="21" t="s">
        <v>18</v>
      </c>
      <c r="K119" s="22">
        <f>E119/D119</f>
        <v>40.963000000000001</v>
      </c>
      <c r="L119" s="21">
        <v>30</v>
      </c>
      <c r="M119" s="21">
        <f>D119/L119</f>
        <v>0.66666666666666663</v>
      </c>
    </row>
    <row r="120" spans="1:13">
      <c r="A120" s="20" t="s">
        <v>19</v>
      </c>
      <c r="B120" s="21"/>
      <c r="C120" s="21"/>
      <c r="D120" s="21"/>
      <c r="E120" s="23">
        <f>E118+F118+G118</f>
        <v>48303.9</v>
      </c>
      <c r="F120" s="21"/>
      <c r="G120" s="21"/>
      <c r="H120" s="21"/>
      <c r="I120" s="21"/>
      <c r="J120" s="21"/>
      <c r="K120" s="21"/>
      <c r="L120" s="21"/>
      <c r="M120" s="21"/>
    </row>
    <row r="121" spans="1:13">
      <c r="A121" s="20" t="s">
        <v>20</v>
      </c>
      <c r="B121" s="21"/>
      <c r="C121" s="21"/>
      <c r="D121" s="21"/>
      <c r="E121" s="23">
        <f>E119+F119+G119+H119</f>
        <v>7211.06</v>
      </c>
      <c r="F121" s="21"/>
      <c r="G121" s="21"/>
      <c r="H121" s="21"/>
      <c r="I121" s="21"/>
      <c r="J121" s="21"/>
      <c r="K121" s="21"/>
      <c r="L121" s="21"/>
      <c r="M121" s="21"/>
    </row>
    <row r="122" spans="1:13">
      <c r="A122" s="20" t="s">
        <v>21</v>
      </c>
      <c r="B122" s="21"/>
      <c r="C122" s="21"/>
      <c r="D122" s="21">
        <f>D118-D119</f>
        <v>-20</v>
      </c>
      <c r="E122" s="23">
        <f>E120-E121</f>
        <v>41092.840000000004</v>
      </c>
      <c r="F122" s="21"/>
      <c r="G122" s="21"/>
      <c r="H122" s="21"/>
      <c r="I122" s="21"/>
      <c r="J122" s="21"/>
      <c r="K122" s="21"/>
      <c r="L122" s="21"/>
      <c r="M122" s="21"/>
    </row>
    <row r="124" spans="1:13">
      <c r="A124" s="12">
        <v>45444</v>
      </c>
    </row>
    <row r="125" spans="1:13">
      <c r="A125" s="20" t="s">
        <v>1</v>
      </c>
      <c r="B125" s="20" t="s">
        <v>2</v>
      </c>
      <c r="C125" s="20" t="s">
        <v>3</v>
      </c>
      <c r="D125" s="20" t="s">
        <v>4</v>
      </c>
      <c r="E125" s="20" t="s">
        <v>5</v>
      </c>
      <c r="F125" s="20" t="s">
        <v>6</v>
      </c>
      <c r="G125" s="20" t="s">
        <v>7</v>
      </c>
      <c r="H125" s="20" t="s">
        <v>8</v>
      </c>
      <c r="I125" s="20" t="s">
        <v>9</v>
      </c>
      <c r="J125" s="20" t="s">
        <v>10</v>
      </c>
      <c r="K125" s="20" t="s">
        <v>11</v>
      </c>
      <c r="L125" s="20" t="s">
        <v>12</v>
      </c>
      <c r="M125" s="20" t="s">
        <v>13</v>
      </c>
    </row>
    <row r="126" spans="1:13">
      <c r="A126" s="21" t="s">
        <v>14</v>
      </c>
      <c r="B126" s="21">
        <v>1791</v>
      </c>
      <c r="C126" s="21">
        <v>3405</v>
      </c>
      <c r="D126" s="21">
        <f>C126-B126</f>
        <v>1614</v>
      </c>
      <c r="E126" s="22">
        <v>48303.9</v>
      </c>
      <c r="F126" s="21"/>
      <c r="G126" s="21"/>
      <c r="H126" s="21"/>
      <c r="I126" s="21" t="s">
        <v>37</v>
      </c>
      <c r="J126" s="21" t="s">
        <v>16</v>
      </c>
      <c r="K126" s="22">
        <f>(E126+F126)/D126</f>
        <v>29.928066914498142</v>
      </c>
      <c r="L126" s="21">
        <v>28</v>
      </c>
      <c r="M126" s="21">
        <f>D126/L126</f>
        <v>57.642857142857146</v>
      </c>
    </row>
    <row r="127" spans="1:13">
      <c r="A127" s="21" t="s">
        <v>17</v>
      </c>
      <c r="B127" s="21">
        <f>C119</f>
        <v>11525</v>
      </c>
      <c r="C127" s="21">
        <v>11525</v>
      </c>
      <c r="D127" s="21">
        <v>250</v>
      </c>
      <c r="E127" s="22">
        <v>10321.25</v>
      </c>
      <c r="F127" s="21"/>
      <c r="G127" s="22">
        <v>6434.74</v>
      </c>
      <c r="H127" s="21">
        <v>333.88</v>
      </c>
      <c r="I127" s="21" t="s">
        <v>35</v>
      </c>
      <c r="J127" s="21" t="s">
        <v>18</v>
      </c>
      <c r="K127" s="22">
        <f>E127/D127</f>
        <v>41.284999999999997</v>
      </c>
      <c r="L127" s="21">
        <v>30</v>
      </c>
      <c r="M127" s="21">
        <f>D127/L127</f>
        <v>8.3333333333333339</v>
      </c>
    </row>
    <row r="128" spans="1:13">
      <c r="A128" s="20" t="s">
        <v>19</v>
      </c>
      <c r="B128" s="21"/>
      <c r="C128" s="21"/>
      <c r="D128" s="21"/>
      <c r="E128" s="23">
        <f>E126+F126+G126</f>
        <v>48303.9</v>
      </c>
      <c r="F128" s="21"/>
      <c r="G128" s="21"/>
      <c r="H128" s="21"/>
      <c r="I128" s="21"/>
      <c r="J128" s="21"/>
      <c r="K128" s="21"/>
      <c r="L128" s="21"/>
      <c r="M128" s="21"/>
    </row>
    <row r="129" spans="1:13">
      <c r="A129" s="20" t="s">
        <v>20</v>
      </c>
      <c r="B129" s="21"/>
      <c r="C129" s="21"/>
      <c r="D129" s="21"/>
      <c r="E129" s="23">
        <f>E127+F127+G127+H127</f>
        <v>17089.87</v>
      </c>
      <c r="F129" s="21"/>
      <c r="G129" s="21"/>
      <c r="H129" s="21"/>
      <c r="I129" s="21"/>
      <c r="J129" s="21"/>
      <c r="K129" s="21"/>
      <c r="L129" s="21"/>
      <c r="M129" s="21"/>
    </row>
    <row r="130" spans="1:13">
      <c r="A130" s="20" t="s">
        <v>21</v>
      </c>
      <c r="B130" s="21"/>
      <c r="C130" s="21"/>
      <c r="D130" s="21">
        <f>D126-D127</f>
        <v>1364</v>
      </c>
      <c r="E130" s="23">
        <f>E128-E129</f>
        <v>31214.030000000002</v>
      </c>
      <c r="F130" s="21"/>
      <c r="G130" s="21"/>
      <c r="H130" s="21"/>
      <c r="I130" s="21"/>
      <c r="J130" s="21"/>
      <c r="K130" s="21"/>
      <c r="L130" s="21"/>
      <c r="M130" s="21"/>
    </row>
    <row r="132" spans="1:13">
      <c r="A132" s="12">
        <v>45474</v>
      </c>
    </row>
    <row r="133" spans="1:13">
      <c r="A133" s="20" t="s">
        <v>1</v>
      </c>
      <c r="B133" s="20" t="s">
        <v>2</v>
      </c>
      <c r="C133" s="20" t="s">
        <v>3</v>
      </c>
      <c r="D133" s="20" t="s">
        <v>4</v>
      </c>
      <c r="E133" s="20" t="s">
        <v>5</v>
      </c>
      <c r="F133" s="20" t="s">
        <v>6</v>
      </c>
      <c r="G133" s="20" t="s">
        <v>7</v>
      </c>
      <c r="H133" s="20" t="s">
        <v>8</v>
      </c>
      <c r="I133" s="20" t="s">
        <v>9</v>
      </c>
      <c r="J133" s="20" t="s">
        <v>10</v>
      </c>
      <c r="K133" s="20" t="s">
        <v>11</v>
      </c>
      <c r="L133" s="20" t="s">
        <v>12</v>
      </c>
      <c r="M133" s="20" t="s">
        <v>13</v>
      </c>
    </row>
    <row r="134" spans="1:13">
      <c r="A134" s="21" t="s">
        <v>14</v>
      </c>
      <c r="B134" s="21">
        <f>C126</f>
        <v>3405</v>
      </c>
      <c r="C134" s="21">
        <v>5079</v>
      </c>
      <c r="D134" s="21">
        <f>C134-B134</f>
        <v>1674</v>
      </c>
      <c r="E134" s="22">
        <f>44481.59*1.15</f>
        <v>51153.828499999989</v>
      </c>
      <c r="F134" s="21"/>
      <c r="G134" s="21"/>
      <c r="H134" s="21"/>
      <c r="I134" s="21" t="s">
        <v>38</v>
      </c>
      <c r="J134" s="21" t="s">
        <v>16</v>
      </c>
      <c r="K134" s="22">
        <f>(E134+F134)/D134</f>
        <v>30.557842592592586</v>
      </c>
      <c r="L134" s="21">
        <v>30</v>
      </c>
      <c r="M134" s="21">
        <f>D134/L134</f>
        <v>55.8</v>
      </c>
    </row>
    <row r="135" spans="1:13">
      <c r="A135" s="21" t="s">
        <v>17</v>
      </c>
      <c r="B135" s="21">
        <v>0</v>
      </c>
      <c r="C135" s="21">
        <v>5079</v>
      </c>
      <c r="D135" s="21">
        <f>C135-B135</f>
        <v>5079</v>
      </c>
      <c r="E135" s="22">
        <f>211377.39-10321.25</f>
        <v>201056.14</v>
      </c>
      <c r="F135" s="21"/>
      <c r="G135" s="22">
        <v>6434.74</v>
      </c>
      <c r="H135" s="21">
        <v>333.88</v>
      </c>
      <c r="I135" s="21" t="s">
        <v>39</v>
      </c>
      <c r="J135" s="21" t="s">
        <v>28</v>
      </c>
      <c r="K135" s="22">
        <f>E135/D135</f>
        <v>39.585772789919275</v>
      </c>
      <c r="L135" s="21">
        <v>118</v>
      </c>
      <c r="M135" s="21">
        <f>D135/L135</f>
        <v>43.042372881355931</v>
      </c>
    </row>
    <row r="136" spans="1:13">
      <c r="A136" s="20" t="s">
        <v>19</v>
      </c>
      <c r="B136" s="21"/>
      <c r="C136" s="21"/>
      <c r="D136" s="21"/>
      <c r="E136" s="23">
        <f>E134+F134+G134</f>
        <v>51153.828499999989</v>
      </c>
      <c r="F136" s="21"/>
      <c r="G136" s="21"/>
      <c r="H136" s="21"/>
      <c r="I136" s="21"/>
      <c r="J136" s="21"/>
      <c r="K136" s="21"/>
      <c r="L136" s="21"/>
      <c r="M136" s="21"/>
    </row>
    <row r="137" spans="1:13">
      <c r="A137" s="20" t="s">
        <v>20</v>
      </c>
      <c r="B137" s="21"/>
      <c r="C137" s="21"/>
      <c r="D137" s="21"/>
      <c r="E137" s="23">
        <f>E135+F135+G135+H135</f>
        <v>207824.76</v>
      </c>
      <c r="F137" s="21"/>
      <c r="G137" s="21"/>
      <c r="H137" s="21"/>
      <c r="I137" s="21"/>
      <c r="J137" s="21"/>
      <c r="K137" s="21"/>
      <c r="L137" s="21"/>
      <c r="M137" s="21"/>
    </row>
    <row r="138" spans="1:13">
      <c r="A138" s="20" t="s">
        <v>21</v>
      </c>
      <c r="B138" s="21"/>
      <c r="C138" s="21"/>
      <c r="D138" s="21">
        <f>D134-D135</f>
        <v>-3405</v>
      </c>
      <c r="E138" s="23">
        <f>E136-E137</f>
        <v>-156670.93150000001</v>
      </c>
      <c r="F138" s="21"/>
      <c r="G138" s="21"/>
      <c r="H138" s="21"/>
      <c r="I138" s="21"/>
      <c r="J138" s="21"/>
      <c r="K138" s="21"/>
      <c r="L138" s="21"/>
      <c r="M138" s="21"/>
    </row>
    <row r="140" spans="1:13">
      <c r="A140" s="12">
        <v>45505</v>
      </c>
    </row>
    <row r="141" spans="1:13">
      <c r="A141" s="20" t="s">
        <v>1</v>
      </c>
      <c r="B141" s="20" t="s">
        <v>2</v>
      </c>
      <c r="C141" s="20" t="s">
        <v>3</v>
      </c>
      <c r="D141" s="20" t="s">
        <v>4</v>
      </c>
      <c r="E141" s="20" t="s">
        <v>5</v>
      </c>
      <c r="F141" s="20" t="s">
        <v>6</v>
      </c>
      <c r="G141" s="20" t="s">
        <v>7</v>
      </c>
      <c r="H141" s="20" t="s">
        <v>8</v>
      </c>
      <c r="I141" s="20" t="s">
        <v>9</v>
      </c>
      <c r="J141" s="20" t="s">
        <v>10</v>
      </c>
      <c r="K141" s="20" t="s">
        <v>11</v>
      </c>
      <c r="L141" s="20" t="s">
        <v>12</v>
      </c>
      <c r="M141" s="20" t="s">
        <v>13</v>
      </c>
    </row>
    <row r="142" spans="1:13">
      <c r="A142" s="21" t="s">
        <v>14</v>
      </c>
      <c r="B142" s="21">
        <f>C134</f>
        <v>5079</v>
      </c>
      <c r="C142" s="21">
        <v>8192</v>
      </c>
      <c r="D142" s="21">
        <f>C142-B142</f>
        <v>3113</v>
      </c>
      <c r="E142" s="22">
        <f>44481.59*1.15</f>
        <v>51153.828499999989</v>
      </c>
      <c r="F142" s="21"/>
      <c r="G142" s="21"/>
      <c r="H142" s="21"/>
      <c r="I142" s="21" t="s">
        <v>40</v>
      </c>
      <c r="J142" s="21" t="s">
        <v>16</v>
      </c>
      <c r="K142" s="22">
        <f>(E142+F142)/D142</f>
        <v>16.432325248955987</v>
      </c>
      <c r="L142" s="21">
        <v>32</v>
      </c>
      <c r="M142" s="21">
        <f>D142/L142</f>
        <v>97.28125</v>
      </c>
    </row>
    <row r="143" spans="1:13">
      <c r="A143" s="21" t="s">
        <v>17</v>
      </c>
      <c r="B143" s="21">
        <v>5079</v>
      </c>
      <c r="C143" s="21">
        <v>8192</v>
      </c>
      <c r="D143" s="21">
        <f>C143-B143</f>
        <v>3113</v>
      </c>
      <c r="E143" s="22">
        <f>135035.71</f>
        <v>135035.71</v>
      </c>
      <c r="F143" s="21"/>
      <c r="G143" s="22">
        <v>6434.74</v>
      </c>
      <c r="H143" s="21">
        <v>333.88</v>
      </c>
      <c r="I143" s="21" t="s">
        <v>40</v>
      </c>
      <c r="J143" s="21" t="s">
        <v>28</v>
      </c>
      <c r="K143" s="22">
        <f>E143/D143</f>
        <v>43.37799871506585</v>
      </c>
      <c r="L143" s="21">
        <v>32</v>
      </c>
      <c r="M143" s="21">
        <f>D143/L143</f>
        <v>97.28125</v>
      </c>
    </row>
    <row r="144" spans="1:13">
      <c r="A144" s="20" t="s">
        <v>19</v>
      </c>
      <c r="B144" s="21"/>
      <c r="C144" s="21"/>
      <c r="D144" s="21"/>
      <c r="E144" s="23">
        <f>E142+F142+G142</f>
        <v>51153.828499999989</v>
      </c>
      <c r="F144" s="21"/>
      <c r="G144" s="21"/>
      <c r="H144" s="21"/>
      <c r="I144" s="21"/>
      <c r="J144" s="21"/>
      <c r="K144" s="21"/>
      <c r="L144" s="21"/>
      <c r="M144" s="21"/>
    </row>
    <row r="145" spans="1:13">
      <c r="A145" s="20" t="s">
        <v>20</v>
      </c>
      <c r="B145" s="21"/>
      <c r="C145" s="21"/>
      <c r="D145" s="21"/>
      <c r="E145" s="23">
        <f>E143+F143+G143+H143</f>
        <v>141804.32999999999</v>
      </c>
      <c r="F145" s="21"/>
      <c r="G145" s="21"/>
      <c r="H145" s="21"/>
      <c r="I145" s="21"/>
      <c r="J145" s="21"/>
      <c r="K145" s="21"/>
      <c r="L145" s="21"/>
      <c r="M145" s="21"/>
    </row>
    <row r="146" spans="1:13">
      <c r="A146" s="20" t="s">
        <v>21</v>
      </c>
      <c r="B146" s="21"/>
      <c r="C146" s="21"/>
      <c r="D146" s="21">
        <f>D142-D143</f>
        <v>0</v>
      </c>
      <c r="E146" s="23">
        <f>E144-E145</f>
        <v>-90650.501499999998</v>
      </c>
      <c r="F146" s="21"/>
      <c r="G146" s="21"/>
      <c r="H146" s="21"/>
      <c r="I146" s="21"/>
      <c r="J146" s="21"/>
      <c r="K146" s="21"/>
      <c r="L146" s="21"/>
      <c r="M146" s="21"/>
    </row>
    <row r="148" spans="1:13">
      <c r="A148" s="12">
        <v>45536</v>
      </c>
    </row>
    <row r="149" spans="1:13">
      <c r="A149" s="20" t="s">
        <v>1</v>
      </c>
      <c r="B149" s="20" t="s">
        <v>2</v>
      </c>
      <c r="C149" s="20" t="s">
        <v>3</v>
      </c>
      <c r="D149" s="20" t="s">
        <v>4</v>
      </c>
      <c r="E149" s="20" t="s">
        <v>5</v>
      </c>
      <c r="F149" s="20" t="s">
        <v>6</v>
      </c>
      <c r="G149" s="20" t="s">
        <v>7</v>
      </c>
      <c r="H149" s="20" t="s">
        <v>8</v>
      </c>
      <c r="I149" s="20" t="s">
        <v>9</v>
      </c>
      <c r="J149" s="20" t="s">
        <v>10</v>
      </c>
      <c r="K149" s="20" t="s">
        <v>11</v>
      </c>
      <c r="L149" s="20" t="s">
        <v>12</v>
      </c>
      <c r="M149" s="20" t="s">
        <v>13</v>
      </c>
    </row>
    <row r="150" spans="1:13">
      <c r="A150" s="21" t="s">
        <v>14</v>
      </c>
      <c r="B150" s="21">
        <f>C142</f>
        <v>8192</v>
      </c>
      <c r="C150" s="21">
        <v>10769</v>
      </c>
      <c r="D150" s="21">
        <f>C150-B150</f>
        <v>2577</v>
      </c>
      <c r="E150" s="22">
        <f>44481.59*1.15</f>
        <v>51153.828499999989</v>
      </c>
      <c r="F150" s="21"/>
      <c r="G150" s="21"/>
      <c r="H150" s="21"/>
      <c r="I150" s="21" t="s">
        <v>41</v>
      </c>
      <c r="J150" s="21" t="s">
        <v>16</v>
      </c>
      <c r="K150" s="22">
        <f>(E150+F150)/D150</f>
        <v>19.850146876212644</v>
      </c>
      <c r="L150" s="21">
        <v>30</v>
      </c>
      <c r="M150" s="21">
        <f>D150/L150</f>
        <v>85.9</v>
      </c>
    </row>
    <row r="151" spans="1:13">
      <c r="A151" s="21" t="s">
        <v>17</v>
      </c>
      <c r="B151" s="21">
        <v>5079</v>
      </c>
      <c r="C151" s="21">
        <v>8192</v>
      </c>
      <c r="D151" s="21">
        <f>C151-B151</f>
        <v>3113</v>
      </c>
      <c r="E151" s="22">
        <f>135035.71</f>
        <v>135035.71</v>
      </c>
      <c r="F151" s="21"/>
      <c r="G151" s="22">
        <v>6434.74</v>
      </c>
      <c r="H151" s="21">
        <v>333.88</v>
      </c>
      <c r="I151" s="21" t="s">
        <v>40</v>
      </c>
      <c r="J151" s="21" t="s">
        <v>28</v>
      </c>
      <c r="K151" s="22">
        <f>E151/D151</f>
        <v>43.37799871506585</v>
      </c>
      <c r="L151" s="21">
        <v>32</v>
      </c>
      <c r="M151" s="21">
        <f>D151/L151</f>
        <v>97.28125</v>
      </c>
    </row>
    <row r="152" spans="1:13">
      <c r="A152" s="20" t="s">
        <v>19</v>
      </c>
      <c r="B152" s="21"/>
      <c r="C152" s="21"/>
      <c r="D152" s="21"/>
      <c r="E152" s="23">
        <f>E150+F150+G150</f>
        <v>51153.828499999989</v>
      </c>
      <c r="F152" s="21"/>
      <c r="G152" s="21"/>
      <c r="H152" s="21"/>
      <c r="I152" s="21"/>
      <c r="J152" s="21"/>
      <c r="K152" s="21"/>
      <c r="L152" s="21"/>
      <c r="M152" s="21"/>
    </row>
    <row r="153" spans="1:13">
      <c r="A153" s="20" t="s">
        <v>20</v>
      </c>
      <c r="B153" s="21"/>
      <c r="C153" s="21"/>
      <c r="D153" s="21"/>
      <c r="E153" s="23">
        <f>E151+F151+G151+H151</f>
        <v>141804.32999999999</v>
      </c>
      <c r="F153" s="21"/>
      <c r="G153" s="21"/>
      <c r="H153" s="21"/>
      <c r="I153" s="21"/>
      <c r="J153" s="21"/>
      <c r="K153" s="21"/>
      <c r="L153" s="21"/>
      <c r="M153" s="21"/>
    </row>
    <row r="154" spans="1:13">
      <c r="A154" s="20" t="s">
        <v>21</v>
      </c>
      <c r="B154" s="21"/>
      <c r="C154" s="21"/>
      <c r="D154" s="21">
        <f>D150-D151</f>
        <v>-536</v>
      </c>
      <c r="E154" s="23">
        <f>E152-E153</f>
        <v>-90650.501499999998</v>
      </c>
      <c r="F154" s="21"/>
      <c r="G154" s="21"/>
      <c r="H154" s="21"/>
      <c r="I154" s="21"/>
      <c r="J154" s="21"/>
      <c r="K154" s="21"/>
      <c r="L154" s="21"/>
      <c r="M154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488B-15C3-477D-8826-F036BA2A5021}">
  <dimension ref="A1:V15"/>
  <sheetViews>
    <sheetView tabSelected="1" workbookViewId="0">
      <selection activeCell="U8" sqref="U8"/>
    </sheetView>
  </sheetViews>
  <sheetFormatPr defaultRowHeight="15"/>
  <cols>
    <col min="11" max="11" width="9.140625" customWidth="1"/>
    <col min="12" max="14" width="12.7109375" hidden="1" customWidth="1"/>
    <col min="16" max="17" width="12.7109375" hidden="1" customWidth="1"/>
    <col min="18" max="18" width="21" hidden="1" customWidth="1"/>
    <col min="20" max="21" width="13.28515625" bestFit="1" customWidth="1"/>
    <col min="22" max="22" width="13.42578125" bestFit="1" customWidth="1"/>
  </cols>
  <sheetData>
    <row r="1" spans="1:22" ht="18.75">
      <c r="A1" s="6" t="s">
        <v>0</v>
      </c>
    </row>
    <row r="2" spans="1:22">
      <c r="L2" t="s">
        <v>42</v>
      </c>
      <c r="M2" t="s">
        <v>43</v>
      </c>
      <c r="P2" t="s">
        <v>42</v>
      </c>
      <c r="Q2" t="s">
        <v>43</v>
      </c>
      <c r="T2" t="s">
        <v>42</v>
      </c>
      <c r="U2" t="s">
        <v>43</v>
      </c>
    </row>
    <row r="3" spans="1:22">
      <c r="K3" s="12">
        <v>44743</v>
      </c>
      <c r="L3" s="13"/>
      <c r="M3" s="13"/>
      <c r="N3" s="13"/>
      <c r="O3" s="12">
        <v>45108</v>
      </c>
      <c r="P3" s="13">
        <v>47767.19</v>
      </c>
      <c r="Q3" s="13">
        <v>7211.0634999999993</v>
      </c>
      <c r="R3" s="24" t="s">
        <v>44</v>
      </c>
      <c r="S3" s="12">
        <v>45474</v>
      </c>
      <c r="T3" s="13">
        <v>51153.828499999989</v>
      </c>
      <c r="U3" s="13">
        <v>207824.76</v>
      </c>
      <c r="V3" s="24"/>
    </row>
    <row r="4" spans="1:22">
      <c r="K4" s="12">
        <v>44774</v>
      </c>
      <c r="L4" s="13"/>
      <c r="M4" s="13"/>
      <c r="N4" s="13"/>
      <c r="O4" s="12">
        <v>45139</v>
      </c>
      <c r="P4" s="13">
        <v>47767.19</v>
      </c>
      <c r="Q4" s="13">
        <v>7620.6934999999994</v>
      </c>
      <c r="R4" s="24" t="s">
        <v>44</v>
      </c>
      <c r="S4" s="12">
        <v>45505</v>
      </c>
      <c r="T4" s="13">
        <v>51153.828499999989</v>
      </c>
      <c r="U4" s="13">
        <v>141804.32999999999</v>
      </c>
      <c r="V4" s="24"/>
    </row>
    <row r="5" spans="1:22">
      <c r="K5" s="12">
        <v>44805</v>
      </c>
      <c r="L5" s="13"/>
      <c r="M5" s="13"/>
      <c r="N5" s="13"/>
      <c r="O5" s="12">
        <v>45170</v>
      </c>
      <c r="P5" s="13">
        <v>47767.19</v>
      </c>
      <c r="Q5" s="13">
        <v>9869.7599999999966</v>
      </c>
      <c r="R5" s="24" t="s">
        <v>45</v>
      </c>
      <c r="S5" s="12">
        <v>45536</v>
      </c>
      <c r="T5" s="13">
        <v>51153.828499999989</v>
      </c>
      <c r="U5" s="13"/>
      <c r="V5" s="24"/>
    </row>
    <row r="6" spans="1:22">
      <c r="K6" s="12">
        <v>44835</v>
      </c>
      <c r="L6" s="13"/>
      <c r="M6" s="13"/>
      <c r="N6" s="13"/>
      <c r="O6" s="12">
        <v>45200</v>
      </c>
      <c r="P6" s="13">
        <v>47767.19</v>
      </c>
      <c r="Q6" s="13">
        <v>7620.68</v>
      </c>
      <c r="R6" s="24" t="s">
        <v>44</v>
      </c>
      <c r="S6" s="12">
        <v>45566</v>
      </c>
      <c r="T6" s="13"/>
      <c r="U6" s="13"/>
      <c r="V6" s="24"/>
    </row>
    <row r="7" spans="1:22">
      <c r="K7" s="12">
        <v>44866</v>
      </c>
      <c r="L7" s="13"/>
      <c r="M7" s="13"/>
      <c r="N7" s="13"/>
      <c r="O7" s="12">
        <v>45231</v>
      </c>
      <c r="P7" s="13">
        <v>47767.19</v>
      </c>
      <c r="Q7" s="13">
        <v>206823.75999999998</v>
      </c>
      <c r="R7" s="24" t="s">
        <v>45</v>
      </c>
      <c r="S7" s="12">
        <v>45597</v>
      </c>
      <c r="T7" s="13"/>
      <c r="U7" s="13"/>
      <c r="V7" s="24"/>
    </row>
    <row r="8" spans="1:22">
      <c r="K8" s="12">
        <v>44896</v>
      </c>
      <c r="L8" s="13"/>
      <c r="M8" s="13"/>
      <c r="N8" s="13"/>
      <c r="O8" s="12">
        <v>45261</v>
      </c>
      <c r="P8" s="13">
        <v>47767.19</v>
      </c>
      <c r="Q8" s="13">
        <v>7620.6900000000005</v>
      </c>
      <c r="R8" s="24" t="s">
        <v>44</v>
      </c>
      <c r="S8" s="12">
        <v>45627</v>
      </c>
      <c r="T8" s="13"/>
      <c r="U8" s="13"/>
      <c r="V8" s="24"/>
    </row>
    <row r="9" spans="1:22">
      <c r="K9" s="12">
        <v>44927</v>
      </c>
      <c r="L9" s="13"/>
      <c r="M9" s="13"/>
      <c r="N9" s="13"/>
      <c r="O9" s="12">
        <v>45292</v>
      </c>
      <c r="P9" s="13">
        <v>48303.9</v>
      </c>
      <c r="Q9" s="13">
        <v>56858.22</v>
      </c>
      <c r="R9" s="24" t="s">
        <v>45</v>
      </c>
      <c r="S9" s="12">
        <v>45658</v>
      </c>
      <c r="T9" s="13"/>
      <c r="U9" s="13"/>
      <c r="V9" s="24"/>
    </row>
    <row r="10" spans="1:22">
      <c r="K10" s="12">
        <v>44958</v>
      </c>
      <c r="L10" s="13"/>
      <c r="M10" s="13"/>
      <c r="N10" s="13"/>
      <c r="O10" s="12">
        <v>45323</v>
      </c>
      <c r="P10" s="13">
        <v>48303.9</v>
      </c>
      <c r="Q10" s="13">
        <v>21507.15</v>
      </c>
      <c r="R10" s="24" t="s">
        <v>46</v>
      </c>
      <c r="S10" s="12">
        <v>45689</v>
      </c>
      <c r="T10" s="13"/>
      <c r="U10" s="13"/>
      <c r="V10" s="24"/>
    </row>
    <row r="11" spans="1:22">
      <c r="K11" s="12">
        <v>44986</v>
      </c>
      <c r="L11" s="13">
        <v>47767.19</v>
      </c>
      <c r="M11" s="13">
        <v>6978.8784999999998</v>
      </c>
      <c r="N11" s="13"/>
      <c r="O11" s="12">
        <v>45352</v>
      </c>
      <c r="P11" s="13">
        <v>48303.9</v>
      </c>
      <c r="Q11" s="13">
        <v>208789.97999999998</v>
      </c>
      <c r="R11" s="24" t="s">
        <v>47</v>
      </c>
      <c r="S11" s="12">
        <v>45717</v>
      </c>
      <c r="T11" s="13"/>
      <c r="U11" s="13"/>
      <c r="V11" s="24"/>
    </row>
    <row r="12" spans="1:22">
      <c r="K12" s="12">
        <v>45017</v>
      </c>
      <c r="L12" s="13">
        <v>47767.19</v>
      </c>
      <c r="M12" s="13">
        <v>6978.8784999999998</v>
      </c>
      <c r="N12" s="13"/>
      <c r="O12" s="12">
        <v>45383</v>
      </c>
      <c r="P12" s="13">
        <v>48303.9</v>
      </c>
      <c r="Q12" s="13">
        <v>7620.6900000000005</v>
      </c>
      <c r="R12" s="24" t="s">
        <v>44</v>
      </c>
      <c r="S12" s="12">
        <v>45748</v>
      </c>
      <c r="T12" s="13"/>
      <c r="U12" s="13"/>
      <c r="V12" s="24"/>
    </row>
    <row r="13" spans="1:22">
      <c r="K13" s="12">
        <v>45047</v>
      </c>
      <c r="L13" s="13">
        <v>47767.19</v>
      </c>
      <c r="M13" s="13">
        <v>6603.7485000000006</v>
      </c>
      <c r="N13" s="13"/>
      <c r="O13" s="12">
        <v>45413</v>
      </c>
      <c r="P13" s="13">
        <v>48303.9</v>
      </c>
      <c r="Q13" s="13">
        <v>7211.06</v>
      </c>
      <c r="R13" s="24" t="s">
        <v>44</v>
      </c>
      <c r="S13" s="12">
        <v>45778</v>
      </c>
      <c r="T13" s="13"/>
      <c r="U13" s="13"/>
      <c r="V13" s="24"/>
    </row>
    <row r="14" spans="1:22">
      <c r="K14" s="12">
        <v>45078</v>
      </c>
      <c r="L14" s="14">
        <v>47767.19</v>
      </c>
      <c r="M14" s="14">
        <v>7151.2634999999991</v>
      </c>
      <c r="N14" s="14"/>
      <c r="O14" s="12">
        <v>45444</v>
      </c>
      <c r="P14" s="13">
        <v>48303.9</v>
      </c>
      <c r="Q14" s="13">
        <v>17089.87</v>
      </c>
      <c r="R14" s="24" t="s">
        <v>44</v>
      </c>
      <c r="S14" s="12">
        <v>45809</v>
      </c>
      <c r="T14" s="14"/>
      <c r="U14" s="14"/>
      <c r="V14" s="25"/>
    </row>
    <row r="15" spans="1:22">
      <c r="L15" s="15">
        <f>SUM(L3:L14)</f>
        <v>191068.76</v>
      </c>
      <c r="M15" s="15">
        <f>SUM(M3:M14)</f>
        <v>27712.769</v>
      </c>
      <c r="N15" s="15">
        <f>L15-M15</f>
        <v>163355.99100000001</v>
      </c>
      <c r="O15" s="5"/>
      <c r="P15" s="26">
        <f>SUM(P3:P14)</f>
        <v>576426.54000000015</v>
      </c>
      <c r="Q15" s="26">
        <f>SUM(Q3:Q14)</f>
        <v>565843.61699999997</v>
      </c>
      <c r="R15" s="26">
        <f>P15-Q15</f>
        <v>10582.923000000184</v>
      </c>
      <c r="S15" s="5"/>
      <c r="T15" s="15">
        <f>SUM(T3:T14)</f>
        <v>153461.48549999995</v>
      </c>
      <c r="U15" s="15">
        <f>SUM(U3:U14)</f>
        <v>349629.08999999997</v>
      </c>
      <c r="V15" s="15">
        <f>T15-U15</f>
        <v>-196167.60450000002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D157-8F76-4444-9B54-5E19040000C4}">
  <dimension ref="A1:U35"/>
  <sheetViews>
    <sheetView workbookViewId="0">
      <selection activeCell="S7" sqref="S7"/>
    </sheetView>
  </sheetViews>
  <sheetFormatPr defaultRowHeight="15"/>
  <cols>
    <col min="12" max="13" width="9.140625" hidden="1" customWidth="1"/>
    <col min="15" max="16" width="9.5703125" hidden="1" customWidth="1"/>
    <col min="17" max="17" width="22" hidden="1" customWidth="1"/>
    <col min="21" max="21" width="20.28515625" bestFit="1" customWidth="1"/>
  </cols>
  <sheetData>
    <row r="1" spans="1:21" ht="18.75">
      <c r="A1" s="6" t="s">
        <v>0</v>
      </c>
    </row>
    <row r="3" spans="1:21">
      <c r="K3" s="1"/>
      <c r="L3" s="1" t="s">
        <v>42</v>
      </c>
      <c r="M3" s="1" t="s">
        <v>43</v>
      </c>
      <c r="N3" s="1"/>
      <c r="O3" s="1" t="s">
        <v>42</v>
      </c>
      <c r="P3" s="1" t="s">
        <v>43</v>
      </c>
      <c r="Q3" s="1" t="s">
        <v>48</v>
      </c>
      <c r="S3" s="1" t="s">
        <v>42</v>
      </c>
      <c r="T3" s="1" t="s">
        <v>43</v>
      </c>
      <c r="U3" s="1" t="s">
        <v>48</v>
      </c>
    </row>
    <row r="4" spans="1:21">
      <c r="K4" s="12">
        <v>44743</v>
      </c>
      <c r="L4" s="1"/>
      <c r="M4" s="1"/>
      <c r="N4" s="12">
        <v>45108</v>
      </c>
      <c r="O4" s="16"/>
      <c r="P4" s="16">
        <v>20</v>
      </c>
      <c r="Q4" s="24" t="s">
        <v>44</v>
      </c>
      <c r="R4" s="12">
        <v>45474</v>
      </c>
      <c r="S4" s="16">
        <v>1674</v>
      </c>
      <c r="T4" s="16">
        <v>5079</v>
      </c>
      <c r="U4" s="24" t="s">
        <v>49</v>
      </c>
    </row>
    <row r="5" spans="1:21">
      <c r="K5" s="12">
        <v>44774</v>
      </c>
      <c r="L5" s="1"/>
      <c r="M5" s="1"/>
      <c r="N5" s="12">
        <v>45139</v>
      </c>
      <c r="O5" s="16"/>
      <c r="P5" s="16">
        <v>30</v>
      </c>
      <c r="Q5" s="24" t="s">
        <v>44</v>
      </c>
      <c r="R5" s="12">
        <v>45505</v>
      </c>
      <c r="S5" s="16">
        <v>3113</v>
      </c>
      <c r="T5" s="16">
        <v>97</v>
      </c>
      <c r="U5" s="24" t="s">
        <v>46</v>
      </c>
    </row>
    <row r="6" spans="1:21">
      <c r="K6" s="12">
        <v>44805</v>
      </c>
      <c r="L6" s="1"/>
      <c r="M6" s="1"/>
      <c r="N6" s="12">
        <v>45170</v>
      </c>
      <c r="O6" s="16"/>
      <c r="P6" s="16">
        <v>600</v>
      </c>
      <c r="Q6" s="24" t="s">
        <v>45</v>
      </c>
      <c r="R6" s="12">
        <v>45536</v>
      </c>
      <c r="S6" s="16">
        <v>2577</v>
      </c>
      <c r="T6" s="16"/>
      <c r="U6" s="24"/>
    </row>
    <row r="7" spans="1:21">
      <c r="K7" s="12">
        <v>44835</v>
      </c>
      <c r="L7" s="1"/>
      <c r="M7" s="1"/>
      <c r="N7" s="12">
        <v>45200</v>
      </c>
      <c r="O7" s="16"/>
      <c r="P7" s="16">
        <v>30</v>
      </c>
      <c r="Q7" s="24" t="s">
        <v>44</v>
      </c>
      <c r="R7" s="12">
        <v>45566</v>
      </c>
      <c r="S7" s="16"/>
      <c r="T7" s="16"/>
      <c r="U7" s="24"/>
    </row>
    <row r="8" spans="1:21">
      <c r="K8" s="12">
        <v>44866</v>
      </c>
      <c r="L8" s="1"/>
      <c r="M8" s="1"/>
      <c r="N8" s="12">
        <v>45231</v>
      </c>
      <c r="O8" s="16"/>
      <c r="P8" s="16">
        <v>4923</v>
      </c>
      <c r="Q8" s="24" t="s">
        <v>45</v>
      </c>
      <c r="R8" s="12">
        <v>45597</v>
      </c>
      <c r="S8" s="16"/>
      <c r="T8" s="16"/>
      <c r="U8" s="24"/>
    </row>
    <row r="9" spans="1:21">
      <c r="K9" s="12">
        <v>44896</v>
      </c>
      <c r="L9" s="1"/>
      <c r="M9" s="1"/>
      <c r="N9" s="12">
        <v>45261</v>
      </c>
      <c r="O9" s="16"/>
      <c r="P9" s="16">
        <v>30</v>
      </c>
      <c r="Q9" s="24" t="s">
        <v>44</v>
      </c>
      <c r="R9" s="12">
        <v>45627</v>
      </c>
      <c r="S9" s="16"/>
      <c r="T9" s="16"/>
      <c r="U9" s="24"/>
    </row>
    <row r="10" spans="1:21">
      <c r="K10" s="12">
        <v>44927</v>
      </c>
      <c r="L10" s="1"/>
      <c r="M10" s="1"/>
      <c r="N10" s="12">
        <v>45292</v>
      </c>
      <c r="O10" s="16"/>
      <c r="P10" s="16">
        <v>1262</v>
      </c>
      <c r="Q10" s="24" t="s">
        <v>45</v>
      </c>
      <c r="R10" s="12">
        <v>45658</v>
      </c>
      <c r="S10" s="16"/>
      <c r="T10" s="16"/>
      <c r="U10" s="24"/>
    </row>
    <row r="11" spans="1:21">
      <c r="K11" s="12">
        <v>44958</v>
      </c>
      <c r="L11" s="1"/>
      <c r="M11" s="1"/>
      <c r="N11" s="12">
        <v>45323</v>
      </c>
      <c r="O11" s="16"/>
      <c r="P11" s="16">
        <v>369</v>
      </c>
      <c r="Q11" s="24" t="s">
        <v>44</v>
      </c>
      <c r="R11" s="12">
        <v>45689</v>
      </c>
      <c r="S11" s="16"/>
      <c r="T11" s="16"/>
      <c r="U11" s="24"/>
    </row>
    <row r="12" spans="1:21">
      <c r="K12" s="12">
        <v>44986</v>
      </c>
      <c r="L12" s="1"/>
      <c r="M12" s="1">
        <v>30</v>
      </c>
      <c r="N12" s="12">
        <v>45352</v>
      </c>
      <c r="O12" s="16">
        <v>4434</v>
      </c>
      <c r="P12" s="16">
        <v>4941</v>
      </c>
      <c r="Q12" s="24" t="s">
        <v>50</v>
      </c>
      <c r="R12" s="12">
        <v>45717</v>
      </c>
      <c r="S12" s="16"/>
      <c r="T12" s="16"/>
      <c r="U12" s="24"/>
    </row>
    <row r="13" spans="1:21">
      <c r="K13" s="12">
        <v>45017</v>
      </c>
      <c r="L13" s="1"/>
      <c r="M13" s="1">
        <v>30</v>
      </c>
      <c r="N13" s="12">
        <v>45383</v>
      </c>
      <c r="O13" s="16"/>
      <c r="P13" s="16">
        <v>30</v>
      </c>
      <c r="Q13" s="24" t="s">
        <v>44</v>
      </c>
      <c r="R13" s="12">
        <v>45748</v>
      </c>
      <c r="S13" s="16"/>
      <c r="T13" s="16"/>
      <c r="U13" s="24"/>
    </row>
    <row r="14" spans="1:21">
      <c r="K14" s="12">
        <v>45047</v>
      </c>
      <c r="M14" s="1">
        <v>20</v>
      </c>
      <c r="N14" s="12">
        <v>45413</v>
      </c>
      <c r="O14" s="16"/>
      <c r="P14" s="16">
        <v>20</v>
      </c>
      <c r="Q14" s="24" t="s">
        <v>44</v>
      </c>
      <c r="R14" s="12">
        <v>45778</v>
      </c>
      <c r="S14" s="16"/>
      <c r="T14" s="16"/>
      <c r="U14" s="24"/>
    </row>
    <row r="15" spans="1:21">
      <c r="K15" s="12">
        <v>45078</v>
      </c>
      <c r="L15" s="1"/>
      <c r="M15" s="1">
        <v>20</v>
      </c>
      <c r="N15" s="12">
        <v>45444</v>
      </c>
      <c r="O15" s="16">
        <v>1614</v>
      </c>
      <c r="P15" s="16">
        <v>250</v>
      </c>
      <c r="Q15" s="24"/>
      <c r="R15" s="12">
        <v>45809</v>
      </c>
      <c r="S15" s="16"/>
      <c r="T15" s="16"/>
      <c r="U15" s="24"/>
    </row>
    <row r="16" spans="1:21">
      <c r="K16" s="1"/>
      <c r="L16" s="1"/>
      <c r="M16" s="1"/>
      <c r="N16" s="1"/>
      <c r="O16" s="1"/>
      <c r="P16" s="1"/>
    </row>
    <row r="17" spans="11:21">
      <c r="K17" s="1"/>
      <c r="L17" s="1"/>
      <c r="M17" s="1"/>
      <c r="N17" s="1"/>
      <c r="O17" s="1"/>
      <c r="P17" s="1"/>
    </row>
    <row r="23" spans="11:21">
      <c r="K23" s="1"/>
      <c r="L23" s="1" t="s">
        <v>42</v>
      </c>
      <c r="M23" s="1" t="s">
        <v>43</v>
      </c>
      <c r="N23" s="1"/>
      <c r="O23" s="1" t="s">
        <v>42</v>
      </c>
      <c r="P23" s="1" t="s">
        <v>43</v>
      </c>
      <c r="Q23" s="1" t="s">
        <v>48</v>
      </c>
      <c r="S23" s="1" t="s">
        <v>42</v>
      </c>
      <c r="T23" s="1" t="s">
        <v>43</v>
      </c>
      <c r="U23" s="1" t="s">
        <v>48</v>
      </c>
    </row>
    <row r="24" spans="11:21">
      <c r="K24" s="12">
        <v>44743</v>
      </c>
      <c r="L24" s="1"/>
      <c r="M24" s="1"/>
      <c r="N24" s="12">
        <v>45108</v>
      </c>
      <c r="O24" s="16"/>
      <c r="P24" s="16">
        <v>1</v>
      </c>
      <c r="R24" s="12">
        <v>45474</v>
      </c>
      <c r="S24" s="16">
        <v>56</v>
      </c>
      <c r="T24" s="16">
        <v>43</v>
      </c>
      <c r="U24" s="24" t="s">
        <v>49</v>
      </c>
    </row>
    <row r="25" spans="11:21">
      <c r="K25" s="12">
        <v>44774</v>
      </c>
      <c r="L25" s="1"/>
      <c r="M25" s="1"/>
      <c r="N25" s="12">
        <v>45139</v>
      </c>
      <c r="O25" s="16"/>
      <c r="P25" s="16">
        <v>1</v>
      </c>
      <c r="R25" s="12">
        <v>45505</v>
      </c>
      <c r="S25" s="16">
        <v>3113</v>
      </c>
      <c r="T25" s="16">
        <v>97</v>
      </c>
      <c r="U25" s="24" t="s">
        <v>46</v>
      </c>
    </row>
    <row r="26" spans="11:21">
      <c r="K26" s="12">
        <v>44805</v>
      </c>
      <c r="L26" s="1"/>
      <c r="M26" s="1"/>
      <c r="N26" s="12">
        <v>45170</v>
      </c>
      <c r="O26" s="16"/>
      <c r="P26" s="16">
        <v>1</v>
      </c>
      <c r="R26" s="12">
        <v>45536</v>
      </c>
      <c r="S26" s="16">
        <v>86</v>
      </c>
      <c r="T26" s="16"/>
    </row>
    <row r="27" spans="11:21">
      <c r="K27" s="12">
        <v>44835</v>
      </c>
      <c r="L27" s="1"/>
      <c r="M27" s="1"/>
      <c r="N27" s="12">
        <v>45200</v>
      </c>
      <c r="O27" s="16"/>
      <c r="P27" s="16">
        <v>1</v>
      </c>
      <c r="R27" s="12">
        <v>45566</v>
      </c>
      <c r="S27" s="16"/>
      <c r="T27" s="16"/>
    </row>
    <row r="28" spans="11:21">
      <c r="K28" s="12">
        <v>44866</v>
      </c>
      <c r="L28" s="1"/>
      <c r="M28" s="1"/>
      <c r="N28" s="12">
        <v>45231</v>
      </c>
      <c r="O28" s="16"/>
      <c r="P28" s="16">
        <v>35.164285714285711</v>
      </c>
      <c r="R28" s="12">
        <v>45597</v>
      </c>
      <c r="S28" s="16"/>
      <c r="T28" s="16"/>
    </row>
    <row r="29" spans="11:21">
      <c r="K29" s="12">
        <v>44896</v>
      </c>
      <c r="L29" s="1"/>
      <c r="M29" s="1"/>
      <c r="N29" s="12">
        <v>45261</v>
      </c>
      <c r="O29" s="16"/>
      <c r="P29" s="16">
        <v>1</v>
      </c>
      <c r="R29" s="12">
        <v>45627</v>
      </c>
      <c r="S29" s="16"/>
      <c r="T29" s="16"/>
    </row>
    <row r="30" spans="11:21">
      <c r="K30" s="12">
        <v>44927</v>
      </c>
      <c r="L30" s="1"/>
      <c r="M30" s="1"/>
      <c r="N30" s="12">
        <v>45292</v>
      </c>
      <c r="O30" s="16"/>
      <c r="P30" s="16">
        <v>20</v>
      </c>
      <c r="R30" s="12">
        <v>45658</v>
      </c>
      <c r="S30" s="16"/>
      <c r="T30" s="16"/>
    </row>
    <row r="31" spans="11:21">
      <c r="K31" s="12">
        <v>44958</v>
      </c>
      <c r="L31" s="1"/>
      <c r="M31" s="1"/>
      <c r="N31" s="12">
        <v>45323</v>
      </c>
      <c r="O31" s="16"/>
      <c r="P31" s="16">
        <v>12</v>
      </c>
      <c r="R31" s="12">
        <v>45689</v>
      </c>
      <c r="S31" s="16"/>
      <c r="T31" s="16"/>
    </row>
    <row r="32" spans="11:21">
      <c r="K32" s="12">
        <v>44986</v>
      </c>
      <c r="L32" s="1"/>
      <c r="M32" s="16">
        <v>1</v>
      </c>
      <c r="N32" s="12">
        <v>45352</v>
      </c>
      <c r="O32" s="16">
        <v>143</v>
      </c>
      <c r="P32" s="16">
        <v>164.7</v>
      </c>
      <c r="R32" s="12">
        <v>45717</v>
      </c>
      <c r="S32" s="16"/>
      <c r="T32" s="16"/>
    </row>
    <row r="33" spans="11:20">
      <c r="K33" s="12">
        <v>45017</v>
      </c>
      <c r="L33" s="16"/>
      <c r="M33" s="16">
        <v>1</v>
      </c>
      <c r="N33" s="12">
        <v>45383</v>
      </c>
      <c r="O33" s="16"/>
      <c r="P33" s="16">
        <v>1</v>
      </c>
      <c r="R33" s="12">
        <v>45748</v>
      </c>
      <c r="S33" s="16"/>
      <c r="T33" s="16"/>
    </row>
    <row r="34" spans="11:20">
      <c r="K34" s="12">
        <v>45047</v>
      </c>
      <c r="L34" s="16"/>
      <c r="M34" s="16">
        <v>1</v>
      </c>
      <c r="N34" s="12">
        <v>45413</v>
      </c>
      <c r="O34" s="16"/>
      <c r="P34" s="16">
        <v>1</v>
      </c>
      <c r="R34" s="12">
        <v>45778</v>
      </c>
      <c r="S34" s="16"/>
      <c r="T34" s="16"/>
    </row>
    <row r="35" spans="11:20">
      <c r="K35" s="12">
        <v>45078</v>
      </c>
      <c r="L35" s="16"/>
      <c r="M35" s="17">
        <v>1</v>
      </c>
      <c r="N35" s="12">
        <v>45444</v>
      </c>
      <c r="O35" s="16">
        <v>58</v>
      </c>
      <c r="P35" s="16">
        <v>8</v>
      </c>
      <c r="R35" s="12">
        <v>45809</v>
      </c>
      <c r="S35" s="16"/>
      <c r="T35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900-45F5-4AD0-AD59-5AFB6B9B773F}">
  <dimension ref="A1:T15"/>
  <sheetViews>
    <sheetView workbookViewId="0">
      <selection activeCell="R6" sqref="R6"/>
    </sheetView>
  </sheetViews>
  <sheetFormatPr defaultRowHeight="15"/>
  <cols>
    <col min="10" max="11" width="9.140625" hidden="1" customWidth="1"/>
    <col min="12" max="12" width="18.140625" hidden="1" customWidth="1"/>
    <col min="14" max="15" width="0" hidden="1" customWidth="1"/>
    <col min="16" max="16" width="20.28515625" hidden="1" customWidth="1"/>
  </cols>
  <sheetData>
    <row r="1" spans="1:20" ht="18.75">
      <c r="A1" s="6" t="s">
        <v>0</v>
      </c>
    </row>
    <row r="3" spans="1:20">
      <c r="J3" s="1" t="s">
        <v>42</v>
      </c>
      <c r="K3" s="1" t="s">
        <v>43</v>
      </c>
      <c r="L3" s="1"/>
      <c r="M3" s="1"/>
      <c r="N3" s="1" t="s">
        <v>42</v>
      </c>
      <c r="O3" s="1" t="s">
        <v>43</v>
      </c>
      <c r="P3" s="1"/>
      <c r="Q3" s="1"/>
      <c r="R3" s="1" t="s">
        <v>42</v>
      </c>
      <c r="S3" s="1" t="s">
        <v>43</v>
      </c>
      <c r="T3" s="1"/>
    </row>
    <row r="4" spans="1:20">
      <c r="I4" s="12">
        <v>44743</v>
      </c>
      <c r="J4" s="1"/>
      <c r="K4" s="1"/>
      <c r="L4" s="18"/>
      <c r="M4" s="12">
        <v>45108</v>
      </c>
      <c r="N4" s="19"/>
      <c r="O4" s="19">
        <v>40.962999999999994</v>
      </c>
      <c r="P4" s="18"/>
      <c r="Q4" s="12">
        <v>45474</v>
      </c>
      <c r="R4" s="19">
        <v>30.557842592592586</v>
      </c>
      <c r="S4" s="19">
        <v>39.585772789919275</v>
      </c>
      <c r="T4" s="18"/>
    </row>
    <row r="5" spans="1:20">
      <c r="I5" s="12">
        <v>44774</v>
      </c>
      <c r="J5" s="1"/>
      <c r="K5" s="1"/>
      <c r="L5" s="18"/>
      <c r="M5" s="12">
        <v>45139</v>
      </c>
      <c r="N5" s="19"/>
      <c r="O5" s="19">
        <v>40.962999999999994</v>
      </c>
      <c r="P5" s="1"/>
      <c r="Q5" s="12">
        <v>45505</v>
      </c>
      <c r="R5" s="19">
        <v>16.432325248955987</v>
      </c>
      <c r="S5" s="19">
        <v>43.37799871506585</v>
      </c>
      <c r="T5" s="1"/>
    </row>
    <row r="6" spans="1:20">
      <c r="I6" s="12">
        <v>44805</v>
      </c>
      <c r="J6" s="1"/>
      <c r="K6" s="1"/>
      <c r="L6" s="10"/>
      <c r="M6" s="12">
        <v>45170</v>
      </c>
      <c r="N6" s="19"/>
      <c r="O6" s="19">
        <v>5.8</v>
      </c>
      <c r="P6" s="1" t="s">
        <v>45</v>
      </c>
      <c r="Q6" s="12">
        <v>45536</v>
      </c>
      <c r="R6" s="19">
        <v>19.850146876212644</v>
      </c>
      <c r="S6" s="19"/>
      <c r="T6" s="1"/>
    </row>
    <row r="7" spans="1:20">
      <c r="I7" s="12">
        <v>44835</v>
      </c>
      <c r="J7" s="1"/>
      <c r="K7" s="1"/>
      <c r="L7" s="1"/>
      <c r="M7" s="12">
        <v>45200</v>
      </c>
      <c r="N7" s="19"/>
      <c r="O7" s="19">
        <v>51.472000000000001</v>
      </c>
      <c r="P7" s="1" t="s">
        <v>51</v>
      </c>
      <c r="Q7" s="12">
        <v>45566</v>
      </c>
      <c r="R7" s="19"/>
      <c r="S7" s="19"/>
      <c r="T7" s="1"/>
    </row>
    <row r="8" spans="1:20">
      <c r="I8" s="12">
        <v>44866</v>
      </c>
      <c r="J8" s="1"/>
      <c r="K8" s="1"/>
      <c r="L8" s="1"/>
      <c r="M8" s="12">
        <v>45231</v>
      </c>
      <c r="N8" s="19"/>
      <c r="O8" s="19">
        <v>40.777420272191748</v>
      </c>
      <c r="P8" s="1" t="s">
        <v>45</v>
      </c>
      <c r="Q8" s="12">
        <v>45597</v>
      </c>
      <c r="R8" s="19"/>
      <c r="S8" s="19"/>
      <c r="T8" s="1"/>
    </row>
    <row r="9" spans="1:20">
      <c r="I9" s="12">
        <v>44896</v>
      </c>
      <c r="J9" s="1"/>
      <c r="K9" s="1"/>
      <c r="L9" s="1"/>
      <c r="M9" s="12">
        <v>45261</v>
      </c>
      <c r="N9" s="19"/>
      <c r="O9" s="19">
        <v>51.472333333333339</v>
      </c>
      <c r="P9" s="1"/>
      <c r="Q9" s="12">
        <v>45627</v>
      </c>
      <c r="R9" s="19"/>
      <c r="S9" s="19"/>
      <c r="T9" s="1"/>
    </row>
    <row r="10" spans="1:20">
      <c r="I10" s="12">
        <v>44927</v>
      </c>
      <c r="J10" s="1"/>
      <c r="K10" s="1"/>
      <c r="L10" s="1"/>
      <c r="M10" s="12">
        <v>45292</v>
      </c>
      <c r="N10" s="19"/>
      <c r="O10" s="19">
        <v>40.239064976228207</v>
      </c>
      <c r="P10" s="1" t="s">
        <v>45</v>
      </c>
      <c r="Q10" s="12">
        <v>45658</v>
      </c>
      <c r="R10" s="19"/>
      <c r="S10" s="19"/>
      <c r="T10" s="1"/>
    </row>
    <row r="11" spans="1:20">
      <c r="I11" s="12">
        <v>44958</v>
      </c>
      <c r="J11" s="1"/>
      <c r="K11" s="1"/>
      <c r="L11" s="1"/>
      <c r="M11" s="12">
        <v>45323</v>
      </c>
      <c r="N11" s="19"/>
      <c r="O11" s="19">
        <v>41.817425474254748</v>
      </c>
      <c r="P11" s="1"/>
      <c r="Q11" s="12">
        <v>45689</v>
      </c>
      <c r="R11" s="19"/>
      <c r="S11" s="19"/>
      <c r="T11" s="1"/>
    </row>
    <row r="12" spans="1:20">
      <c r="I12" s="12">
        <v>44986</v>
      </c>
      <c r="J12" s="19"/>
      <c r="K12" s="19">
        <v>37.512999999999998</v>
      </c>
      <c r="L12" s="1"/>
      <c r="M12" s="12">
        <v>45352</v>
      </c>
      <c r="N12" s="19">
        <v>10.893978349120433</v>
      </c>
      <c r="O12" s="19">
        <v>40.963000000000001</v>
      </c>
      <c r="P12" s="1"/>
      <c r="Q12" s="12">
        <v>45717</v>
      </c>
      <c r="R12" s="19"/>
      <c r="S12" s="19"/>
      <c r="T12" s="1"/>
    </row>
    <row r="13" spans="1:20">
      <c r="I13" s="12">
        <v>45017</v>
      </c>
      <c r="J13" s="19"/>
      <c r="K13" s="19">
        <v>37.512999999999998</v>
      </c>
      <c r="L13" s="18" t="s">
        <v>52</v>
      </c>
      <c r="M13" s="12">
        <v>45383</v>
      </c>
      <c r="N13" s="19"/>
      <c r="O13" s="19">
        <v>40.963000000000001</v>
      </c>
      <c r="P13" s="1"/>
      <c r="Q13" s="12">
        <v>45748</v>
      </c>
      <c r="R13" s="19"/>
      <c r="S13" s="19"/>
      <c r="T13" s="1"/>
    </row>
    <row r="14" spans="1:20">
      <c r="I14" s="12">
        <v>45047</v>
      </c>
      <c r="J14" s="13"/>
      <c r="K14" s="19">
        <v>37.512999999999998</v>
      </c>
      <c r="L14" s="1"/>
      <c r="M14" s="12">
        <v>45413</v>
      </c>
      <c r="N14" s="19"/>
      <c r="O14" s="19">
        <v>40.963000000000001</v>
      </c>
      <c r="P14" s="1"/>
      <c r="Q14" s="12">
        <v>45778</v>
      </c>
      <c r="R14" s="19"/>
      <c r="S14" s="19"/>
      <c r="T14" s="1"/>
    </row>
    <row r="15" spans="1:20">
      <c r="I15" s="12">
        <v>45078</v>
      </c>
      <c r="J15" s="19"/>
      <c r="K15" s="13">
        <v>37.512999999999998</v>
      </c>
      <c r="L15" s="18"/>
      <c r="M15" s="12">
        <v>45444</v>
      </c>
      <c r="N15" s="19">
        <v>29.928066914498142</v>
      </c>
      <c r="O15" s="19">
        <v>41.284999999999997</v>
      </c>
      <c r="P15" s="1"/>
      <c r="Q15" s="12">
        <v>45809</v>
      </c>
      <c r="R15" s="19"/>
      <c r="S15" s="19"/>
      <c r="T15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F430-CA95-4109-BD03-17F0D0AEEB7C}">
  <dimension ref="L2:S15"/>
  <sheetViews>
    <sheetView workbookViewId="0">
      <selection activeCell="Q7" sqref="Q7"/>
    </sheetView>
  </sheetViews>
  <sheetFormatPr defaultRowHeight="15"/>
  <cols>
    <col min="13" max="14" width="13.28515625" hidden="1" customWidth="1"/>
    <col min="15" max="15" width="21.7109375" hidden="1" customWidth="1"/>
    <col min="17" max="18" width="13.28515625" bestFit="1" customWidth="1"/>
    <col min="19" max="19" width="21.7109375" bestFit="1" customWidth="1"/>
  </cols>
  <sheetData>
    <row r="2" spans="12:19">
      <c r="M2" t="s">
        <v>42</v>
      </c>
      <c r="N2" t="s">
        <v>43</v>
      </c>
      <c r="Q2" t="s">
        <v>42</v>
      </c>
      <c r="R2" t="s">
        <v>43</v>
      </c>
    </row>
    <row r="3" spans="12:19">
      <c r="L3" s="12">
        <v>45108</v>
      </c>
      <c r="M3" s="13">
        <v>47715.25</v>
      </c>
      <c r="N3" s="13">
        <v>7151.26</v>
      </c>
      <c r="O3" s="24" t="s">
        <v>44</v>
      </c>
      <c r="P3" s="12">
        <v>45474</v>
      </c>
      <c r="Q3" s="13">
        <v>48303.9</v>
      </c>
      <c r="R3" s="13">
        <v>15041.72</v>
      </c>
      <c r="S3" s="24" t="s">
        <v>44</v>
      </c>
    </row>
    <row r="4" spans="12:19">
      <c r="L4" s="12">
        <v>45139</v>
      </c>
      <c r="M4" s="13">
        <v>47767.19</v>
      </c>
      <c r="N4" s="13">
        <v>7211.0634999999993</v>
      </c>
      <c r="O4" s="24" t="s">
        <v>44</v>
      </c>
      <c r="P4" s="12">
        <v>45505</v>
      </c>
      <c r="Q4" s="13">
        <v>48303.9</v>
      </c>
      <c r="R4" s="13">
        <v>207824.76</v>
      </c>
      <c r="S4" s="24" t="s">
        <v>49</v>
      </c>
    </row>
    <row r="5" spans="12:19">
      <c r="L5" s="12">
        <v>45170</v>
      </c>
      <c r="M5" s="13">
        <v>47767.19</v>
      </c>
      <c r="N5" s="13">
        <v>7620.6934999999994</v>
      </c>
      <c r="O5" s="24" t="s">
        <v>44</v>
      </c>
      <c r="P5" s="12">
        <v>45536</v>
      </c>
      <c r="Q5" s="13">
        <v>52859.34</v>
      </c>
      <c r="R5" s="13">
        <v>141804.32999999999</v>
      </c>
      <c r="S5" s="24" t="s">
        <v>46</v>
      </c>
    </row>
    <row r="6" spans="12:19">
      <c r="L6" s="12">
        <v>45200</v>
      </c>
      <c r="M6" s="13">
        <v>47767.19</v>
      </c>
      <c r="N6" s="13">
        <v>9869.7599999999966</v>
      </c>
      <c r="O6" s="24" t="s">
        <v>45</v>
      </c>
      <c r="P6" s="12">
        <v>45566</v>
      </c>
      <c r="Q6" s="13">
        <v>52905.24</v>
      </c>
      <c r="R6" s="13"/>
      <c r="S6" s="24"/>
    </row>
    <row r="7" spans="12:19">
      <c r="L7" s="12">
        <v>45231</v>
      </c>
      <c r="M7" s="13">
        <v>47767.19</v>
      </c>
      <c r="N7" s="13">
        <v>7620.68</v>
      </c>
      <c r="O7" s="24" t="s">
        <v>44</v>
      </c>
      <c r="P7" s="12">
        <v>45597</v>
      </c>
      <c r="Q7" s="13"/>
      <c r="R7" s="13"/>
      <c r="S7" s="24"/>
    </row>
    <row r="8" spans="12:19">
      <c r="L8" s="12">
        <v>45261</v>
      </c>
      <c r="M8" s="13">
        <v>47767.19</v>
      </c>
      <c r="N8" s="13">
        <v>-190768.83</v>
      </c>
      <c r="O8" s="24" t="s">
        <v>53</v>
      </c>
      <c r="P8" s="12">
        <v>45627</v>
      </c>
      <c r="Q8" s="13"/>
      <c r="R8" s="13"/>
      <c r="S8" s="24"/>
    </row>
    <row r="9" spans="12:19">
      <c r="L9" s="12">
        <v>45292</v>
      </c>
      <c r="M9" s="13">
        <v>47767.19</v>
      </c>
      <c r="N9" s="13">
        <v>7620.6900000000005</v>
      </c>
      <c r="O9" s="24" t="s">
        <v>44</v>
      </c>
      <c r="P9" s="12">
        <v>45658</v>
      </c>
      <c r="Q9" s="13"/>
      <c r="R9" s="13"/>
      <c r="S9" s="24"/>
    </row>
    <row r="10" spans="12:19">
      <c r="L10" s="12">
        <v>45323</v>
      </c>
      <c r="M10" s="13">
        <v>52060.87</v>
      </c>
      <c r="N10" s="13">
        <v>56858.22</v>
      </c>
      <c r="O10" s="24" t="s">
        <v>45</v>
      </c>
      <c r="P10" s="12">
        <v>45689</v>
      </c>
      <c r="Q10" s="13"/>
      <c r="R10" s="13"/>
      <c r="S10" s="24"/>
    </row>
    <row r="11" spans="12:19">
      <c r="L11" s="12">
        <v>45352</v>
      </c>
      <c r="M11" s="13">
        <v>48303.9</v>
      </c>
      <c r="N11" s="13">
        <v>21507.15</v>
      </c>
      <c r="O11" s="24" t="s">
        <v>46</v>
      </c>
      <c r="P11" s="12">
        <v>45717</v>
      </c>
      <c r="Q11" s="13"/>
      <c r="R11" s="13"/>
      <c r="S11" s="24"/>
    </row>
    <row r="12" spans="12:19">
      <c r="L12" s="12">
        <v>45383</v>
      </c>
      <c r="M12" s="13">
        <v>48303.9</v>
      </c>
      <c r="N12" s="13">
        <v>208789.97999999998</v>
      </c>
      <c r="O12" s="24" t="s">
        <v>47</v>
      </c>
      <c r="P12" s="12">
        <v>45748</v>
      </c>
      <c r="Q12" s="13"/>
      <c r="R12" s="13"/>
      <c r="S12" s="24"/>
    </row>
    <row r="13" spans="12:19">
      <c r="L13" s="12">
        <v>45413</v>
      </c>
      <c r="M13" s="13">
        <v>48303.9</v>
      </c>
      <c r="N13" s="13">
        <v>7620.6900000000005</v>
      </c>
      <c r="O13" s="24" t="s">
        <v>44</v>
      </c>
      <c r="P13" s="12">
        <v>45778</v>
      </c>
      <c r="Q13" s="13"/>
      <c r="R13" s="13"/>
      <c r="S13" s="24"/>
    </row>
    <row r="14" spans="12:19">
      <c r="L14" s="12">
        <v>45444</v>
      </c>
      <c r="M14" s="14">
        <v>48303.9</v>
      </c>
      <c r="N14" s="14">
        <v>7211.06</v>
      </c>
      <c r="O14" s="25" t="s">
        <v>44</v>
      </c>
      <c r="P14" s="12">
        <v>45809</v>
      </c>
      <c r="Q14" s="14"/>
      <c r="R14" s="14"/>
      <c r="S14" s="25"/>
    </row>
    <row r="15" spans="12:19">
      <c r="L15" s="5"/>
      <c r="M15" s="15">
        <f>SUM(M5:M14)</f>
        <v>484112.4200000001</v>
      </c>
      <c r="N15" s="15">
        <f>SUM(N4:N14)</f>
        <v>151161.15699999998</v>
      </c>
      <c r="O15" s="15">
        <f>M15-N15</f>
        <v>332951.26300000015</v>
      </c>
      <c r="P15" s="5"/>
      <c r="Q15" s="15">
        <f>SUM(Q3:Q14)</f>
        <v>202372.38</v>
      </c>
      <c r="R15" s="15">
        <f>SUM(R3:R14)</f>
        <v>364670.81</v>
      </c>
      <c r="S15" s="15">
        <f>Q15-R15</f>
        <v>-162298.43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85377-DE36-4F80-9F9E-D93B6683B78C}"/>
</file>

<file path=customXml/itemProps2.xml><?xml version="1.0" encoding="utf-8"?>
<ds:datastoreItem xmlns:ds="http://schemas.openxmlformats.org/officeDocument/2006/customXml" ds:itemID="{B638D9FD-24C7-471B-A74F-9EBFC0119BA8}"/>
</file>

<file path=customXml/itemProps3.xml><?xml version="1.0" encoding="utf-8"?>
<ds:datastoreItem xmlns:ds="http://schemas.openxmlformats.org/officeDocument/2006/customXml" ds:itemID="{BD1E887E-900E-465F-9FC0-7AC0324CA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</dc:creator>
  <cp:keywords/>
  <dc:description/>
  <cp:lastModifiedBy>Zerilda</cp:lastModifiedBy>
  <cp:revision/>
  <dcterms:created xsi:type="dcterms:W3CDTF">2023-11-10T13:09:43Z</dcterms:created>
  <dcterms:modified xsi:type="dcterms:W3CDTF">2024-10-11T10:49:21Z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