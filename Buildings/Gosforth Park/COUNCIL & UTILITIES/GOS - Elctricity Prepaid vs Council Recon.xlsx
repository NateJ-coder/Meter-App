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GOS - Gosforth Park/COUNCIL &amp; UTILITIES/"/>
    </mc:Choice>
  </mc:AlternateContent>
  <xr:revisionPtr revIDLastSave="105" documentId="8_{998E4D54-EBBF-4EA5-8FB7-39BDAA0751B4}" xr6:coauthVersionLast="47" xr6:coauthVersionMax="47" xr10:uidLastSave="{936D9CDF-980B-4095-A19F-A0888E1765A8}"/>
  <bookViews>
    <workbookView xWindow="-28920" yWindow="-3360" windowWidth="29040" windowHeight="15840" activeTab="3" xr2:uid="{A9D393A4-F93E-4A2C-9739-524E5E068BE7}"/>
  </bookViews>
  <sheets>
    <sheet name="Detailed" sheetId="1" r:id="rId1"/>
    <sheet name="Graph" sheetId="2" r:id="rId2"/>
    <sheet name="Cons Graph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N12" i="2"/>
  <c r="N13" i="2"/>
  <c r="N14" i="2"/>
  <c r="N10" i="2"/>
  <c r="M15" i="2"/>
  <c r="L15" i="2"/>
  <c r="N15" i="2" l="1"/>
  <c r="L29" i="1"/>
  <c r="J29" i="1"/>
  <c r="E33" i="1"/>
  <c r="D33" i="1"/>
  <c r="E25" i="1"/>
  <c r="D25" i="1"/>
  <c r="E17" i="1"/>
  <c r="D17" i="1"/>
  <c r="E9" i="1"/>
  <c r="D9" i="1"/>
  <c r="F29" i="1"/>
  <c r="E31" i="1" s="1"/>
  <c r="L21" i="1"/>
  <c r="J21" i="1"/>
  <c r="F21" i="1"/>
  <c r="L13" i="1"/>
  <c r="J13" i="1"/>
  <c r="F13" i="1"/>
  <c r="E23" i="1"/>
  <c r="E15" i="1"/>
  <c r="E7" i="1"/>
  <c r="L5" i="1"/>
  <c r="J5" i="1"/>
  <c r="E32" i="1"/>
  <c r="B30" i="1"/>
  <c r="D30" i="1" s="1"/>
  <c r="E24" i="1"/>
  <c r="E16" i="1"/>
  <c r="E8" i="1"/>
  <c r="B22" i="1"/>
  <c r="D22" i="1" s="1"/>
  <c r="B14" i="1"/>
  <c r="D14" i="1" s="1"/>
  <c r="D6" i="1"/>
  <c r="J6" i="1" s="1"/>
  <c r="L6" i="1" l="1"/>
  <c r="L14" i="1"/>
  <c r="J14" i="1"/>
  <c r="J30" i="1"/>
  <c r="L30" i="1"/>
  <c r="L22" i="1"/>
  <c r="J22" i="1"/>
</calcChain>
</file>

<file path=xl/sharedStrings.xml><?xml version="1.0" encoding="utf-8"?>
<sst xmlns="http://schemas.openxmlformats.org/spreadsheetml/2006/main" count="98" uniqueCount="32">
  <si>
    <t>Gosforth Park - Electricity Prepaid vs Council</t>
  </si>
  <si>
    <t>Council Bulk</t>
  </si>
  <si>
    <t>Actual</t>
  </si>
  <si>
    <t>Total BC</t>
  </si>
  <si>
    <t>Total Council</t>
  </si>
  <si>
    <t>Difference</t>
  </si>
  <si>
    <t>Unit No</t>
  </si>
  <si>
    <t>Opening Reading</t>
  </si>
  <si>
    <t>Closing Reading</t>
  </si>
  <si>
    <t>Cons</t>
  </si>
  <si>
    <t>Reading Dates</t>
  </si>
  <si>
    <t>Estimated?</t>
  </si>
  <si>
    <t>Rates</t>
  </si>
  <si>
    <t>Days</t>
  </si>
  <si>
    <t>Kwh p/day</t>
  </si>
  <si>
    <t>Fixed Charge</t>
  </si>
  <si>
    <t>1Sep - 1Oct 2024</t>
  </si>
  <si>
    <t>1Oct - 1Nov 2024</t>
  </si>
  <si>
    <t>1Nov - 1Dec 2024</t>
  </si>
  <si>
    <t>Prepaid / Vodacom</t>
  </si>
  <si>
    <t>1Dec 2024 - 1Jan 2025</t>
  </si>
  <si>
    <t>1Oct - 31Oct 2024</t>
  </si>
  <si>
    <t>Body Corporate</t>
  </si>
  <si>
    <t>KK Prepaid</t>
  </si>
  <si>
    <t>Vodacom</t>
  </si>
  <si>
    <t>1Nov - 30Nov 2024</t>
  </si>
  <si>
    <t>1Dec - 31Dec 2024</t>
  </si>
  <si>
    <t>1Jan - 31Jan 2025</t>
  </si>
  <si>
    <t>Prepaid /Vodacom</t>
  </si>
  <si>
    <t>Council</t>
  </si>
  <si>
    <t>Prepaid</t>
  </si>
  <si>
    <t>KWh p/d 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</si>
</sst>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436]* #,##0.00_-;\-[$R-436]* #,##0.00_-;_-[$R-436]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0" xfId="0" applyNumberFormat="1"/>
    <xf numFmtId="0" fontId="0" fillId="0" borderId="1" xfId="0" applyBorder="1"/>
    <xf numFmtId="0" fontId="2" fillId="0" borderId="1" xfId="0" applyFont="1" applyBorder="1"/>
    <xf numFmtId="17" fontId="1" fillId="0" borderId="0" xfId="0" applyNumberFormat="1" applyFont="1"/>
    <xf numFmtId="0" fontId="1" fillId="0" borderId="0" xfId="0" applyFont="1"/>
    <xf numFmtId="0" fontId="4" fillId="0" borderId="0" xfId="0" applyFont="1"/>
    <xf numFmtId="164" fontId="0" fillId="0" borderId="0" xfId="0" applyNumberFormat="1"/>
    <xf numFmtId="164" fontId="1" fillId="0" borderId="2" xfId="0" applyNumberFormat="1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GOS -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Graph!$L$2</c:f>
              <c:strCache>
                <c:ptCount val="1"/>
                <c:pt idx="0">
                  <c:v>Prepaid /Vodacom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Graph!$K$3:$K$14</c:f>
              <c:numCache>
                <c:formatCode>mmm\-yy</c:formatCode>
                <c:ptCount val="1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</c:numCache>
            </c:numRef>
          </c:cat>
          <c:val>
            <c:numRef>
              <c:f>Graph!$L$3:$L$14</c:f>
              <c:numCache>
                <c:formatCode>_-[$R-436]* #,##0.00_-;\-[$R-436]* #,##0.00_-;_-[$R-436]* "-"??_-;_-@_-</c:formatCode>
                <c:ptCount val="12"/>
                <c:pt idx="7">
                  <c:v>96113.07</c:v>
                </c:pt>
                <c:pt idx="8">
                  <c:v>71577.619999999981</c:v>
                </c:pt>
                <c:pt idx="9">
                  <c:v>71547.520000000004</c:v>
                </c:pt>
                <c:pt idx="10">
                  <c:v>81074.599999999991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E-480C-B275-D8C32DBC3141}"/>
            </c:ext>
          </c:extLst>
        </c:ser>
        <c:ser>
          <c:idx val="1"/>
          <c:order val="1"/>
          <c:tx>
            <c:strRef>
              <c:f>Graph!$M$2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Graph!$K$3:$K$14</c:f>
              <c:numCache>
                <c:formatCode>mmm\-yy</c:formatCode>
                <c:ptCount val="1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</c:numCache>
            </c:numRef>
          </c:cat>
          <c:val>
            <c:numRef>
              <c:f>Graph!$M$3:$M$14</c:f>
              <c:numCache>
                <c:formatCode>_-[$R-436]* #,##0.00_-;\-[$R-436]* #,##0.00_-;_-[$R-436]* "-"??_-;_-@_-</c:formatCode>
                <c:ptCount val="12"/>
                <c:pt idx="7">
                  <c:v>102931.53</c:v>
                </c:pt>
                <c:pt idx="8">
                  <c:v>93130.209999999992</c:v>
                </c:pt>
                <c:pt idx="9">
                  <c:v>74497.319999999992</c:v>
                </c:pt>
                <c:pt idx="10">
                  <c:v>74664.819999999992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1E-480C-B275-D8C32DBC3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4388232"/>
        <c:axId val="454387512"/>
        <c:axId val="0"/>
      </c:bar3DChart>
      <c:dateAx>
        <c:axId val="4543882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87512"/>
        <c:crosses val="autoZero"/>
        <c:auto val="1"/>
        <c:lblOffset val="100"/>
        <c:baseTimeUnit val="months"/>
      </c:dateAx>
      <c:valAx>
        <c:axId val="45438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8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GOS - Prepaid vs Council Cons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'Cons Graph'!$L$2</c:f>
              <c:strCache>
                <c:ptCount val="1"/>
                <c:pt idx="0">
                  <c:v>Prepaid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'Cons Graph'!$K$3:$K$14</c:f>
              <c:numCache>
                <c:formatCode>mmm\-yy</c:formatCode>
                <c:ptCount val="1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</c:numCache>
            </c:numRef>
          </c:cat>
          <c:val>
            <c:numRef>
              <c:f>'Cons Graph'!$L$3:$L$14</c:f>
              <c:numCache>
                <c:formatCode>General</c:formatCode>
                <c:ptCount val="12"/>
                <c:pt idx="7">
                  <c:v>24752.3</c:v>
                </c:pt>
                <c:pt idx="8">
                  <c:v>18063.3</c:v>
                </c:pt>
                <c:pt idx="9">
                  <c:v>17826.900000000001</c:v>
                </c:pt>
                <c:pt idx="10">
                  <c:v>20394.5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5-49D5-964F-CF094042E47B}"/>
            </c:ext>
          </c:extLst>
        </c:ser>
        <c:ser>
          <c:idx val="1"/>
          <c:order val="1"/>
          <c:tx>
            <c:strRef>
              <c:f>'Cons Graph'!$M$2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'Cons Graph'!$K$3:$K$14</c:f>
              <c:numCache>
                <c:formatCode>mmm\-yy</c:formatCode>
                <c:ptCount val="1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</c:numCache>
            </c:numRef>
          </c:cat>
          <c:val>
            <c:numRef>
              <c:f>'Cons Graph'!$M$3:$M$14</c:f>
              <c:numCache>
                <c:formatCode>General</c:formatCode>
                <c:ptCount val="12"/>
                <c:pt idx="7">
                  <c:v>27602</c:v>
                </c:pt>
                <c:pt idx="8">
                  <c:v>24757</c:v>
                </c:pt>
                <c:pt idx="9">
                  <c:v>19352</c:v>
                </c:pt>
                <c:pt idx="10">
                  <c:v>19399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05-49D5-964F-CF094042E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6744568"/>
        <c:axId val="696749608"/>
        <c:axId val="0"/>
      </c:bar3DChart>
      <c:dateAx>
        <c:axId val="6967445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49608"/>
        <c:crosses val="autoZero"/>
        <c:auto val="1"/>
        <c:lblOffset val="100"/>
        <c:baseTimeUnit val="months"/>
      </c:dateAx>
      <c:valAx>
        <c:axId val="69674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4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Prepaid vs Council Cons p/day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'Cons Graph'!$L$23</c:f>
              <c:strCache>
                <c:ptCount val="1"/>
                <c:pt idx="0">
                  <c:v>Prepaid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'Cons Graph'!$K$24:$K$35</c:f>
              <c:numCache>
                <c:formatCode>mmm\-yy</c:formatCode>
                <c:ptCount val="1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</c:numCache>
            </c:numRef>
          </c:cat>
          <c:val>
            <c:numRef>
              <c:f>'Cons Graph'!$L$24:$L$35</c:f>
              <c:numCache>
                <c:formatCode>General</c:formatCode>
                <c:ptCount val="12"/>
                <c:pt idx="7">
                  <c:v>798.46129032258057</c:v>
                </c:pt>
                <c:pt idx="8">
                  <c:v>602.11</c:v>
                </c:pt>
                <c:pt idx="9">
                  <c:v>575.0612903225807</c:v>
                </c:pt>
                <c:pt idx="10">
                  <c:v>657.88709677419354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D-455F-A118-B988059E400B}"/>
            </c:ext>
          </c:extLst>
        </c:ser>
        <c:ser>
          <c:idx val="1"/>
          <c:order val="1"/>
          <c:tx>
            <c:strRef>
              <c:f>'Cons Graph'!$M$23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'Cons Graph'!$K$24:$K$35</c:f>
              <c:numCache>
                <c:formatCode>mmm\-yy</c:formatCode>
                <c:ptCount val="1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</c:numCache>
            </c:numRef>
          </c:cat>
          <c:val>
            <c:numRef>
              <c:f>'Cons Graph'!$M$24:$M$35</c:f>
              <c:numCache>
                <c:formatCode>General</c:formatCode>
                <c:ptCount val="12"/>
                <c:pt idx="7">
                  <c:v>890.38709677419354</c:v>
                </c:pt>
                <c:pt idx="8">
                  <c:v>773.65625</c:v>
                </c:pt>
                <c:pt idx="9">
                  <c:v>624.25806451612902</c:v>
                </c:pt>
                <c:pt idx="10">
                  <c:v>606.21875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D-455F-A118-B988059E4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2735392"/>
        <c:axId val="762740072"/>
        <c:axId val="0"/>
      </c:bar3DChart>
      <c:dateAx>
        <c:axId val="76273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740072"/>
        <c:crosses val="autoZero"/>
        <c:auto val="1"/>
        <c:lblOffset val="100"/>
        <c:baseTimeUnit val="months"/>
      </c:dateAx>
      <c:valAx>
        <c:axId val="76274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73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GOS - Prepaid vs Council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Sheet4!$L$2</c:f>
              <c:strCache>
                <c:ptCount val="1"/>
                <c:pt idx="0">
                  <c:v>Prepaid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Sheet4!$K$3:$K$14</c:f>
              <c:numCache>
                <c:formatCode>mmm\-yy</c:formatCode>
                <c:ptCount val="1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</c:numCache>
            </c:numRef>
          </c:cat>
          <c:val>
            <c:numRef>
              <c:f>Sheet4!$L$3:$L$14</c:f>
              <c:numCache>
                <c:formatCode>_-[$R-436]* #,##0.00_-;\-[$R-436]* #,##0.00_-;_-[$R-436]* "-"??_-;_-@_-</c:formatCode>
                <c:ptCount val="12"/>
                <c:pt idx="7">
                  <c:v>3.633812211390457</c:v>
                </c:pt>
                <c:pt idx="8">
                  <c:v>3.6337651481180071</c:v>
                </c:pt>
                <c:pt idx="9">
                  <c:v>3.6337977999540017</c:v>
                </c:pt>
                <c:pt idx="10">
                  <c:v>3.6339473877761157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E-4D5D-9BA1-F557FB3D8029}"/>
            </c:ext>
          </c:extLst>
        </c:ser>
        <c:ser>
          <c:idx val="1"/>
          <c:order val="1"/>
          <c:tx>
            <c:strRef>
              <c:f>Sheet4!$M$2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Sheet4!$K$3:$K$14</c:f>
              <c:numCache>
                <c:formatCode>mmm\-yy</c:formatCode>
                <c:ptCount val="1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</c:numCache>
            </c:numRef>
          </c:cat>
          <c:val>
            <c:numRef>
              <c:f>Sheet4!$M$3:$M$14</c:f>
              <c:numCache>
                <c:formatCode>_-[$R-436]* #,##0.00_-;\-[$R-436]* #,##0.00_-;_-[$R-436]* "-"??_-;_-@_-</c:formatCode>
                <c:ptCount val="12"/>
                <c:pt idx="7">
                  <c:v>3.4462948337077024</c:v>
                </c:pt>
                <c:pt idx="8">
                  <c:v>3.4464317162822633</c:v>
                </c:pt>
                <c:pt idx="9">
                  <c:v>3.4461771393137659</c:v>
                </c:pt>
                <c:pt idx="10">
                  <c:v>3.446462188772617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E-4D5D-9BA1-F557FB3D8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8443672"/>
        <c:axId val="768444752"/>
        <c:axId val="0"/>
      </c:bar3DChart>
      <c:dateAx>
        <c:axId val="768443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44752"/>
        <c:crosses val="autoZero"/>
        <c:auto val="1"/>
        <c:lblOffset val="100"/>
        <c:baseTimeUnit val="months"/>
      </c:dateAx>
      <c:valAx>
        <c:axId val="76844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43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90487</xdr:rowOff>
    </xdr:from>
    <xdr:to>
      <xdr:col>9</xdr:col>
      <xdr:colOff>247650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52BCE4-0379-3E4B-63F2-FD0E8D2EE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90486</xdr:rowOff>
    </xdr:from>
    <xdr:to>
      <xdr:col>9</xdr:col>
      <xdr:colOff>180974</xdr:colOff>
      <xdr:row>19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F23DBB-6481-7FBF-662D-7C08783A4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266700</xdr:colOff>
      <xdr:row>21</xdr:row>
      <xdr:rowOff>109537</xdr:rowOff>
    </xdr:from>
    <xdr:to>
      <xdr:col>8</xdr:col>
      <xdr:colOff>571500</xdr:colOff>
      <xdr:row>35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F5B691-E136-DB87-6859-6397C57B3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161924</xdr:colOff>
      <xdr:row>1</xdr:row>
      <xdr:rowOff>128586</xdr:rowOff>
    </xdr:from>
    <xdr:to>
      <xdr:col>9</xdr:col>
      <xdr:colOff>19049</xdr:colOff>
      <xdr:row>18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F25310-86C9-1FEB-FEC4-2BFEDEBED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C90F-60FA-451E-957B-E1C8BE6EE023}">
  <dimension ref="A1:L33"/>
  <sheetViews>
    <sheetView workbookViewId="0">
      <selection activeCell="J6" sqref="J6"/>
    </sheetView>
  </sheetViews>
  <sheetFormatPr defaultRowHeight="15" x14ac:dyDescent="0.25"/>
  <cols>
    <col min="1" max="1" width="19.28515625" customWidth="1"/>
    <col min="2" max="2" width="16.42578125" bestFit="1" customWidth="1"/>
    <col min="3" max="3" width="15.7109375" bestFit="1" customWidth="1"/>
    <col min="5" max="5" width="12.28515625" bestFit="1" customWidth="1"/>
    <col min="6" max="6" width="12.28515625" customWidth="1"/>
    <col min="7" max="7" width="13.85546875" bestFit="1" customWidth="1"/>
    <col min="8" max="8" width="20" bestFit="1" customWidth="1"/>
    <col min="9" max="9" width="11.140625" bestFit="1" customWidth="1"/>
    <col min="12" max="12" width="12" bestFit="1" customWidth="1"/>
  </cols>
  <sheetData>
    <row r="1" spans="1:12" ht="18.75" x14ac:dyDescent="0.3">
      <c r="A1" s="6" t="s">
        <v>0</v>
      </c>
    </row>
    <row r="3" spans="1:12" x14ac:dyDescent="0.25">
      <c r="A3" s="4">
        <v>45566</v>
      </c>
    </row>
    <row r="4" spans="1:12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23</v>
      </c>
      <c r="F4" s="3" t="s">
        <v>24</v>
      </c>
      <c r="G4" s="3" t="s">
        <v>15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spans="1:12" x14ac:dyDescent="0.25">
      <c r="A5" s="2" t="s">
        <v>22</v>
      </c>
      <c r="B5" s="2"/>
      <c r="C5" s="2"/>
      <c r="D5" s="2">
        <v>24752.3</v>
      </c>
      <c r="E5" s="2">
        <v>89945.21</v>
      </c>
      <c r="F5" s="2">
        <v>3401.8199999999997</v>
      </c>
      <c r="G5" s="2">
        <v>2766.04</v>
      </c>
      <c r="H5" s="2" t="s">
        <v>21</v>
      </c>
      <c r="I5" s="2" t="s">
        <v>2</v>
      </c>
      <c r="J5" s="2">
        <f>E5/D5</f>
        <v>3.633812211390457</v>
      </c>
      <c r="K5" s="2">
        <v>31</v>
      </c>
      <c r="L5" s="2">
        <f>D5/K5</f>
        <v>798.46129032258057</v>
      </c>
    </row>
    <row r="6" spans="1:12" x14ac:dyDescent="0.25">
      <c r="A6" s="2" t="s">
        <v>1</v>
      </c>
      <c r="B6" s="2">
        <v>1938057</v>
      </c>
      <c r="C6" s="2">
        <v>1965659</v>
      </c>
      <c r="D6" s="2">
        <f>C6-B6</f>
        <v>27602</v>
      </c>
      <c r="E6" s="2">
        <v>95124.63</v>
      </c>
      <c r="F6" s="2"/>
      <c r="G6" s="2">
        <v>7806.9</v>
      </c>
      <c r="H6" s="2" t="s">
        <v>16</v>
      </c>
      <c r="I6" s="2" t="s">
        <v>2</v>
      </c>
      <c r="J6" s="2">
        <f>E6/D6</f>
        <v>3.4462948337077024</v>
      </c>
      <c r="K6" s="2">
        <v>31</v>
      </c>
      <c r="L6" s="2">
        <f>D6/K6</f>
        <v>890.38709677419354</v>
      </c>
    </row>
    <row r="7" spans="1:12" x14ac:dyDescent="0.25">
      <c r="A7" s="2" t="s">
        <v>3</v>
      </c>
      <c r="B7" s="2"/>
      <c r="C7" s="2"/>
      <c r="D7" s="2"/>
      <c r="E7" s="2">
        <f>E5+G5+F5</f>
        <v>96113.07</v>
      </c>
      <c r="F7" s="2"/>
      <c r="G7" s="2"/>
      <c r="H7" s="2"/>
      <c r="I7" s="2"/>
      <c r="J7" s="2"/>
      <c r="K7" s="2"/>
      <c r="L7" s="2"/>
    </row>
    <row r="8" spans="1:12" x14ac:dyDescent="0.25">
      <c r="A8" s="2" t="s">
        <v>4</v>
      </c>
      <c r="B8" s="2"/>
      <c r="C8" s="2"/>
      <c r="D8" s="2"/>
      <c r="E8" s="2">
        <f>E6+G6</f>
        <v>102931.53</v>
      </c>
      <c r="F8" s="2"/>
      <c r="G8" s="2"/>
      <c r="H8" s="2"/>
      <c r="I8" s="2"/>
      <c r="J8" s="2"/>
      <c r="K8" s="2"/>
      <c r="L8" s="2"/>
    </row>
    <row r="9" spans="1:12" x14ac:dyDescent="0.25">
      <c r="A9" s="2" t="s">
        <v>5</v>
      </c>
      <c r="B9" s="2"/>
      <c r="C9" s="2"/>
      <c r="D9" s="2">
        <f>D5-D6</f>
        <v>-2849.7000000000007</v>
      </c>
      <c r="E9" s="2">
        <f>E7-E8</f>
        <v>-6818.4599999999919</v>
      </c>
      <c r="F9" s="2"/>
      <c r="G9" s="2"/>
      <c r="H9" s="2"/>
      <c r="I9" s="2"/>
      <c r="J9" s="2"/>
      <c r="K9" s="2"/>
      <c r="L9" s="2"/>
    </row>
    <row r="11" spans="1:12" x14ac:dyDescent="0.25">
      <c r="A11" s="4">
        <v>45597</v>
      </c>
    </row>
    <row r="12" spans="1:12" x14ac:dyDescent="0.25">
      <c r="A12" s="3" t="s">
        <v>6</v>
      </c>
      <c r="B12" s="3" t="s">
        <v>7</v>
      </c>
      <c r="C12" s="3" t="s">
        <v>8</v>
      </c>
      <c r="D12" s="3" t="s">
        <v>9</v>
      </c>
      <c r="E12" s="3" t="s">
        <v>23</v>
      </c>
      <c r="F12" s="3" t="s">
        <v>24</v>
      </c>
      <c r="G12" s="3" t="s">
        <v>15</v>
      </c>
      <c r="H12" s="3" t="s">
        <v>10</v>
      </c>
      <c r="I12" s="3" t="s">
        <v>11</v>
      </c>
      <c r="J12" s="3" t="s">
        <v>12</v>
      </c>
      <c r="K12" s="3" t="s">
        <v>13</v>
      </c>
      <c r="L12" s="3" t="s">
        <v>14</v>
      </c>
    </row>
    <row r="13" spans="1:12" x14ac:dyDescent="0.25">
      <c r="A13" s="2" t="s">
        <v>19</v>
      </c>
      <c r="B13" s="2"/>
      <c r="C13" s="2"/>
      <c r="D13" s="2">
        <v>18063.3</v>
      </c>
      <c r="E13" s="2">
        <v>65637.789999999994</v>
      </c>
      <c r="F13" s="2">
        <f>68.33+3105.46</f>
        <v>3173.79</v>
      </c>
      <c r="G13" s="2">
        <v>2766.04</v>
      </c>
      <c r="H13" s="2" t="s">
        <v>25</v>
      </c>
      <c r="I13" s="2" t="s">
        <v>2</v>
      </c>
      <c r="J13" s="2">
        <f>E13/D13</f>
        <v>3.6337651481180071</v>
      </c>
      <c r="K13" s="2">
        <v>30</v>
      </c>
      <c r="L13" s="2">
        <f>D13/K13</f>
        <v>602.11</v>
      </c>
    </row>
    <row r="14" spans="1:12" x14ac:dyDescent="0.25">
      <c r="A14" s="2" t="s">
        <v>1</v>
      </c>
      <c r="B14" s="2">
        <f>C6</f>
        <v>1965659</v>
      </c>
      <c r="C14" s="2">
        <v>1990416</v>
      </c>
      <c r="D14" s="2">
        <f>C14-B14</f>
        <v>24757</v>
      </c>
      <c r="E14" s="2">
        <v>85323.31</v>
      </c>
      <c r="F14" s="2"/>
      <c r="G14" s="2">
        <v>7806.9</v>
      </c>
      <c r="H14" s="2" t="s">
        <v>17</v>
      </c>
      <c r="I14" s="2" t="s">
        <v>2</v>
      </c>
      <c r="J14" s="2">
        <f>E14/D14</f>
        <v>3.4464317162822633</v>
      </c>
      <c r="K14" s="2">
        <v>32</v>
      </c>
      <c r="L14" s="2">
        <f>D14/K14</f>
        <v>773.65625</v>
      </c>
    </row>
    <row r="15" spans="1:12" x14ac:dyDescent="0.25">
      <c r="A15" s="2" t="s">
        <v>3</v>
      </c>
      <c r="B15" s="2"/>
      <c r="C15" s="2"/>
      <c r="D15" s="2"/>
      <c r="E15" s="2">
        <f>E13+G13+F13</f>
        <v>71577.619999999981</v>
      </c>
      <c r="F15" s="2"/>
      <c r="G15" s="2"/>
      <c r="H15" s="2"/>
      <c r="I15" s="2"/>
      <c r="J15" s="2"/>
      <c r="K15" s="2"/>
      <c r="L15" s="2"/>
    </row>
    <row r="16" spans="1:12" x14ac:dyDescent="0.25">
      <c r="A16" s="2" t="s">
        <v>4</v>
      </c>
      <c r="B16" s="2"/>
      <c r="C16" s="2"/>
      <c r="D16" s="2"/>
      <c r="E16" s="2">
        <f>E14+G14</f>
        <v>93130.209999999992</v>
      </c>
      <c r="F16" s="2"/>
      <c r="G16" s="2"/>
      <c r="H16" s="2"/>
      <c r="I16" s="2"/>
      <c r="J16" s="2"/>
      <c r="K16" s="2"/>
      <c r="L16" s="2"/>
    </row>
    <row r="17" spans="1:12" x14ac:dyDescent="0.25">
      <c r="A17" s="2" t="s">
        <v>5</v>
      </c>
      <c r="B17" s="2"/>
      <c r="C17" s="2"/>
      <c r="D17" s="2">
        <f>D13-D14</f>
        <v>-6693.7000000000007</v>
      </c>
      <c r="E17" s="2">
        <f>E15-E16</f>
        <v>-21552.590000000011</v>
      </c>
      <c r="F17" s="2"/>
      <c r="G17" s="2"/>
      <c r="H17" s="2"/>
      <c r="I17" s="2"/>
      <c r="J17" s="2"/>
      <c r="K17" s="2"/>
      <c r="L17" s="2"/>
    </row>
    <row r="19" spans="1:12" x14ac:dyDescent="0.25">
      <c r="A19" s="4">
        <v>45627</v>
      </c>
    </row>
    <row r="20" spans="1:12" x14ac:dyDescent="0.25">
      <c r="A20" s="3" t="s">
        <v>6</v>
      </c>
      <c r="B20" s="3" t="s">
        <v>7</v>
      </c>
      <c r="C20" s="3" t="s">
        <v>8</v>
      </c>
      <c r="D20" s="3" t="s">
        <v>9</v>
      </c>
      <c r="E20" s="3" t="s">
        <v>23</v>
      </c>
      <c r="F20" s="3" t="s">
        <v>24</v>
      </c>
      <c r="G20" s="3" t="s">
        <v>15</v>
      </c>
      <c r="H20" s="3" t="s">
        <v>10</v>
      </c>
      <c r="I20" s="3" t="s">
        <v>11</v>
      </c>
      <c r="J20" s="3" t="s">
        <v>12</v>
      </c>
      <c r="K20" s="3" t="s">
        <v>13</v>
      </c>
      <c r="L20" s="3" t="s">
        <v>14</v>
      </c>
    </row>
    <row r="21" spans="1:12" x14ac:dyDescent="0.25">
      <c r="A21" s="2" t="s">
        <v>19</v>
      </c>
      <c r="B21" s="2"/>
      <c r="C21" s="2"/>
      <c r="D21" s="2">
        <v>17826.900000000001</v>
      </c>
      <c r="E21" s="2">
        <v>64779.35</v>
      </c>
      <c r="F21" s="2">
        <f>68.33+3933.8</f>
        <v>4002.13</v>
      </c>
      <c r="G21" s="2">
        <v>2766.04</v>
      </c>
      <c r="H21" s="2" t="s">
        <v>26</v>
      </c>
      <c r="I21" s="2" t="s">
        <v>2</v>
      </c>
      <c r="J21" s="2">
        <f>E21/D21</f>
        <v>3.6337977999540017</v>
      </c>
      <c r="K21" s="2">
        <v>31</v>
      </c>
      <c r="L21" s="2">
        <f>D21/K21</f>
        <v>575.0612903225807</v>
      </c>
    </row>
    <row r="22" spans="1:12" x14ac:dyDescent="0.25">
      <c r="A22" s="2" t="s">
        <v>1</v>
      </c>
      <c r="B22" s="2">
        <f>C14</f>
        <v>1990416</v>
      </c>
      <c r="C22" s="2">
        <v>2009768</v>
      </c>
      <c r="D22" s="2">
        <f>C22-B22</f>
        <v>19352</v>
      </c>
      <c r="E22" s="2">
        <v>66690.42</v>
      </c>
      <c r="F22" s="2"/>
      <c r="G22" s="2">
        <v>7806.9</v>
      </c>
      <c r="H22" s="2" t="s">
        <v>18</v>
      </c>
      <c r="I22" s="2" t="s">
        <v>2</v>
      </c>
      <c r="J22" s="2">
        <f>E22/D22</f>
        <v>3.4461771393137659</v>
      </c>
      <c r="K22" s="2">
        <v>31</v>
      </c>
      <c r="L22" s="2">
        <f>D22/K22</f>
        <v>624.25806451612902</v>
      </c>
    </row>
    <row r="23" spans="1:12" x14ac:dyDescent="0.25">
      <c r="A23" s="2" t="s">
        <v>3</v>
      </c>
      <c r="B23" s="2"/>
      <c r="C23" s="2"/>
      <c r="D23" s="2"/>
      <c r="E23" s="2">
        <f>E21+G21+F21</f>
        <v>71547.520000000004</v>
      </c>
      <c r="F23" s="2"/>
      <c r="G23" s="2"/>
      <c r="H23" s="2"/>
      <c r="I23" s="2"/>
      <c r="J23" s="2"/>
      <c r="K23" s="2"/>
      <c r="L23" s="2"/>
    </row>
    <row r="24" spans="1:12" x14ac:dyDescent="0.25">
      <c r="A24" s="2" t="s">
        <v>4</v>
      </c>
      <c r="B24" s="2"/>
      <c r="C24" s="2"/>
      <c r="D24" s="2"/>
      <c r="E24" s="2">
        <f>E22+G22</f>
        <v>74497.319999999992</v>
      </c>
      <c r="F24" s="2"/>
      <c r="G24" s="2"/>
      <c r="H24" s="2"/>
      <c r="I24" s="2"/>
      <c r="J24" s="2"/>
      <c r="K24" s="2"/>
      <c r="L24" s="2"/>
    </row>
    <row r="25" spans="1:12" x14ac:dyDescent="0.25">
      <c r="A25" s="2" t="s">
        <v>5</v>
      </c>
      <c r="B25" s="2"/>
      <c r="C25" s="2"/>
      <c r="D25" s="2">
        <f>D21-D22</f>
        <v>-1525.0999999999985</v>
      </c>
      <c r="E25" s="2">
        <f>E23-E24</f>
        <v>-2949.7999999999884</v>
      </c>
      <c r="F25" s="2"/>
      <c r="G25" s="2"/>
      <c r="H25" s="2"/>
      <c r="I25" s="2"/>
      <c r="J25" s="2"/>
      <c r="K25" s="2"/>
      <c r="L25" s="2"/>
    </row>
    <row r="27" spans="1:12" x14ac:dyDescent="0.25">
      <c r="A27" s="4">
        <v>45658</v>
      </c>
    </row>
    <row r="28" spans="1:12" x14ac:dyDescent="0.25">
      <c r="A28" s="3" t="s">
        <v>6</v>
      </c>
      <c r="B28" s="3" t="s">
        <v>7</v>
      </c>
      <c r="C28" s="3" t="s">
        <v>8</v>
      </c>
      <c r="D28" s="3" t="s">
        <v>9</v>
      </c>
      <c r="E28" s="3" t="s">
        <v>23</v>
      </c>
      <c r="F28" s="3" t="s">
        <v>24</v>
      </c>
      <c r="G28" s="3" t="s">
        <v>15</v>
      </c>
      <c r="H28" s="3" t="s">
        <v>10</v>
      </c>
      <c r="I28" s="3" t="s">
        <v>11</v>
      </c>
      <c r="J28" s="3" t="s">
        <v>12</v>
      </c>
      <c r="K28" s="3" t="s">
        <v>13</v>
      </c>
      <c r="L28" s="3" t="s">
        <v>14</v>
      </c>
    </row>
    <row r="29" spans="1:12" x14ac:dyDescent="0.25">
      <c r="A29" s="2" t="s">
        <v>19</v>
      </c>
      <c r="B29" s="2"/>
      <c r="C29" s="2"/>
      <c r="D29" s="2">
        <v>20394.5</v>
      </c>
      <c r="E29" s="2">
        <v>74112.539999999994</v>
      </c>
      <c r="F29" s="2">
        <f>68.33+4127.69</f>
        <v>4196.0199999999995</v>
      </c>
      <c r="G29" s="2">
        <v>2766.04</v>
      </c>
      <c r="H29" s="2" t="s">
        <v>27</v>
      </c>
      <c r="I29" s="2" t="s">
        <v>2</v>
      </c>
      <c r="J29" s="2">
        <f>E29/D29</f>
        <v>3.6339473877761157</v>
      </c>
      <c r="K29" s="2">
        <v>31</v>
      </c>
      <c r="L29" s="2">
        <f>D29/K29</f>
        <v>657.88709677419354</v>
      </c>
    </row>
    <row r="30" spans="1:12" x14ac:dyDescent="0.25">
      <c r="A30" s="2" t="s">
        <v>1</v>
      </c>
      <c r="B30" s="2">
        <f>C22</f>
        <v>2009768</v>
      </c>
      <c r="C30" s="2">
        <v>2029167</v>
      </c>
      <c r="D30" s="2">
        <f>C30-B30</f>
        <v>19399</v>
      </c>
      <c r="E30" s="2">
        <v>66857.919999999998</v>
      </c>
      <c r="F30" s="2"/>
      <c r="G30" s="2">
        <v>7806.9</v>
      </c>
      <c r="H30" s="2" t="s">
        <v>20</v>
      </c>
      <c r="I30" s="2" t="s">
        <v>2</v>
      </c>
      <c r="J30" s="2">
        <f>E30/D30</f>
        <v>3.446462188772617</v>
      </c>
      <c r="K30" s="2">
        <v>32</v>
      </c>
      <c r="L30" s="2">
        <f>D30/K30</f>
        <v>606.21875</v>
      </c>
    </row>
    <row r="31" spans="1:12" x14ac:dyDescent="0.25">
      <c r="A31" s="2" t="s">
        <v>3</v>
      </c>
      <c r="B31" s="2"/>
      <c r="C31" s="2"/>
      <c r="D31" s="2"/>
      <c r="E31" s="2">
        <f>E29+G29+F29</f>
        <v>81074.599999999991</v>
      </c>
      <c r="F31" s="2"/>
      <c r="G31" s="2"/>
      <c r="H31" s="2"/>
      <c r="I31" s="2"/>
      <c r="J31" s="2"/>
      <c r="K31" s="2"/>
      <c r="L31" s="2"/>
    </row>
    <row r="32" spans="1:12" x14ac:dyDescent="0.25">
      <c r="A32" s="2" t="s">
        <v>4</v>
      </c>
      <c r="B32" s="2"/>
      <c r="C32" s="2"/>
      <c r="D32" s="2"/>
      <c r="E32" s="2">
        <f>E30+G30</f>
        <v>74664.819999999992</v>
      </c>
      <c r="F32" s="2"/>
      <c r="G32" s="2"/>
      <c r="H32" s="2"/>
      <c r="I32" s="2"/>
      <c r="J32" s="2"/>
      <c r="K32" s="2"/>
      <c r="L32" s="2"/>
    </row>
    <row r="33" spans="1:12" x14ac:dyDescent="0.25">
      <c r="A33" s="2" t="s">
        <v>5</v>
      </c>
      <c r="B33" s="2"/>
      <c r="C33" s="2"/>
      <c r="D33" s="2">
        <f>D29-D30</f>
        <v>995.5</v>
      </c>
      <c r="E33" s="2">
        <f>E31-E32</f>
        <v>6409.7799999999988</v>
      </c>
      <c r="F33" s="2"/>
      <c r="G33" s="2"/>
      <c r="H33" s="2"/>
      <c r="I33" s="2"/>
      <c r="J33" s="2"/>
      <c r="K33" s="2"/>
      <c r="L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4FCA-CE18-4ABA-9AA5-EE7463354B60}">
  <dimension ref="A1:N15"/>
  <sheetViews>
    <sheetView workbookViewId="0">
      <selection activeCell="K2" sqref="K2:M14"/>
    </sheetView>
  </sheetViews>
  <sheetFormatPr defaultRowHeight="15" x14ac:dyDescent="0.25"/>
  <cols>
    <col min="12" max="12" width="17.85546875" bestFit="1" customWidth="1"/>
    <col min="13" max="13" width="12.7109375" bestFit="1" customWidth="1"/>
    <col min="14" max="14" width="11.85546875" bestFit="1" customWidth="1"/>
  </cols>
  <sheetData>
    <row r="1" spans="1:14" ht="18.75" x14ac:dyDescent="0.3">
      <c r="A1" s="6" t="s">
        <v>0</v>
      </c>
    </row>
    <row r="2" spans="1:14" x14ac:dyDescent="0.25">
      <c r="L2" t="s">
        <v>28</v>
      </c>
      <c r="M2" t="s">
        <v>29</v>
      </c>
      <c r="N2" t="s">
        <v>5</v>
      </c>
    </row>
    <row r="3" spans="1:14" x14ac:dyDescent="0.25">
      <c r="K3" s="1">
        <v>45352</v>
      </c>
      <c r="L3" s="7"/>
      <c r="M3" s="7"/>
    </row>
    <row r="4" spans="1:14" x14ac:dyDescent="0.25">
      <c r="K4" s="1">
        <v>45383</v>
      </c>
      <c r="L4" s="7"/>
      <c r="M4" s="7"/>
    </row>
    <row r="5" spans="1:14" x14ac:dyDescent="0.25">
      <c r="K5" s="1">
        <v>45413</v>
      </c>
      <c r="L5" s="7"/>
      <c r="M5" s="7"/>
    </row>
    <row r="6" spans="1:14" x14ac:dyDescent="0.25">
      <c r="K6" s="1">
        <v>45444</v>
      </c>
      <c r="L6" s="7"/>
      <c r="M6" s="7"/>
    </row>
    <row r="7" spans="1:14" x14ac:dyDescent="0.25">
      <c r="K7" s="1">
        <v>45474</v>
      </c>
      <c r="L7" s="7"/>
      <c r="M7" s="7"/>
    </row>
    <row r="8" spans="1:14" x14ac:dyDescent="0.25">
      <c r="K8" s="1">
        <v>45505</v>
      </c>
      <c r="L8" s="7"/>
      <c r="M8" s="7"/>
    </row>
    <row r="9" spans="1:14" x14ac:dyDescent="0.25">
      <c r="K9" s="1">
        <v>45536</v>
      </c>
      <c r="L9" s="7"/>
      <c r="M9" s="7"/>
    </row>
    <row r="10" spans="1:14" x14ac:dyDescent="0.25">
      <c r="K10" s="1">
        <v>45566</v>
      </c>
      <c r="L10" s="7">
        <v>96113.07</v>
      </c>
      <c r="M10" s="7">
        <v>102931.53</v>
      </c>
      <c r="N10" s="7">
        <f>L10-M10</f>
        <v>-6818.4599999999919</v>
      </c>
    </row>
    <row r="11" spans="1:14" x14ac:dyDescent="0.25">
      <c r="K11" s="1">
        <v>45597</v>
      </c>
      <c r="L11" s="7">
        <v>71577.619999999981</v>
      </c>
      <c r="M11" s="7">
        <v>93130.209999999992</v>
      </c>
      <c r="N11" s="7">
        <f t="shared" ref="N11:N14" si="0">L11-M11</f>
        <v>-21552.590000000011</v>
      </c>
    </row>
    <row r="12" spans="1:14" x14ac:dyDescent="0.25">
      <c r="K12" s="1">
        <v>45627</v>
      </c>
      <c r="L12" s="7">
        <v>71547.520000000004</v>
      </c>
      <c r="M12" s="7">
        <v>74497.319999999992</v>
      </c>
      <c r="N12" s="7">
        <f t="shared" si="0"/>
        <v>-2949.7999999999884</v>
      </c>
    </row>
    <row r="13" spans="1:14" x14ac:dyDescent="0.25">
      <c r="K13" s="1">
        <v>45658</v>
      </c>
      <c r="L13" s="7">
        <v>81074.599999999991</v>
      </c>
      <c r="M13" s="7">
        <v>74664.819999999992</v>
      </c>
      <c r="N13" s="7">
        <f t="shared" si="0"/>
        <v>6409.7799999999988</v>
      </c>
    </row>
    <row r="14" spans="1:14" x14ac:dyDescent="0.25">
      <c r="K14" s="1">
        <v>45689</v>
      </c>
      <c r="L14" s="7"/>
      <c r="M14" s="7"/>
      <c r="N14" s="7">
        <f t="shared" si="0"/>
        <v>0</v>
      </c>
    </row>
    <row r="15" spans="1:14" x14ac:dyDescent="0.25">
      <c r="L15" s="8">
        <f>SUM(L10:L14)</f>
        <v>320312.81</v>
      </c>
      <c r="M15" s="8">
        <f>SUM(M10:M14)</f>
        <v>345223.88</v>
      </c>
      <c r="N15" s="8">
        <f>SUM(N10:N14)</f>
        <v>-24911.069999999992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65DA-AB5F-4020-AAB2-F9D5D5B990AE}">
  <dimension ref="A1:M35"/>
  <sheetViews>
    <sheetView workbookViewId="0"/>
  </sheetViews>
  <sheetFormatPr defaultRowHeight="15" x14ac:dyDescent="0.25"/>
  <sheetData>
    <row r="1" spans="1:13" ht="18.75" x14ac:dyDescent="0.3">
      <c r="A1" s="6" t="s">
        <v>0</v>
      </c>
    </row>
    <row r="2" spans="1:13" x14ac:dyDescent="0.25">
      <c r="L2" s="5" t="s">
        <v>30</v>
      </c>
      <c r="M2" s="5" t="s">
        <v>29</v>
      </c>
    </row>
    <row r="3" spans="1:13" x14ac:dyDescent="0.25">
      <c r="K3" s="4">
        <v>45352</v>
      </c>
    </row>
    <row r="4" spans="1:13" x14ac:dyDescent="0.25">
      <c r="K4" s="4">
        <v>45383</v>
      </c>
    </row>
    <row r="5" spans="1:13" x14ac:dyDescent="0.25">
      <c r="K5" s="4">
        <v>45413</v>
      </c>
    </row>
    <row r="6" spans="1:13" x14ac:dyDescent="0.25">
      <c r="K6" s="4">
        <v>45444</v>
      </c>
    </row>
    <row r="7" spans="1:13" x14ac:dyDescent="0.25">
      <c r="K7" s="4">
        <v>45474</v>
      </c>
    </row>
    <row r="8" spans="1:13" x14ac:dyDescent="0.25">
      <c r="K8" s="4">
        <v>45505</v>
      </c>
    </row>
    <row r="9" spans="1:13" x14ac:dyDescent="0.25">
      <c r="K9" s="4">
        <v>45536</v>
      </c>
    </row>
    <row r="10" spans="1:13" x14ac:dyDescent="0.25">
      <c r="K10" s="4">
        <v>45566</v>
      </c>
      <c r="L10">
        <v>24752.3</v>
      </c>
      <c r="M10">
        <v>27602</v>
      </c>
    </row>
    <row r="11" spans="1:13" x14ac:dyDescent="0.25">
      <c r="K11" s="4">
        <v>45597</v>
      </c>
      <c r="L11">
        <v>18063.3</v>
      </c>
      <c r="M11">
        <v>24757</v>
      </c>
    </row>
    <row r="12" spans="1:13" x14ac:dyDescent="0.25">
      <c r="K12" s="4">
        <v>45627</v>
      </c>
      <c r="L12">
        <v>17826.900000000001</v>
      </c>
      <c r="M12">
        <v>19352</v>
      </c>
    </row>
    <row r="13" spans="1:13" x14ac:dyDescent="0.25">
      <c r="K13" s="4">
        <v>45658</v>
      </c>
      <c r="L13">
        <v>20394.5</v>
      </c>
      <c r="M13">
        <v>19399</v>
      </c>
    </row>
    <row r="14" spans="1:13" x14ac:dyDescent="0.25">
      <c r="K14" s="4">
        <v>45689</v>
      </c>
    </row>
    <row r="22" spans="11:13" ht="15.75" x14ac:dyDescent="0.25">
      <c r="K22" s="9" t="s">
        <v>31</v>
      </c>
      <c r="L22" s="9"/>
      <c r="M22" s="9"/>
    </row>
    <row r="23" spans="11:13" x14ac:dyDescent="0.25">
      <c r="L23" s="5" t="s">
        <v>30</v>
      </c>
      <c r="M23" s="5" t="s">
        <v>29</v>
      </c>
    </row>
    <row r="24" spans="11:13" x14ac:dyDescent="0.25">
      <c r="K24" s="4">
        <v>45352</v>
      </c>
    </row>
    <row r="25" spans="11:13" x14ac:dyDescent="0.25">
      <c r="K25" s="4">
        <v>45383</v>
      </c>
    </row>
    <row r="26" spans="11:13" x14ac:dyDescent="0.25">
      <c r="K26" s="4">
        <v>45413</v>
      </c>
    </row>
    <row r="27" spans="11:13" x14ac:dyDescent="0.25">
      <c r="K27" s="4">
        <v>45444</v>
      </c>
    </row>
    <row r="28" spans="11:13" x14ac:dyDescent="0.25">
      <c r="K28" s="4">
        <v>45474</v>
      </c>
    </row>
    <row r="29" spans="11:13" x14ac:dyDescent="0.25">
      <c r="K29" s="4">
        <v>45505</v>
      </c>
    </row>
    <row r="30" spans="11:13" x14ac:dyDescent="0.25">
      <c r="K30" s="4">
        <v>45536</v>
      </c>
    </row>
    <row r="31" spans="11:13" x14ac:dyDescent="0.25">
      <c r="K31" s="4">
        <v>45566</v>
      </c>
      <c r="L31">
        <v>798.46129032258057</v>
      </c>
      <c r="M31">
        <v>890.38709677419354</v>
      </c>
    </row>
    <row r="32" spans="11:13" x14ac:dyDescent="0.25">
      <c r="K32" s="4">
        <v>45597</v>
      </c>
      <c r="L32">
        <v>602.11</v>
      </c>
      <c r="M32">
        <v>773.65625</v>
      </c>
    </row>
    <row r="33" spans="11:13" x14ac:dyDescent="0.25">
      <c r="K33" s="4">
        <v>45627</v>
      </c>
      <c r="L33">
        <v>575.0612903225807</v>
      </c>
      <c r="M33">
        <v>624.25806451612902</v>
      </c>
    </row>
    <row r="34" spans="11:13" x14ac:dyDescent="0.25">
      <c r="K34" s="4">
        <v>45658</v>
      </c>
      <c r="L34">
        <v>657.88709677419354</v>
      </c>
      <c r="M34">
        <v>606.21875</v>
      </c>
    </row>
    <row r="35" spans="11:13" x14ac:dyDescent="0.25">
      <c r="K35" s="4">
        <v>45689</v>
      </c>
    </row>
  </sheetData>
  <mergeCells count="1">
    <mergeCell ref="K22:M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9DF6-B259-4639-B899-1F5A4B9904A1}">
  <dimension ref="A1:M14"/>
  <sheetViews>
    <sheetView tabSelected="1" workbookViewId="0">
      <selection activeCell="L17" sqref="L17"/>
    </sheetView>
  </sheetViews>
  <sheetFormatPr defaultRowHeight="15" x14ac:dyDescent="0.25"/>
  <cols>
    <col min="12" max="12" width="9.42578125" customWidth="1"/>
    <col min="13" max="13" width="10.28515625" customWidth="1"/>
  </cols>
  <sheetData>
    <row r="1" spans="1:13" ht="18.75" x14ac:dyDescent="0.3">
      <c r="A1" s="6" t="s">
        <v>0</v>
      </c>
    </row>
    <row r="2" spans="1:13" x14ac:dyDescent="0.25">
      <c r="L2" s="5" t="s">
        <v>30</v>
      </c>
      <c r="M2" s="5" t="s">
        <v>29</v>
      </c>
    </row>
    <row r="3" spans="1:13" x14ac:dyDescent="0.25">
      <c r="K3" s="4">
        <v>45352</v>
      </c>
      <c r="L3" s="7"/>
      <c r="M3" s="7"/>
    </row>
    <row r="4" spans="1:13" x14ac:dyDescent="0.25">
      <c r="K4" s="4">
        <v>45383</v>
      </c>
      <c r="L4" s="7"/>
      <c r="M4" s="7"/>
    </row>
    <row r="5" spans="1:13" x14ac:dyDescent="0.25">
      <c r="K5" s="4">
        <v>45413</v>
      </c>
      <c r="L5" s="7"/>
      <c r="M5" s="7"/>
    </row>
    <row r="6" spans="1:13" x14ac:dyDescent="0.25">
      <c r="K6" s="4">
        <v>45444</v>
      </c>
      <c r="L6" s="7"/>
      <c r="M6" s="7"/>
    </row>
    <row r="7" spans="1:13" x14ac:dyDescent="0.25">
      <c r="K7" s="4">
        <v>45474</v>
      </c>
      <c r="L7" s="7"/>
      <c r="M7" s="7"/>
    </row>
    <row r="8" spans="1:13" x14ac:dyDescent="0.25">
      <c r="K8" s="4">
        <v>45505</v>
      </c>
      <c r="L8" s="7"/>
      <c r="M8" s="7"/>
    </row>
    <row r="9" spans="1:13" x14ac:dyDescent="0.25">
      <c r="K9" s="4">
        <v>45536</v>
      </c>
      <c r="L9" s="7"/>
      <c r="M9" s="7"/>
    </row>
    <row r="10" spans="1:13" x14ac:dyDescent="0.25">
      <c r="K10" s="4">
        <v>45566</v>
      </c>
      <c r="L10" s="7">
        <v>3.633812211390457</v>
      </c>
      <c r="M10" s="7">
        <v>3.4462948337077024</v>
      </c>
    </row>
    <row r="11" spans="1:13" x14ac:dyDescent="0.25">
      <c r="K11" s="4">
        <v>45597</v>
      </c>
      <c r="L11" s="7">
        <v>3.6337651481180071</v>
      </c>
      <c r="M11" s="7">
        <v>3.4464317162822633</v>
      </c>
    </row>
    <row r="12" spans="1:13" x14ac:dyDescent="0.25">
      <c r="K12" s="4">
        <v>45627</v>
      </c>
      <c r="L12" s="7">
        <v>3.6337977999540017</v>
      </c>
      <c r="M12" s="7">
        <v>3.4461771393137659</v>
      </c>
    </row>
    <row r="13" spans="1:13" x14ac:dyDescent="0.25">
      <c r="K13" s="4">
        <v>45658</v>
      </c>
      <c r="L13" s="7">
        <v>3.6339473877761157</v>
      </c>
      <c r="M13" s="7">
        <v>3.446462188772617</v>
      </c>
    </row>
    <row r="14" spans="1:13" x14ac:dyDescent="0.25">
      <c r="K14" s="4">
        <v>45689</v>
      </c>
      <c r="L14" s="7"/>
      <c r="M14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Detailed</vt:lpstr>
      <vt:lpstr>Graph</vt:lpstr>
      <vt:lpstr>Cons Graph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Zerilda</dc:creator>
  <cp:lastModifiedBy>Zerilda</cp:lastModifiedBy>
  <dcterms:created xsi:type="dcterms:W3CDTF">2025-02-18T10:27:17Z</dcterms:created>
  <dcterms:modified xsi:type="dcterms:W3CDTF">2025-02-18T12:28:39Z</dcterms:modified>
</cp:coreProperties>
</file>