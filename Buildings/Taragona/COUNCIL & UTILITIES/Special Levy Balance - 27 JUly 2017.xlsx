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96" yWindow="144" windowWidth="16260" windowHeight="5592"/>
  </bookViews>
  <sheets>
    <sheet name="Sheet1" sheetId="1" r:id="rId1"/>
    <sheet name="Sheet2" sheetId="2" r:id="rId2"/>
    <sheet name="Sheet3" sheetId="3" r:id="rId3"/>
  </sheets>
  <calcPr calcId="145621"/>
</workbook>
</file>

<file path=xl/calcChain.xml><?xml version="1.0" encoding="utf-8"?>
<calcChain xmlns="http://schemas.openxmlformats.org/spreadsheetml/2006/main">
  <c r="F21" i="1" l="1"/>
  <c r="F22" i="1"/>
  <c r="F23" i="1"/>
  <c r="F24" i="1"/>
  <c r="F26" i="1"/>
  <c r="F27" i="1"/>
  <c r="F28" i="1"/>
  <c r="F29" i="1"/>
  <c r="F30" i="1"/>
  <c r="F31" i="1"/>
  <c r="F32" i="1"/>
  <c r="F33" i="1"/>
  <c r="F35" i="1"/>
  <c r="F20" i="1"/>
  <c r="F13" i="1"/>
  <c r="F14" i="1"/>
  <c r="F15" i="1"/>
  <c r="F16" i="1"/>
  <c r="F17" i="1"/>
  <c r="F18" i="1"/>
  <c r="F12" i="1"/>
  <c r="F10" i="1"/>
  <c r="F9" i="1"/>
  <c r="F19" i="1"/>
  <c r="F4" i="1"/>
  <c r="F5" i="1"/>
  <c r="F6" i="1"/>
  <c r="F3" i="1"/>
  <c r="F11" i="1"/>
  <c r="F8" i="1"/>
  <c r="B36" i="1"/>
  <c r="D4" i="1"/>
  <c r="E4" i="1" s="1"/>
  <c r="D5" i="1"/>
  <c r="E5" i="1" s="1"/>
  <c r="D6" i="1"/>
  <c r="E6" i="1" s="1"/>
  <c r="D7" i="1"/>
  <c r="D9" i="1"/>
  <c r="E9" i="1" s="1"/>
  <c r="D10" i="1"/>
  <c r="E10" i="1" s="1"/>
  <c r="D12" i="1"/>
  <c r="E12" i="1" s="1"/>
  <c r="D13" i="1"/>
  <c r="E13" i="1" s="1"/>
  <c r="D14" i="1"/>
  <c r="E14" i="1" s="1"/>
  <c r="D15" i="1"/>
  <c r="E15" i="1" s="1"/>
  <c r="D16" i="1"/>
  <c r="E16" i="1" s="1"/>
  <c r="D17" i="1"/>
  <c r="E17" i="1" s="1"/>
  <c r="D18" i="1"/>
  <c r="E18" i="1" s="1"/>
  <c r="D20" i="1"/>
  <c r="E20" i="1" s="1"/>
  <c r="D21" i="1"/>
  <c r="E21" i="1" s="1"/>
  <c r="D22" i="1"/>
  <c r="E22" i="1" s="1"/>
  <c r="D23" i="1"/>
  <c r="E23" i="1" s="1"/>
  <c r="D24" i="1"/>
  <c r="E24" i="1" s="1"/>
  <c r="D25" i="1"/>
  <c r="E25" i="1" s="1"/>
  <c r="D26" i="1"/>
  <c r="E26" i="1" s="1"/>
  <c r="D27" i="1"/>
  <c r="E27" i="1" s="1"/>
  <c r="D28" i="1"/>
  <c r="E28" i="1" s="1"/>
  <c r="D29" i="1"/>
  <c r="E29" i="1" s="1"/>
  <c r="D30" i="1"/>
  <c r="E30" i="1" s="1"/>
  <c r="D31" i="1"/>
  <c r="E31" i="1" s="1"/>
  <c r="D32" i="1"/>
  <c r="E32" i="1" s="1"/>
  <c r="D33" i="1"/>
  <c r="E33" i="1" s="1"/>
  <c r="D34" i="1"/>
  <c r="E34" i="1" s="1"/>
  <c r="F34" i="1" s="1"/>
  <c r="D35" i="1"/>
  <c r="E35" i="1" s="1"/>
  <c r="E3" i="1"/>
  <c r="D3" i="1"/>
  <c r="D2" i="1"/>
  <c r="E36" i="1" l="1"/>
  <c r="F25" i="1"/>
  <c r="F36" i="1" s="1"/>
  <c r="D36" i="1"/>
</calcChain>
</file>

<file path=xl/sharedStrings.xml><?xml version="1.0" encoding="utf-8"?>
<sst xmlns="http://schemas.openxmlformats.org/spreadsheetml/2006/main" count="20" uniqueCount="16">
  <si>
    <t>Unit</t>
  </si>
  <si>
    <t>Full Contribution</t>
  </si>
  <si>
    <t>Contribution per month</t>
  </si>
  <si>
    <t>3 months 'pd/raised'</t>
  </si>
  <si>
    <t>Balance</t>
  </si>
  <si>
    <t>n/a</t>
  </si>
  <si>
    <t>Period Opted (months)</t>
  </si>
  <si>
    <t>transfer</t>
  </si>
  <si>
    <t>Late Estate</t>
  </si>
  <si>
    <t>3 months will be paid in registration, the balance over 6 months</t>
  </si>
  <si>
    <t>will be paid in full on registration</t>
  </si>
  <si>
    <t>paid in full</t>
  </si>
  <si>
    <t>Colour Key:</t>
  </si>
  <si>
    <t>Balance raised on August statement as per owner's request</t>
  </si>
  <si>
    <t>Balance raised on August statement as per owners request</t>
  </si>
  <si>
    <t>will be paying balance sooner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</si>
</sst>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&quot;R&quot;#,##0.00"/>
  </numFmts>
  <fonts count="3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1" xfId="0" applyFont="1" applyBorder="1" applyAlignment="1">
      <alignment horizontal="center" wrapText="1"/>
    </xf>
    <xf numFmtId="164" fontId="2" fillId="0" borderId="1" xfId="0" applyNumberFormat="1" applyFont="1" applyBorder="1" applyAlignment="1">
      <alignment horizontal="center" wrapText="1"/>
    </xf>
    <xf numFmtId="164" fontId="0" fillId="0" borderId="0" xfId="0" applyNumberFormat="1"/>
    <xf numFmtId="164" fontId="0" fillId="0" borderId="2" xfId="0" applyNumberFormat="1" applyBorder="1"/>
    <xf numFmtId="0" fontId="0" fillId="2" borderId="0" xfId="0" applyFill="1"/>
    <xf numFmtId="164" fontId="0" fillId="2" borderId="0" xfId="0" applyNumberFormat="1" applyFill="1"/>
    <xf numFmtId="0" fontId="0" fillId="3" borderId="0" xfId="0" applyFill="1"/>
    <xf numFmtId="164" fontId="0" fillId="3" borderId="0" xfId="0" applyNumberFormat="1" applyFill="1"/>
    <xf numFmtId="0" fontId="0" fillId="4" borderId="0" xfId="0" applyFill="1"/>
    <xf numFmtId="164" fontId="0" fillId="4" borderId="0" xfId="0" applyNumberFormat="1" applyFill="1"/>
    <xf numFmtId="0" fontId="1" fillId="4" borderId="0" xfId="0" applyFont="1" applyFill="1"/>
    <xf numFmtId="0" fontId="2" fillId="0" borderId="0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7"/>
  <sheetViews>
    <sheetView tabSelected="1" workbookViewId="0">
      <selection activeCell="G13" sqref="G13"/>
    </sheetView>
  </sheetViews>
  <sheetFormatPr defaultRowHeight="14.4" x14ac:dyDescent="0.3"/>
  <cols>
    <col min="2" max="2" width="14.88671875" style="3" customWidth="1"/>
    <col min="3" max="3" width="12.5546875" customWidth="1"/>
    <col min="4" max="4" width="12" style="3" customWidth="1"/>
    <col min="5" max="5" width="10.6640625" customWidth="1"/>
    <col min="6" max="6" width="11.21875" customWidth="1"/>
  </cols>
  <sheetData>
    <row r="1" spans="1:9" ht="28.8" x14ac:dyDescent="0.3">
      <c r="A1" s="1" t="s">
        <v>0</v>
      </c>
      <c r="B1" s="2" t="s">
        <v>1</v>
      </c>
      <c r="C1" s="1" t="s">
        <v>6</v>
      </c>
      <c r="D1" s="2" t="s">
        <v>2</v>
      </c>
      <c r="E1" s="1" t="s">
        <v>3</v>
      </c>
      <c r="F1" s="1" t="s">
        <v>4</v>
      </c>
      <c r="H1" s="12" t="s">
        <v>12</v>
      </c>
    </row>
    <row r="2" spans="1:9" x14ac:dyDescent="0.3">
      <c r="A2" s="5">
        <v>1</v>
      </c>
      <c r="B2" s="6">
        <v>16701.77</v>
      </c>
      <c r="C2" s="5">
        <v>1</v>
      </c>
      <c r="D2" s="6">
        <f>B2/C2</f>
        <v>16701.77</v>
      </c>
      <c r="E2" s="5" t="s">
        <v>5</v>
      </c>
      <c r="F2" s="5">
        <v>0</v>
      </c>
      <c r="H2" s="5"/>
      <c r="I2" t="s">
        <v>11</v>
      </c>
    </row>
    <row r="3" spans="1:9" x14ac:dyDescent="0.3">
      <c r="A3">
        <v>2</v>
      </c>
      <c r="B3" s="3">
        <v>13527.05</v>
      </c>
      <c r="C3">
        <v>6</v>
      </c>
      <c r="D3" s="3">
        <f>B3/C3</f>
        <v>2254.5083333333332</v>
      </c>
      <c r="E3" s="3">
        <f>D3*3</f>
        <v>6763.5249999999996</v>
      </c>
      <c r="F3" s="3">
        <f>B3-E3</f>
        <v>6763.5249999999996</v>
      </c>
      <c r="H3" s="11"/>
      <c r="I3" t="s">
        <v>7</v>
      </c>
    </row>
    <row r="4" spans="1:9" x14ac:dyDescent="0.3">
      <c r="A4">
        <v>3</v>
      </c>
      <c r="B4" s="3">
        <v>13527.05</v>
      </c>
      <c r="C4">
        <v>18</v>
      </c>
      <c r="D4" s="3">
        <f t="shared" ref="D4:D35" si="0">B4/C4</f>
        <v>751.50277777777774</v>
      </c>
      <c r="E4" s="3">
        <f t="shared" ref="E4:E35" si="1">D4*3</f>
        <v>2254.5083333333332</v>
      </c>
      <c r="F4" s="3">
        <f t="shared" ref="F4:F6" si="2">B4-E4</f>
        <v>11272.541666666666</v>
      </c>
      <c r="H4" s="7"/>
      <c r="I4" t="s">
        <v>15</v>
      </c>
    </row>
    <row r="5" spans="1:9" x14ac:dyDescent="0.3">
      <c r="A5">
        <v>4</v>
      </c>
      <c r="B5" s="3">
        <v>13527.05</v>
      </c>
      <c r="C5">
        <v>6</v>
      </c>
      <c r="D5" s="3">
        <f t="shared" si="0"/>
        <v>2254.5083333333332</v>
      </c>
      <c r="E5" s="3">
        <f t="shared" si="1"/>
        <v>6763.5249999999996</v>
      </c>
      <c r="F5" s="3">
        <f t="shared" si="2"/>
        <v>6763.5249999999996</v>
      </c>
    </row>
    <row r="6" spans="1:9" x14ac:dyDescent="0.3">
      <c r="A6">
        <v>5</v>
      </c>
      <c r="B6" s="3">
        <v>13527.05</v>
      </c>
      <c r="C6">
        <v>18</v>
      </c>
      <c r="D6" s="3">
        <f t="shared" si="0"/>
        <v>751.50277777777774</v>
      </c>
      <c r="E6" s="3">
        <f t="shared" si="1"/>
        <v>2254.5083333333332</v>
      </c>
      <c r="F6" s="3">
        <f t="shared" si="2"/>
        <v>11272.541666666666</v>
      </c>
    </row>
    <row r="7" spans="1:9" x14ac:dyDescent="0.3">
      <c r="A7" s="5">
        <v>6</v>
      </c>
      <c r="B7" s="6">
        <v>13527.05</v>
      </c>
      <c r="C7" s="5">
        <v>1</v>
      </c>
      <c r="D7" s="6">
        <f t="shared" si="0"/>
        <v>13527.05</v>
      </c>
      <c r="E7" s="6" t="s">
        <v>5</v>
      </c>
      <c r="F7" s="5">
        <v>0</v>
      </c>
    </row>
    <row r="8" spans="1:9" x14ac:dyDescent="0.3">
      <c r="A8" s="9">
        <v>7</v>
      </c>
      <c r="B8" s="10">
        <v>13527.05</v>
      </c>
      <c r="C8" s="9">
        <v>0</v>
      </c>
      <c r="D8" s="10" t="s">
        <v>7</v>
      </c>
      <c r="E8" s="10">
        <v>0</v>
      </c>
      <c r="F8" s="10">
        <f>B8</f>
        <v>13527.05</v>
      </c>
      <c r="H8" t="s">
        <v>9</v>
      </c>
    </row>
    <row r="9" spans="1:9" x14ac:dyDescent="0.3">
      <c r="A9">
        <v>8</v>
      </c>
      <c r="B9" s="3">
        <v>13527.05</v>
      </c>
      <c r="C9">
        <v>18</v>
      </c>
      <c r="D9" s="3">
        <f t="shared" si="0"/>
        <v>751.50277777777774</v>
      </c>
      <c r="E9" s="3">
        <f t="shared" si="1"/>
        <v>2254.5083333333332</v>
      </c>
      <c r="F9" s="3">
        <f>B9-E9</f>
        <v>11272.541666666666</v>
      </c>
    </row>
    <row r="10" spans="1:9" x14ac:dyDescent="0.3">
      <c r="A10">
        <v>9</v>
      </c>
      <c r="B10" s="3">
        <v>13527.05</v>
      </c>
      <c r="C10">
        <v>18</v>
      </c>
      <c r="D10" s="3">
        <f t="shared" si="0"/>
        <v>751.50277777777774</v>
      </c>
      <c r="E10" s="3">
        <f t="shared" si="1"/>
        <v>2254.5083333333332</v>
      </c>
      <c r="F10" s="3">
        <f>B10-E10</f>
        <v>11272.541666666666</v>
      </c>
    </row>
    <row r="11" spans="1:9" x14ac:dyDescent="0.3">
      <c r="A11" s="9">
        <v>10</v>
      </c>
      <c r="B11" s="10">
        <v>13527.05</v>
      </c>
      <c r="C11" s="9">
        <v>0</v>
      </c>
      <c r="D11" s="10" t="s">
        <v>7</v>
      </c>
      <c r="E11" s="10">
        <v>0</v>
      </c>
      <c r="F11" s="10">
        <f>B11</f>
        <v>13527.05</v>
      </c>
      <c r="H11" t="s">
        <v>10</v>
      </c>
    </row>
    <row r="12" spans="1:9" x14ac:dyDescent="0.3">
      <c r="A12">
        <v>11</v>
      </c>
      <c r="B12" s="3">
        <v>13527.05</v>
      </c>
      <c r="C12">
        <v>6</v>
      </c>
      <c r="D12" s="3">
        <f t="shared" si="0"/>
        <v>2254.5083333333332</v>
      </c>
      <c r="E12" s="3">
        <f t="shared" si="1"/>
        <v>6763.5249999999996</v>
      </c>
      <c r="F12" s="3">
        <f>B12-E12</f>
        <v>6763.5249999999996</v>
      </c>
    </row>
    <row r="13" spans="1:9" x14ac:dyDescent="0.3">
      <c r="A13">
        <v>12</v>
      </c>
      <c r="B13" s="3">
        <v>13527.05</v>
      </c>
      <c r="C13">
        <v>18</v>
      </c>
      <c r="D13" s="3">
        <f t="shared" si="0"/>
        <v>751.50277777777774</v>
      </c>
      <c r="E13" s="3">
        <f t="shared" si="1"/>
        <v>2254.5083333333332</v>
      </c>
      <c r="F13" s="3">
        <f t="shared" ref="F13:F18" si="3">B13-E13</f>
        <v>11272.541666666666</v>
      </c>
    </row>
    <row r="14" spans="1:9" x14ac:dyDescent="0.3">
      <c r="A14">
        <v>13</v>
      </c>
      <c r="B14" s="3">
        <v>19738.45</v>
      </c>
      <c r="C14">
        <v>18</v>
      </c>
      <c r="D14" s="3">
        <f t="shared" si="0"/>
        <v>1096.5805555555555</v>
      </c>
      <c r="E14" s="3">
        <f t="shared" si="1"/>
        <v>3289.7416666666668</v>
      </c>
      <c r="F14" s="3">
        <f t="shared" si="3"/>
        <v>16448.708333333336</v>
      </c>
    </row>
    <row r="15" spans="1:9" x14ac:dyDescent="0.3">
      <c r="A15">
        <v>14</v>
      </c>
      <c r="B15" s="3">
        <v>7729.74</v>
      </c>
      <c r="C15">
        <v>18</v>
      </c>
      <c r="D15" s="3">
        <f t="shared" si="0"/>
        <v>429.43</v>
      </c>
      <c r="E15" s="3">
        <f t="shared" si="1"/>
        <v>1288.29</v>
      </c>
      <c r="F15" s="3">
        <f t="shared" si="3"/>
        <v>6441.45</v>
      </c>
    </row>
    <row r="16" spans="1:9" x14ac:dyDescent="0.3">
      <c r="A16">
        <v>15</v>
      </c>
      <c r="B16" s="3">
        <v>6211.4</v>
      </c>
      <c r="C16">
        <v>18</v>
      </c>
      <c r="D16" s="3">
        <f t="shared" si="0"/>
        <v>345.07777777777778</v>
      </c>
      <c r="E16" s="3">
        <f t="shared" si="1"/>
        <v>1035.2333333333333</v>
      </c>
      <c r="F16" s="3">
        <f t="shared" si="3"/>
        <v>5176.1666666666661</v>
      </c>
    </row>
    <row r="17" spans="1:8" x14ac:dyDescent="0.3">
      <c r="A17">
        <v>16</v>
      </c>
      <c r="B17" s="3">
        <v>8281.8700000000008</v>
      </c>
      <c r="C17">
        <v>18</v>
      </c>
      <c r="D17" s="3">
        <f t="shared" si="0"/>
        <v>460.10388888888895</v>
      </c>
      <c r="E17" s="3">
        <f t="shared" si="1"/>
        <v>1380.311666666667</v>
      </c>
      <c r="F17" s="3">
        <f t="shared" si="3"/>
        <v>6901.5583333333343</v>
      </c>
    </row>
    <row r="18" spans="1:8" x14ac:dyDescent="0.3">
      <c r="A18">
        <v>17</v>
      </c>
      <c r="B18" s="3">
        <v>10214.299999999999</v>
      </c>
      <c r="C18">
        <v>6</v>
      </c>
      <c r="D18" s="3">
        <f t="shared" si="0"/>
        <v>1702.3833333333332</v>
      </c>
      <c r="E18" s="3">
        <f t="shared" si="1"/>
        <v>5107.1499999999996</v>
      </c>
      <c r="F18" s="3">
        <f t="shared" si="3"/>
        <v>5107.1499999999996</v>
      </c>
    </row>
    <row r="19" spans="1:8" x14ac:dyDescent="0.3">
      <c r="A19" s="9">
        <v>18</v>
      </c>
      <c r="B19" s="10">
        <v>8281.8700000000008</v>
      </c>
      <c r="C19" s="9">
        <v>0</v>
      </c>
      <c r="D19" s="10" t="s">
        <v>8</v>
      </c>
      <c r="E19" s="10">
        <v>0</v>
      </c>
      <c r="F19" s="10">
        <f>B19</f>
        <v>8281.8700000000008</v>
      </c>
      <c r="H19" t="s">
        <v>10</v>
      </c>
    </row>
    <row r="20" spans="1:8" x14ac:dyDescent="0.3">
      <c r="A20">
        <v>19</v>
      </c>
      <c r="B20" s="3">
        <v>10214.299999999999</v>
      </c>
      <c r="C20">
        <v>6</v>
      </c>
      <c r="D20" s="3">
        <f t="shared" si="0"/>
        <v>1702.3833333333332</v>
      </c>
      <c r="E20" s="3">
        <f t="shared" si="1"/>
        <v>5107.1499999999996</v>
      </c>
      <c r="F20" s="3">
        <f>B20-E20</f>
        <v>5107.1499999999996</v>
      </c>
    </row>
    <row r="21" spans="1:8" x14ac:dyDescent="0.3">
      <c r="A21">
        <v>20</v>
      </c>
      <c r="B21" s="3">
        <v>8281.8700000000008</v>
      </c>
      <c r="C21">
        <v>18</v>
      </c>
      <c r="D21" s="3">
        <f t="shared" si="0"/>
        <v>460.10388888888895</v>
      </c>
      <c r="E21" s="3">
        <f t="shared" si="1"/>
        <v>1380.311666666667</v>
      </c>
      <c r="F21" s="3">
        <f t="shared" ref="F21:F35" si="4">B21-E21</f>
        <v>6901.5583333333343</v>
      </c>
    </row>
    <row r="22" spans="1:8" x14ac:dyDescent="0.3">
      <c r="A22">
        <v>21</v>
      </c>
      <c r="B22" s="3">
        <v>10214.299999999999</v>
      </c>
      <c r="C22">
        <v>18</v>
      </c>
      <c r="D22" s="3">
        <f t="shared" si="0"/>
        <v>567.46111111111111</v>
      </c>
      <c r="E22" s="3">
        <f t="shared" si="1"/>
        <v>1702.3833333333332</v>
      </c>
      <c r="F22" s="3">
        <f t="shared" si="4"/>
        <v>8511.9166666666661</v>
      </c>
    </row>
    <row r="23" spans="1:8" x14ac:dyDescent="0.3">
      <c r="A23">
        <v>22</v>
      </c>
      <c r="B23" s="3">
        <v>6211.4</v>
      </c>
      <c r="C23">
        <v>18</v>
      </c>
      <c r="D23" s="3">
        <f t="shared" si="0"/>
        <v>345.07777777777778</v>
      </c>
      <c r="E23" s="3">
        <f t="shared" si="1"/>
        <v>1035.2333333333333</v>
      </c>
      <c r="F23" s="3">
        <f t="shared" si="4"/>
        <v>5176.1666666666661</v>
      </c>
    </row>
    <row r="24" spans="1:8" x14ac:dyDescent="0.3">
      <c r="A24">
        <v>23</v>
      </c>
      <c r="B24" s="3">
        <v>9938.24</v>
      </c>
      <c r="C24">
        <v>18</v>
      </c>
      <c r="D24" s="3">
        <f t="shared" si="0"/>
        <v>552.12444444444441</v>
      </c>
      <c r="E24" s="3">
        <f t="shared" si="1"/>
        <v>1656.3733333333332</v>
      </c>
      <c r="F24" s="3">
        <f t="shared" si="4"/>
        <v>8281.8666666666668</v>
      </c>
    </row>
    <row r="25" spans="1:8" x14ac:dyDescent="0.3">
      <c r="A25" s="7">
        <v>24</v>
      </c>
      <c r="B25" s="8">
        <v>19324.36</v>
      </c>
      <c r="C25" s="7">
        <v>6</v>
      </c>
      <c r="D25" s="8">
        <f t="shared" si="0"/>
        <v>3220.7266666666669</v>
      </c>
      <c r="E25" s="8">
        <f t="shared" si="1"/>
        <v>9662.18</v>
      </c>
      <c r="F25" s="8">
        <f t="shared" si="4"/>
        <v>9662.18</v>
      </c>
      <c r="H25" t="s">
        <v>13</v>
      </c>
    </row>
    <row r="26" spans="1:8" x14ac:dyDescent="0.3">
      <c r="A26">
        <v>25</v>
      </c>
      <c r="B26" s="3">
        <v>13665.08</v>
      </c>
      <c r="C26">
        <v>18</v>
      </c>
      <c r="D26" s="3">
        <f t="shared" si="0"/>
        <v>759.17111111111114</v>
      </c>
      <c r="E26" s="3">
        <f t="shared" si="1"/>
        <v>2277.5133333333333</v>
      </c>
      <c r="F26" s="3">
        <f t="shared" si="4"/>
        <v>11387.566666666666</v>
      </c>
    </row>
    <row r="27" spans="1:8" x14ac:dyDescent="0.3">
      <c r="A27">
        <v>26</v>
      </c>
      <c r="B27" s="3">
        <v>13665.08</v>
      </c>
      <c r="C27">
        <v>18</v>
      </c>
      <c r="D27" s="3">
        <f t="shared" si="0"/>
        <v>759.17111111111114</v>
      </c>
      <c r="E27" s="3">
        <f t="shared" si="1"/>
        <v>2277.5133333333333</v>
      </c>
      <c r="F27" s="3">
        <f t="shared" si="4"/>
        <v>11387.566666666666</v>
      </c>
    </row>
    <row r="28" spans="1:8" x14ac:dyDescent="0.3">
      <c r="A28">
        <v>27</v>
      </c>
      <c r="B28" s="3">
        <v>13665.08</v>
      </c>
      <c r="C28">
        <v>6</v>
      </c>
      <c r="D28" s="3">
        <f t="shared" si="0"/>
        <v>2277.5133333333333</v>
      </c>
      <c r="E28" s="3">
        <f t="shared" si="1"/>
        <v>6832.54</v>
      </c>
      <c r="F28" s="3">
        <f t="shared" si="4"/>
        <v>6832.54</v>
      </c>
    </row>
    <row r="29" spans="1:8" x14ac:dyDescent="0.3">
      <c r="A29">
        <v>28</v>
      </c>
      <c r="B29" s="3">
        <v>13665.08</v>
      </c>
      <c r="C29">
        <v>12</v>
      </c>
      <c r="D29" s="3">
        <f t="shared" si="0"/>
        <v>1138.7566666666667</v>
      </c>
      <c r="E29" s="3">
        <f t="shared" si="1"/>
        <v>3416.27</v>
      </c>
      <c r="F29" s="3">
        <f t="shared" si="4"/>
        <v>10248.81</v>
      </c>
    </row>
    <row r="30" spans="1:8" x14ac:dyDescent="0.3">
      <c r="A30">
        <v>29</v>
      </c>
      <c r="B30" s="3">
        <v>19600.419999999998</v>
      </c>
      <c r="C30">
        <v>12</v>
      </c>
      <c r="D30" s="3">
        <f t="shared" si="0"/>
        <v>1633.3683333333331</v>
      </c>
      <c r="E30" s="3">
        <f t="shared" si="1"/>
        <v>4900.1049999999996</v>
      </c>
      <c r="F30" s="3">
        <f t="shared" si="4"/>
        <v>14700.314999999999</v>
      </c>
    </row>
    <row r="31" spans="1:8" x14ac:dyDescent="0.3">
      <c r="A31">
        <v>30</v>
      </c>
      <c r="B31" s="3">
        <v>8833.99</v>
      </c>
      <c r="C31">
        <v>18</v>
      </c>
      <c r="D31" s="3">
        <f t="shared" si="0"/>
        <v>490.77722222222224</v>
      </c>
      <c r="E31" s="3">
        <f t="shared" si="1"/>
        <v>1472.3316666666667</v>
      </c>
      <c r="F31" s="3">
        <f t="shared" si="4"/>
        <v>7361.6583333333328</v>
      </c>
    </row>
    <row r="32" spans="1:8" x14ac:dyDescent="0.3">
      <c r="A32">
        <v>31</v>
      </c>
      <c r="B32" s="3">
        <v>8419.9</v>
      </c>
      <c r="C32">
        <v>18</v>
      </c>
      <c r="D32" s="3">
        <f t="shared" si="0"/>
        <v>467.77222222222218</v>
      </c>
      <c r="E32" s="3">
        <f t="shared" si="1"/>
        <v>1403.3166666666666</v>
      </c>
      <c r="F32" s="3">
        <f t="shared" si="4"/>
        <v>7016.583333333333</v>
      </c>
    </row>
    <row r="33" spans="1:8" x14ac:dyDescent="0.3">
      <c r="A33">
        <v>32</v>
      </c>
      <c r="B33" s="3">
        <v>10352.33</v>
      </c>
      <c r="C33">
        <v>6</v>
      </c>
      <c r="D33" s="3">
        <f t="shared" si="0"/>
        <v>1725.3883333333333</v>
      </c>
      <c r="E33" s="3">
        <f t="shared" si="1"/>
        <v>5176.165</v>
      </c>
      <c r="F33" s="3">
        <f t="shared" si="4"/>
        <v>5176.165</v>
      </c>
    </row>
    <row r="34" spans="1:8" x14ac:dyDescent="0.3">
      <c r="A34" s="7">
        <v>33</v>
      </c>
      <c r="B34" s="8">
        <v>6211.4</v>
      </c>
      <c r="C34" s="7">
        <v>6</v>
      </c>
      <c r="D34" s="8">
        <f t="shared" si="0"/>
        <v>1035.2333333333333</v>
      </c>
      <c r="E34" s="8">
        <f t="shared" si="1"/>
        <v>3105.7</v>
      </c>
      <c r="F34" s="8">
        <f t="shared" si="4"/>
        <v>3105.7</v>
      </c>
      <c r="H34" t="s">
        <v>14</v>
      </c>
    </row>
    <row r="35" spans="1:8" x14ac:dyDescent="0.3">
      <c r="A35">
        <v>34</v>
      </c>
      <c r="B35" s="3">
        <v>9800.2099999999991</v>
      </c>
      <c r="C35">
        <v>6</v>
      </c>
      <c r="D35" s="3">
        <f t="shared" si="0"/>
        <v>1633.3683333333331</v>
      </c>
      <c r="E35" s="3">
        <f t="shared" si="1"/>
        <v>4900.1049999999996</v>
      </c>
      <c r="F35" s="3">
        <f t="shared" si="4"/>
        <v>4900.1049999999996</v>
      </c>
    </row>
    <row r="36" spans="1:8" ht="15" thickBot="1" x14ac:dyDescent="0.35">
      <c r="B36" s="4">
        <f>SUM(B2:B35)</f>
        <v>408019.99000000005</v>
      </c>
      <c r="D36" s="4">
        <f t="shared" ref="D36:F36" si="5">SUM(D20:D35)</f>
        <v>18768.397222222222</v>
      </c>
      <c r="E36" s="4">
        <f t="shared" si="5"/>
        <v>56305.191666666666</v>
      </c>
      <c r="F36" s="4">
        <f t="shared" si="5"/>
        <v>125757.8483333333</v>
      </c>
    </row>
    <row r="37" spans="1:8" ht="15" thickTop="1" x14ac:dyDescent="0.3"/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Johanna</dc:creator>
  <cp:lastModifiedBy>Johanna</cp:lastModifiedBy>
  <dcterms:created xsi:type="dcterms:W3CDTF">2017-07-27T07:43:38Z</dcterms:created>
  <dcterms:modified xsi:type="dcterms:W3CDTF">2017-07-27T08:08:20Z</dcterms:modified>
</cp:coreProperties>
</file>