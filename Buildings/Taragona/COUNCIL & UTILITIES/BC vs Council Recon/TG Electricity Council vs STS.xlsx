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TG\Utilities Back Date\"/>
    </mc:Choice>
  </mc:AlternateContent>
  <xr:revisionPtr revIDLastSave="380" documentId="13_ncr:1_{7F502912-C7E7-4DC1-B6B9-CC979D6838CF}" xr6:coauthVersionLast="47" xr6:coauthVersionMax="47" xr10:uidLastSave="{9194B96A-A341-48CA-905F-37E8093FBDCA}"/>
  <bookViews>
    <workbookView xWindow="-28920" yWindow="-3765" windowWidth="29040" windowHeight="15840" activeTab="1" xr2:uid="{B488AF17-5448-45AA-BFD8-C2CF1BA12778}"/>
  </bookViews>
  <sheets>
    <sheet name="Data" sheetId="1" r:id="rId1"/>
    <sheet name="Graph" sheetId="2" r:id="rId2"/>
    <sheet name="Consumption Graph" sheetId="3" r:id="rId3"/>
    <sheet name="Rates Graph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7" i="1" l="1"/>
  <c r="E469" i="1"/>
  <c r="E478" i="1"/>
  <c r="F477" i="1"/>
  <c r="H478" i="1"/>
  <c r="G478" i="1"/>
  <c r="B478" i="1"/>
  <c r="D478" i="1" s="1"/>
  <c r="L478" i="1" s="1"/>
  <c r="H477" i="1"/>
  <c r="G477" i="1"/>
  <c r="B477" i="1"/>
  <c r="D477" i="1" s="1"/>
  <c r="L477" i="1" s="1"/>
  <c r="E470" i="1"/>
  <c r="F469" i="1"/>
  <c r="H470" i="1"/>
  <c r="G470" i="1"/>
  <c r="B470" i="1"/>
  <c r="D470" i="1" s="1"/>
  <c r="L470" i="1" s="1"/>
  <c r="H469" i="1"/>
  <c r="G469" i="1"/>
  <c r="B469" i="1"/>
  <c r="D469" i="1" s="1"/>
  <c r="L469" i="1" s="1"/>
  <c r="E462" i="1"/>
  <c r="F461" i="1"/>
  <c r="E461" i="1"/>
  <c r="H462" i="1"/>
  <c r="G462" i="1"/>
  <c r="B462" i="1"/>
  <c r="D462" i="1" s="1"/>
  <c r="L462" i="1" s="1"/>
  <c r="H461" i="1"/>
  <c r="G461" i="1"/>
  <c r="B461" i="1"/>
  <c r="D461" i="1" s="1"/>
  <c r="L461" i="1" s="1"/>
  <c r="AD19" i="2"/>
  <c r="AC19" i="2"/>
  <c r="AE19" i="2" s="1"/>
  <c r="H454" i="1"/>
  <c r="E454" i="1"/>
  <c r="H453" i="1"/>
  <c r="F453" i="1"/>
  <c r="E453" i="1"/>
  <c r="G454" i="1"/>
  <c r="B454" i="1"/>
  <c r="D454" i="1" s="1"/>
  <c r="L454" i="1" s="1"/>
  <c r="G453" i="1"/>
  <c r="B453" i="1"/>
  <c r="D453" i="1" s="1"/>
  <c r="L453" i="1" s="1"/>
  <c r="M445" i="1"/>
  <c r="H446" i="1"/>
  <c r="E446" i="1"/>
  <c r="H445" i="1"/>
  <c r="F445" i="1"/>
  <c r="E445" i="1"/>
  <c r="G446" i="1"/>
  <c r="B446" i="1"/>
  <c r="D446" i="1" s="1"/>
  <c r="L446" i="1" s="1"/>
  <c r="G445" i="1"/>
  <c r="B445" i="1"/>
  <c r="D445" i="1" s="1"/>
  <c r="L445" i="1" s="1"/>
  <c r="H438" i="1"/>
  <c r="E438" i="1"/>
  <c r="F437" i="1"/>
  <c r="E437" i="1"/>
  <c r="G438" i="1"/>
  <c r="B438" i="1"/>
  <c r="D438" i="1" s="1"/>
  <c r="L438" i="1" s="1"/>
  <c r="H437" i="1"/>
  <c r="G437" i="1"/>
  <c r="B437" i="1"/>
  <c r="D437" i="1" s="1"/>
  <c r="L437" i="1" s="1"/>
  <c r="H430" i="1"/>
  <c r="G430" i="1"/>
  <c r="E430" i="1"/>
  <c r="H429" i="1"/>
  <c r="G429" i="1"/>
  <c r="F429" i="1"/>
  <c r="E429" i="1"/>
  <c r="B430" i="1"/>
  <c r="D430" i="1" s="1"/>
  <c r="L430" i="1" s="1"/>
  <c r="B429" i="1"/>
  <c r="D429" i="1" s="1"/>
  <c r="L429" i="1" s="1"/>
  <c r="E422" i="1"/>
  <c r="F421" i="1"/>
  <c r="E421" i="1"/>
  <c r="H422" i="1"/>
  <c r="G422" i="1"/>
  <c r="B422" i="1"/>
  <c r="D422" i="1" s="1"/>
  <c r="L422" i="1" s="1"/>
  <c r="H421" i="1"/>
  <c r="G421" i="1"/>
  <c r="B421" i="1"/>
  <c r="D421" i="1" s="1"/>
  <c r="L421" i="1" s="1"/>
  <c r="E414" i="1"/>
  <c r="F413" i="1"/>
  <c r="E413" i="1"/>
  <c r="H414" i="1"/>
  <c r="G414" i="1"/>
  <c r="B414" i="1"/>
  <c r="D414" i="1" s="1"/>
  <c r="L414" i="1" s="1"/>
  <c r="H413" i="1"/>
  <c r="G413" i="1"/>
  <c r="B413" i="1"/>
  <c r="D413" i="1" s="1"/>
  <c r="L413" i="1" s="1"/>
  <c r="E405" i="1"/>
  <c r="M405" i="1"/>
  <c r="F405" i="1"/>
  <c r="E406" i="1"/>
  <c r="H406" i="1"/>
  <c r="G406" i="1"/>
  <c r="B406" i="1"/>
  <c r="D406" i="1" s="1"/>
  <c r="L406" i="1" s="1"/>
  <c r="H405" i="1"/>
  <c r="G405" i="1"/>
  <c r="B405" i="1"/>
  <c r="D405" i="1" s="1"/>
  <c r="L405" i="1" s="1"/>
  <c r="E398" i="1"/>
  <c r="F397" i="1"/>
  <c r="E397" i="1"/>
  <c r="H398" i="1"/>
  <c r="G398" i="1"/>
  <c r="B398" i="1"/>
  <c r="D398" i="1" s="1"/>
  <c r="L398" i="1" s="1"/>
  <c r="H397" i="1"/>
  <c r="G397" i="1"/>
  <c r="B397" i="1"/>
  <c r="D397" i="1" s="1"/>
  <c r="L397" i="1" s="1"/>
  <c r="R19" i="2"/>
  <c r="Q19" i="2"/>
  <c r="S19" i="2" s="1"/>
  <c r="E390" i="1"/>
  <c r="E392" i="1" s="1"/>
  <c r="F389" i="1"/>
  <c r="E389" i="1"/>
  <c r="H390" i="1"/>
  <c r="G390" i="1"/>
  <c r="B390" i="1"/>
  <c r="D390" i="1" s="1"/>
  <c r="L390" i="1" s="1"/>
  <c r="H389" i="1"/>
  <c r="G389" i="1"/>
  <c r="E391" i="1"/>
  <c r="B389" i="1"/>
  <c r="D389" i="1" s="1"/>
  <c r="L389" i="1" s="1"/>
  <c r="E382" i="1"/>
  <c r="E374" i="1"/>
  <c r="F373" i="1"/>
  <c r="E373" i="1"/>
  <c r="F381" i="1"/>
  <c r="E381" i="1"/>
  <c r="H382" i="1"/>
  <c r="G382" i="1"/>
  <c r="B382" i="1"/>
  <c r="D382" i="1" s="1"/>
  <c r="L382" i="1" s="1"/>
  <c r="H381" i="1"/>
  <c r="G381" i="1"/>
  <c r="B381" i="1"/>
  <c r="D381" i="1" s="1"/>
  <c r="L381" i="1" s="1"/>
  <c r="E479" i="1" l="1"/>
  <c r="M477" i="1"/>
  <c r="E480" i="1"/>
  <c r="M478" i="1"/>
  <c r="E471" i="1"/>
  <c r="M469" i="1"/>
  <c r="E472" i="1"/>
  <c r="M470" i="1"/>
  <c r="E463" i="1"/>
  <c r="M461" i="1"/>
  <c r="E464" i="1"/>
  <c r="M462" i="1"/>
  <c r="E455" i="1"/>
  <c r="M453" i="1"/>
  <c r="E456" i="1"/>
  <c r="M454" i="1"/>
  <c r="E447" i="1"/>
  <c r="E448" i="1"/>
  <c r="M446" i="1"/>
  <c r="E439" i="1"/>
  <c r="M437" i="1"/>
  <c r="E440" i="1"/>
  <c r="M438" i="1"/>
  <c r="E431" i="1"/>
  <c r="M429" i="1"/>
  <c r="E432" i="1"/>
  <c r="M430" i="1"/>
  <c r="E423" i="1"/>
  <c r="M421" i="1"/>
  <c r="E424" i="1"/>
  <c r="M422" i="1"/>
  <c r="E415" i="1"/>
  <c r="M413" i="1"/>
  <c r="E416" i="1"/>
  <c r="M414" i="1"/>
  <c r="E407" i="1"/>
  <c r="E408" i="1"/>
  <c r="M406" i="1"/>
  <c r="E399" i="1"/>
  <c r="M397" i="1"/>
  <c r="E400" i="1"/>
  <c r="M398" i="1"/>
  <c r="E393" i="1"/>
  <c r="M389" i="1"/>
  <c r="M390" i="1"/>
  <c r="E383" i="1"/>
  <c r="M382" i="1"/>
  <c r="M381" i="1"/>
  <c r="E384" i="1"/>
  <c r="E385" i="1" s="1"/>
  <c r="H374" i="1"/>
  <c r="G374" i="1"/>
  <c r="E376" i="1"/>
  <c r="B374" i="1"/>
  <c r="D374" i="1" s="1"/>
  <c r="L374" i="1" s="1"/>
  <c r="H373" i="1"/>
  <c r="G373" i="1"/>
  <c r="E375" i="1"/>
  <c r="E377" i="1" s="1"/>
  <c r="B373" i="1"/>
  <c r="D373" i="1" s="1"/>
  <c r="L373" i="1" s="1"/>
  <c r="E366" i="1"/>
  <c r="E368" i="1" s="1"/>
  <c r="E365" i="1"/>
  <c r="F365" i="1"/>
  <c r="H366" i="1"/>
  <c r="G366" i="1"/>
  <c r="B366" i="1"/>
  <c r="D366" i="1" s="1"/>
  <c r="L366" i="1" s="1"/>
  <c r="H365" i="1"/>
  <c r="G365" i="1"/>
  <c r="E367" i="1"/>
  <c r="B365" i="1"/>
  <c r="D365" i="1" s="1"/>
  <c r="L365" i="1" s="1"/>
  <c r="H358" i="1"/>
  <c r="E358" i="1"/>
  <c r="E357" i="1"/>
  <c r="F357" i="1"/>
  <c r="E481" i="1" l="1"/>
  <c r="E473" i="1"/>
  <c r="E465" i="1"/>
  <c r="E457" i="1"/>
  <c r="E449" i="1"/>
  <c r="E441" i="1"/>
  <c r="E433" i="1"/>
  <c r="E425" i="1"/>
  <c r="E417" i="1"/>
  <c r="E409" i="1"/>
  <c r="E401" i="1"/>
  <c r="M374" i="1"/>
  <c r="M373" i="1"/>
  <c r="E369" i="1"/>
  <c r="M366" i="1"/>
  <c r="M365" i="1"/>
  <c r="G358" i="1"/>
  <c r="E360" i="1"/>
  <c r="B358" i="1"/>
  <c r="D358" i="1" s="1"/>
  <c r="L358" i="1" s="1"/>
  <c r="H357" i="1"/>
  <c r="G357" i="1"/>
  <c r="E359" i="1"/>
  <c r="B357" i="1"/>
  <c r="D357" i="1" s="1"/>
  <c r="L357" i="1" s="1"/>
  <c r="E350" i="1"/>
  <c r="E349" i="1"/>
  <c r="H350" i="1"/>
  <c r="G350" i="1"/>
  <c r="E352" i="1"/>
  <c r="B350" i="1"/>
  <c r="D350" i="1" s="1"/>
  <c r="L350" i="1" s="1"/>
  <c r="H349" i="1"/>
  <c r="G349" i="1"/>
  <c r="E351" i="1"/>
  <c r="B349" i="1"/>
  <c r="D349" i="1" s="1"/>
  <c r="L349" i="1" s="1"/>
  <c r="E343" i="1"/>
  <c r="E342" i="1"/>
  <c r="E344" i="1" s="1"/>
  <c r="H341" i="1"/>
  <c r="G341" i="1"/>
  <c r="F341" i="1"/>
  <c r="E341" i="1"/>
  <c r="H342" i="1"/>
  <c r="G342" i="1"/>
  <c r="B342" i="1"/>
  <c r="D342" i="1" s="1"/>
  <c r="B341" i="1"/>
  <c r="D341" i="1" s="1"/>
  <c r="M341" i="1" s="1"/>
  <c r="G334" i="1"/>
  <c r="H334" i="1"/>
  <c r="E334" i="1"/>
  <c r="E333" i="1"/>
  <c r="F333" i="1"/>
  <c r="B334" i="1"/>
  <c r="D334" i="1" s="1"/>
  <c r="L334" i="1" s="1"/>
  <c r="B333" i="1"/>
  <c r="D333" i="1" s="1"/>
  <c r="L333" i="1" s="1"/>
  <c r="E326" i="1"/>
  <c r="E328" i="1" s="1"/>
  <c r="F325" i="1"/>
  <c r="E325" i="1"/>
  <c r="H326" i="1"/>
  <c r="G326" i="1"/>
  <c r="B326" i="1"/>
  <c r="D326" i="1" s="1"/>
  <c r="L326" i="1" s="1"/>
  <c r="B325" i="1"/>
  <c r="D325" i="1" s="1"/>
  <c r="E318" i="1"/>
  <c r="E320" i="1" s="1"/>
  <c r="F317" i="1"/>
  <c r="E317" i="1"/>
  <c r="H318" i="1"/>
  <c r="G318" i="1"/>
  <c r="B318" i="1"/>
  <c r="D318" i="1" s="1"/>
  <c r="L318" i="1" s="1"/>
  <c r="B317" i="1"/>
  <c r="D317" i="1" s="1"/>
  <c r="E310" i="1"/>
  <c r="E312" i="1" s="1"/>
  <c r="F309" i="1"/>
  <c r="E309" i="1"/>
  <c r="E311" i="1"/>
  <c r="H310" i="1"/>
  <c r="G310" i="1"/>
  <c r="B310" i="1"/>
  <c r="D310" i="1" s="1"/>
  <c r="L310" i="1" s="1"/>
  <c r="B309" i="1"/>
  <c r="D309" i="1" s="1"/>
  <c r="E302" i="1"/>
  <c r="E304" i="1" s="1"/>
  <c r="F301" i="1"/>
  <c r="E301" i="1"/>
  <c r="Z19" i="2"/>
  <c r="Y19" i="2"/>
  <c r="H302" i="1"/>
  <c r="G302" i="1"/>
  <c r="B302" i="1"/>
  <c r="D302" i="1" s="1"/>
  <c r="L302" i="1" s="1"/>
  <c r="B301" i="1"/>
  <c r="D301" i="1" s="1"/>
  <c r="E294" i="1"/>
  <c r="F293" i="1"/>
  <c r="E293" i="1"/>
  <c r="E295" i="1" s="1"/>
  <c r="H294" i="1"/>
  <c r="G294" i="1"/>
  <c r="E296" i="1"/>
  <c r="B294" i="1"/>
  <c r="D294" i="1" s="1"/>
  <c r="L294" i="1" s="1"/>
  <c r="B293" i="1"/>
  <c r="D293" i="1" s="1"/>
  <c r="E286" i="1"/>
  <c r="E288" i="1" s="1"/>
  <c r="F285" i="1"/>
  <c r="E287" i="1" s="1"/>
  <c r="E285" i="1"/>
  <c r="H286" i="1"/>
  <c r="G286" i="1"/>
  <c r="B286" i="1"/>
  <c r="D286" i="1" s="1"/>
  <c r="L286" i="1" s="1"/>
  <c r="B285" i="1"/>
  <c r="D285" i="1" s="1"/>
  <c r="E278" i="1"/>
  <c r="E280" i="1" s="1"/>
  <c r="F277" i="1"/>
  <c r="E277" i="1"/>
  <c r="H278" i="1"/>
  <c r="G278" i="1"/>
  <c r="B278" i="1"/>
  <c r="D278" i="1" s="1"/>
  <c r="L278" i="1" s="1"/>
  <c r="D277" i="1"/>
  <c r="M277" i="1" s="1"/>
  <c r="B277" i="1"/>
  <c r="L342" i="1" l="1"/>
  <c r="M342" i="1"/>
  <c r="M349" i="1"/>
  <c r="E361" i="1"/>
  <c r="M358" i="1"/>
  <c r="M357" i="1"/>
  <c r="E353" i="1"/>
  <c r="M350" i="1"/>
  <c r="L341" i="1"/>
  <c r="E345" i="1"/>
  <c r="E336" i="1"/>
  <c r="M334" i="1" s="1"/>
  <c r="E335" i="1"/>
  <c r="M333" i="1"/>
  <c r="M326" i="1"/>
  <c r="E327" i="1"/>
  <c r="E329" i="1" s="1"/>
  <c r="M325" i="1"/>
  <c r="L325" i="1"/>
  <c r="E319" i="1"/>
  <c r="M318" i="1"/>
  <c r="L317" i="1"/>
  <c r="M317" i="1"/>
  <c r="E321" i="1"/>
  <c r="M310" i="1"/>
  <c r="M309" i="1"/>
  <c r="L309" i="1"/>
  <c r="E313" i="1"/>
  <c r="AA19" i="2"/>
  <c r="M302" i="1"/>
  <c r="E303" i="1"/>
  <c r="E305" i="1" s="1"/>
  <c r="M301" i="1"/>
  <c r="L301" i="1"/>
  <c r="E297" i="1"/>
  <c r="M294" i="1"/>
  <c r="M293" i="1"/>
  <c r="L293" i="1"/>
  <c r="M286" i="1"/>
  <c r="L285" i="1"/>
  <c r="M285" i="1"/>
  <c r="E289" i="1"/>
  <c r="M278" i="1"/>
  <c r="E279" i="1"/>
  <c r="E281" i="1"/>
  <c r="L277" i="1"/>
  <c r="E270" i="1"/>
  <c r="F269" i="1"/>
  <c r="E269" i="1"/>
  <c r="E271" i="1" s="1"/>
  <c r="H270" i="1"/>
  <c r="G270" i="1"/>
  <c r="E272" i="1"/>
  <c r="B270" i="1"/>
  <c r="D270" i="1" s="1"/>
  <c r="L270" i="1" s="1"/>
  <c r="B269" i="1"/>
  <c r="D269" i="1" s="1"/>
  <c r="E337" i="1" l="1"/>
  <c r="M270" i="1"/>
  <c r="M269" i="1"/>
  <c r="L269" i="1"/>
  <c r="E273" i="1"/>
  <c r="E262" i="1"/>
  <c r="F261" i="1"/>
  <c r="E261" i="1"/>
  <c r="H262" i="1"/>
  <c r="G262" i="1"/>
  <c r="E264" i="1"/>
  <c r="B262" i="1"/>
  <c r="D262" i="1" s="1"/>
  <c r="L262" i="1" s="1"/>
  <c r="B261" i="1"/>
  <c r="D261" i="1" s="1"/>
  <c r="L261" i="1" s="1"/>
  <c r="M262" i="1" l="1"/>
  <c r="E263" i="1"/>
  <c r="E265" i="1" s="1"/>
  <c r="M261" i="1"/>
  <c r="E253" i="1"/>
  <c r="E254" i="1"/>
  <c r="F253" i="1"/>
  <c r="H254" i="1"/>
  <c r="G254" i="1"/>
  <c r="E256" i="1"/>
  <c r="B254" i="1"/>
  <c r="D254" i="1" s="1"/>
  <c r="L254" i="1" s="1"/>
  <c r="B253" i="1"/>
  <c r="D253" i="1" s="1"/>
  <c r="M254" i="1" l="1"/>
  <c r="E255" i="1"/>
  <c r="E257" i="1" s="1"/>
  <c r="M253" i="1"/>
  <c r="L253" i="1"/>
  <c r="F245" i="1"/>
  <c r="E245" i="1"/>
  <c r="E247" i="1" s="1"/>
  <c r="E246" i="1"/>
  <c r="E248" i="1" s="1"/>
  <c r="H246" i="1"/>
  <c r="G246" i="1"/>
  <c r="B246" i="1"/>
  <c r="D246" i="1" s="1"/>
  <c r="L246" i="1" s="1"/>
  <c r="B245" i="1"/>
  <c r="D245" i="1" s="1"/>
  <c r="L245" i="1" s="1"/>
  <c r="E240" i="1"/>
  <c r="H238" i="1"/>
  <c r="G238" i="1"/>
  <c r="F238" i="1"/>
  <c r="E238" i="1"/>
  <c r="M245" i="1" l="1"/>
  <c r="M246" i="1"/>
  <c r="E249" i="1"/>
  <c r="F237" i="1"/>
  <c r="E239" i="1" s="1"/>
  <c r="E237" i="1"/>
  <c r="B238" i="1"/>
  <c r="D238" i="1" s="1"/>
  <c r="L238" i="1" s="1"/>
  <c r="B237" i="1"/>
  <c r="D237" i="1" s="1"/>
  <c r="L237" i="1" s="1"/>
  <c r="E241" i="1" l="1"/>
  <c r="M238" i="1"/>
  <c r="E230" i="1"/>
  <c r="F229" i="1"/>
  <c r="E229" i="1"/>
  <c r="H230" i="1" l="1"/>
  <c r="G230" i="1"/>
  <c r="E232" i="1"/>
  <c r="B230" i="1"/>
  <c r="D230" i="1" s="1"/>
  <c r="L230" i="1" s="1"/>
  <c r="E231" i="1"/>
  <c r="B229" i="1"/>
  <c r="D229" i="1" s="1"/>
  <c r="L229" i="1" s="1"/>
  <c r="M230" i="1" l="1"/>
  <c r="E233" i="1"/>
  <c r="E222" i="1" l="1"/>
  <c r="F221" i="1" l="1"/>
  <c r="E221" i="1"/>
  <c r="H222" i="1"/>
  <c r="G222" i="1"/>
  <c r="E224" i="1"/>
  <c r="B222" i="1"/>
  <c r="D222" i="1" s="1"/>
  <c r="L222" i="1" s="1"/>
  <c r="B221" i="1"/>
  <c r="D221" i="1" s="1"/>
  <c r="L221" i="1" s="1"/>
  <c r="M222" i="1" l="1"/>
  <c r="E223" i="1"/>
  <c r="E225" i="1"/>
  <c r="F213" i="1"/>
  <c r="E213" i="1"/>
  <c r="E214" i="1" l="1"/>
  <c r="E216" i="1" s="1"/>
  <c r="H214" i="1"/>
  <c r="G214" i="1"/>
  <c r="B214" i="1"/>
  <c r="D214" i="1" s="1"/>
  <c r="L214" i="1" s="1"/>
  <c r="E215" i="1"/>
  <c r="B213" i="1"/>
  <c r="D213" i="1" s="1"/>
  <c r="L213" i="1" s="1"/>
  <c r="E206" i="1"/>
  <c r="F205" i="1"/>
  <c r="E205" i="1"/>
  <c r="E208" i="1"/>
  <c r="H206" i="1"/>
  <c r="G206" i="1"/>
  <c r="B206" i="1"/>
  <c r="D206" i="1" s="1"/>
  <c r="L206" i="1" s="1"/>
  <c r="B205" i="1"/>
  <c r="D205" i="1" s="1"/>
  <c r="L205" i="1" s="1"/>
  <c r="M214" i="1" l="1"/>
  <c r="E217" i="1"/>
  <c r="E207" i="1"/>
  <c r="E209" i="1" s="1"/>
  <c r="M206" i="1"/>
  <c r="V19" i="2"/>
  <c r="U19" i="2"/>
  <c r="W19" i="2" l="1"/>
  <c r="E198" i="1"/>
  <c r="F197" i="1"/>
  <c r="E197" i="1"/>
  <c r="E199" i="1"/>
  <c r="H198" i="1"/>
  <c r="G198" i="1"/>
  <c r="B198" i="1"/>
  <c r="D198" i="1" s="1"/>
  <c r="L198" i="1" s="1"/>
  <c r="B197" i="1"/>
  <c r="D197" i="1" s="1"/>
  <c r="L197" i="1" s="1"/>
  <c r="E200" i="1" l="1"/>
  <c r="M198" i="1" s="1"/>
  <c r="E190" i="1"/>
  <c r="H190" i="1"/>
  <c r="G190" i="1"/>
  <c r="B190" i="1"/>
  <c r="D190" i="1" s="1"/>
  <c r="L190" i="1" s="1"/>
  <c r="E191" i="1"/>
  <c r="B189" i="1"/>
  <c r="D189" i="1" s="1"/>
  <c r="L189" i="1" s="1"/>
  <c r="E201" i="1" l="1"/>
  <c r="E192" i="1"/>
  <c r="M190" i="1" s="1"/>
  <c r="E193" i="1"/>
  <c r="O5" i="4"/>
  <c r="O6" i="4" s="1"/>
  <c r="E182" i="1"/>
  <c r="F181" i="1"/>
  <c r="E181" i="1"/>
  <c r="H182" i="1"/>
  <c r="G182" i="1"/>
  <c r="B182" i="1"/>
  <c r="D182" i="1" s="1"/>
  <c r="L182" i="1" s="1"/>
  <c r="B181" i="1"/>
  <c r="D181" i="1" s="1"/>
  <c r="L181" i="1" s="1"/>
  <c r="E184" i="1" l="1"/>
  <c r="M182" i="1" s="1"/>
  <c r="E183" i="1"/>
  <c r="E185" i="1" s="1"/>
  <c r="E174" i="1"/>
  <c r="E173" i="1"/>
  <c r="F173" i="1"/>
  <c r="H174" i="1"/>
  <c r="G174" i="1"/>
  <c r="B174" i="1"/>
  <c r="D174" i="1" s="1"/>
  <c r="L174" i="1" s="1"/>
  <c r="B173" i="1"/>
  <c r="D173" i="1" s="1"/>
  <c r="L173" i="1" s="1"/>
  <c r="E176" i="1" l="1"/>
  <c r="E175" i="1"/>
  <c r="E177" i="1" s="1"/>
  <c r="M174" i="1"/>
  <c r="F165" i="1"/>
  <c r="E165" i="1"/>
  <c r="E167" i="1" l="1"/>
  <c r="E166" i="1"/>
  <c r="E168" i="1" s="1"/>
  <c r="B166" i="1"/>
  <c r="D166" i="1" s="1"/>
  <c r="B165" i="1"/>
  <c r="D165" i="1" s="1"/>
  <c r="L165" i="1" s="1"/>
  <c r="H166" i="1"/>
  <c r="G166" i="1"/>
  <c r="N19" i="2"/>
  <c r="M19" i="2"/>
  <c r="O19" i="2" l="1"/>
  <c r="M166" i="1"/>
  <c r="E169" i="1"/>
  <c r="L125" i="1"/>
  <c r="L117" i="1"/>
  <c r="L109" i="1"/>
  <c r="L101" i="1"/>
  <c r="D157" i="1" l="1"/>
  <c r="L157" i="1" s="1"/>
  <c r="D149" i="1"/>
  <c r="L149" i="1" s="1"/>
  <c r="D141" i="1"/>
  <c r="L141" i="1" s="1"/>
  <c r="D133" i="1"/>
  <c r="L133" i="1" s="1"/>
  <c r="H158" i="1" l="1"/>
  <c r="G158" i="1"/>
  <c r="E161" i="1"/>
  <c r="E153" i="1"/>
  <c r="E151" i="1"/>
  <c r="E143" i="1"/>
  <c r="E145" i="1" s="1"/>
  <c r="E135" i="1"/>
  <c r="E137" i="1" s="1"/>
  <c r="E158" i="1"/>
  <c r="E150" i="1"/>
  <c r="H150" i="1"/>
  <c r="G150" i="1"/>
  <c r="H142" i="1"/>
  <c r="G142" i="1"/>
  <c r="F142" i="1"/>
  <c r="E142" i="1"/>
  <c r="H134" i="1"/>
  <c r="G134" i="1"/>
  <c r="E134" i="1"/>
</calcChain>
</file>

<file path=xl/sharedStrings.xml><?xml version="1.0" encoding="utf-8"?>
<sst xmlns="http://schemas.openxmlformats.org/spreadsheetml/2006/main" count="1315" uniqueCount="121">
  <si>
    <t>Taragona Elec Back Date Summary 2018 - Apr2019</t>
  </si>
  <si>
    <t>Unit No.</t>
  </si>
  <si>
    <t>Opening Reading</t>
  </si>
  <si>
    <t>Closing Reading</t>
  </si>
  <si>
    <t>Cons</t>
  </si>
  <si>
    <t>Elec Amount</t>
  </si>
  <si>
    <t>Network Surcharge</t>
  </si>
  <si>
    <t>Service Fee</t>
  </si>
  <si>
    <t>Network Fee</t>
  </si>
  <si>
    <t>BC Bulk</t>
  </si>
  <si>
    <t>Council Bulk</t>
  </si>
  <si>
    <t>BC Total</t>
  </si>
  <si>
    <t>Council Total</t>
  </si>
  <si>
    <t>Difference</t>
  </si>
  <si>
    <t>Reading Dates</t>
  </si>
  <si>
    <t>Days</t>
  </si>
  <si>
    <t>Estimated?</t>
  </si>
  <si>
    <t>Kwh p/day</t>
  </si>
  <si>
    <t>Rates</t>
  </si>
  <si>
    <t>1Jan - 1Feb 2019</t>
  </si>
  <si>
    <t>Actual</t>
  </si>
  <si>
    <t>1Jan - 31Jan 2019</t>
  </si>
  <si>
    <t>1Feb - 1Mar 2019</t>
  </si>
  <si>
    <t>1Feb - 28Feb 2019</t>
  </si>
  <si>
    <t>1Mar - 1Apr 2019</t>
  </si>
  <si>
    <t>1 - 31Mar 2019</t>
  </si>
  <si>
    <t>1Apr - 1May 2019</t>
  </si>
  <si>
    <t>1 - 30Apr 2019</t>
  </si>
  <si>
    <t>1May - 31May 2019</t>
  </si>
  <si>
    <t>1 - 31May 2019</t>
  </si>
  <si>
    <t>31May - 1Jul</t>
  </si>
  <si>
    <t>1 - 30Jun 2019</t>
  </si>
  <si>
    <t>1Jul - 31Jul 2019</t>
  </si>
  <si>
    <t>1 - 31Jul 2019</t>
  </si>
  <si>
    <t>31Jul - 31Aug 2019</t>
  </si>
  <si>
    <t>1 - 31Aug 2019</t>
  </si>
  <si>
    <t>Common Property</t>
  </si>
  <si>
    <t>31Aug - 30Sep 2019</t>
  </si>
  <si>
    <t>1Sep - 30Sep 2019</t>
  </si>
  <si>
    <t>30Sep - 31Oct 2019</t>
  </si>
  <si>
    <t>1Oct - 31Oct 2019</t>
  </si>
  <si>
    <t>31Oct - 1Dec 2019</t>
  </si>
  <si>
    <t>1Nov - 30Nov 2019</t>
  </si>
  <si>
    <t>1Dec - 4Jan 2020</t>
  </si>
  <si>
    <t>1Dec - 31Dec 2019</t>
  </si>
  <si>
    <t>4Jan - 31Jan 2020</t>
  </si>
  <si>
    <t>1Jan - 31Jan 2020</t>
  </si>
  <si>
    <t>31Jan - 27Feb 2020</t>
  </si>
  <si>
    <t>1Feb - 29Feb 2020</t>
  </si>
  <si>
    <t>1Mar - 31Mar 2020</t>
  </si>
  <si>
    <t>31Mar - 30Apr 2020</t>
  </si>
  <si>
    <t>1Apr - 30Apr 2020</t>
  </si>
  <si>
    <t>30Apr - 31May 2020</t>
  </si>
  <si>
    <t>1May - 31May 2020</t>
  </si>
  <si>
    <t>31May - 30Jun 2020</t>
  </si>
  <si>
    <t>1Jun - 30Jun 2020</t>
  </si>
  <si>
    <t>30Jun - 31Jul 2020</t>
  </si>
  <si>
    <t>1Jul - 31Jul 2020</t>
  </si>
  <si>
    <t>31jul - 31Aug 2020</t>
  </si>
  <si>
    <t>1Aug - 31Aug 2020</t>
  </si>
  <si>
    <t>31Aug - 30Sept 2020</t>
  </si>
  <si>
    <t>1Sept - 30Sept 2020</t>
  </si>
  <si>
    <t>30Sept - 30Oct 2020</t>
  </si>
  <si>
    <t>1Oct - 31Oct 2020</t>
  </si>
  <si>
    <t>30Oct - 1Dec 2020</t>
  </si>
  <si>
    <t>1Nov - 30Nov 2020</t>
  </si>
  <si>
    <t>1Dec - 31Dec 2020</t>
  </si>
  <si>
    <t>31Dec 2020 - 31Jan 2021</t>
  </si>
  <si>
    <t>1Jan - 31Jan 2021</t>
  </si>
  <si>
    <t>31Jan - 1Mar 2021</t>
  </si>
  <si>
    <t>1Feb - 28Feb 2021</t>
  </si>
  <si>
    <t>1Mar - 1Apr 2021</t>
  </si>
  <si>
    <t>1Mar - 31Mar 2021</t>
  </si>
  <si>
    <t>1Apr - 30Apr 2021</t>
  </si>
  <si>
    <t>1May - 31May 2021</t>
  </si>
  <si>
    <t>31May - 5Jul 2021</t>
  </si>
  <si>
    <t>1Jun - 30Jun 2021</t>
  </si>
  <si>
    <t>5Jul - 3Aug 2021</t>
  </si>
  <si>
    <t>1Jul - 3Aug 2021</t>
  </si>
  <si>
    <t>3Aug - 31Aug 2021</t>
  </si>
  <si>
    <t>4Aug - 31Aug 2021</t>
  </si>
  <si>
    <t>1Sept - 30Sept 2021</t>
  </si>
  <si>
    <t>30Sept - 2Nov 2021</t>
  </si>
  <si>
    <t>1Oct - 31Oct 2021</t>
  </si>
  <si>
    <t>2Nov - 30Nov 2021</t>
  </si>
  <si>
    <t>30Nov - 31Dec 2021</t>
  </si>
  <si>
    <t>1Dec - 31Dec 2021</t>
  </si>
  <si>
    <t>31Dec 2021 - 31Jan 2022</t>
  </si>
  <si>
    <t>1Jan - 31Jan 2022</t>
  </si>
  <si>
    <t>31Jan - 28 Feb 2022</t>
  </si>
  <si>
    <t>1Feb - 28Feb 2022</t>
  </si>
  <si>
    <t>28Feb - 31Mar 2022</t>
  </si>
  <si>
    <t>1Mar - 31Mar 2022</t>
  </si>
  <si>
    <t>31Mar - 30Apr 2022</t>
  </si>
  <si>
    <t>1Apr - 30Apr 2022</t>
  </si>
  <si>
    <t>30Apr - 31May 2022</t>
  </si>
  <si>
    <t>1May - 31May 2022</t>
  </si>
  <si>
    <t>31May - 4Jul 2022</t>
  </si>
  <si>
    <t>1Jun - 30Jun 2022</t>
  </si>
  <si>
    <t>4Jul - 31Jul 2022</t>
  </si>
  <si>
    <t>1Jul - 31Jul 2022</t>
  </si>
  <si>
    <t>1Aug - 31Aug 2022</t>
  </si>
  <si>
    <t>1Sept - 30Sept 2022</t>
  </si>
  <si>
    <t>1Oct - 31Oct 2022</t>
  </si>
  <si>
    <t>1Nov - 3Dec 2022</t>
  </si>
  <si>
    <t>1Nov - 30Nov 2022</t>
  </si>
  <si>
    <t>3Dec - 31Dec 2022</t>
  </si>
  <si>
    <t>1Dec - 31Dec 2022</t>
  </si>
  <si>
    <t>Taragona Elec Back Date</t>
  </si>
  <si>
    <t>TG Council Billing is CORRECT</t>
  </si>
  <si>
    <t>Bulk readings are in line, STS reads more than Council overall</t>
  </si>
  <si>
    <t>Rates are in line, but STS still under recouping?</t>
  </si>
  <si>
    <t>BC</t>
  </si>
  <si>
    <t>Council</t>
  </si>
  <si>
    <t>Estimated / Actual</t>
  </si>
  <si>
    <t>A</t>
  </si>
  <si>
    <t xml:space="preserve"> </t>
  </si>
  <si>
    <t>TG Consumption BC vs Council</t>
  </si>
  <si>
    <t>KWH PER DAY</t>
  </si>
  <si>
    <t>TG Rates BC vs Council</t>
  </si>
  <si>
    <t>BC rates are a little more due to more consumption being read.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</si>
</sst>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&quot;* #,##0.00_-;\-&quot;R&quot;* #,##0.00_-;_-&quot;R&quot;* &quot;-&quot;??_-;_-@_-"/>
    <numFmt numFmtId="165" formatCode="&quot;R&quot;#,##0.00"/>
    <numFmt numFmtId="166" formatCode="_-[$R-436]* #,##0.00_-;\-[$R-436]* #,##0.00_-;_-[$R-436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17" fontId="1" fillId="0" borderId="0" xfId="0" applyNumberFormat="1" applyFont="1"/>
    <xf numFmtId="0" fontId="1" fillId="0" borderId="1" xfId="0" applyFont="1" applyBorder="1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1" fontId="0" fillId="0" borderId="0" xfId="0" applyNumberFormat="1"/>
    <xf numFmtId="0" fontId="3" fillId="0" borderId="0" xfId="0" applyFont="1"/>
    <xf numFmtId="164" fontId="0" fillId="0" borderId="0" xfId="0" applyNumberFormat="1"/>
    <xf numFmtId="164" fontId="1" fillId="0" borderId="2" xfId="0" applyNumberFormat="1" applyFont="1" applyBorder="1"/>
    <xf numFmtId="0" fontId="0" fillId="0" borderId="0" xfId="0" applyAlignment="1">
      <alignment horizontal="center"/>
    </xf>
    <xf numFmtId="164" fontId="0" fillId="0" borderId="0" xfId="1" applyFont="1"/>
    <xf numFmtId="17" fontId="1" fillId="2" borderId="0" xfId="0" applyNumberFormat="1" applyFont="1" applyFill="1"/>
    <xf numFmtId="0" fontId="5" fillId="0" borderId="0" xfId="0" applyFont="1"/>
    <xf numFmtId="164" fontId="0" fillId="0" borderId="1" xfId="1" applyFont="1" applyBorder="1"/>
    <xf numFmtId="166" fontId="0" fillId="0" borderId="0" xfId="0" applyNumberFormat="1"/>
    <xf numFmtId="17" fontId="1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1" applyFon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BC vs Council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Graph!$AC$6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Graph!$AB$7:$AB$18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Graph!$AC$7:$AC$18</c:f>
              <c:numCache>
                <c:formatCode>_-"R"* #,##0.00_-;\-"R"* #,##0.00_-;_-"R"* "-"??_-;_-@_-</c:formatCode>
                <c:ptCount val="12"/>
                <c:pt idx="0">
                  <c:v>23801.802999999996</c:v>
                </c:pt>
                <c:pt idx="1">
                  <c:v>24838.470499999999</c:v>
                </c:pt>
                <c:pt idx="2" formatCode="_-[$R-436]* #,##0.00_-;\-[$R-436]* #,##0.00_-;_-[$R-436]* &quot;-&quot;??_-;_-@_-">
                  <c:v>17533.383000000002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BB-4879-B687-B944C3EEAD25}"/>
            </c:ext>
          </c:extLst>
        </c:ser>
        <c:ser>
          <c:idx val="1"/>
          <c:order val="1"/>
          <c:tx>
            <c:strRef>
              <c:f>Graph!$AD$6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Graph!$AB$7:$AB$18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Graph!$AD$7:$AD$18</c:f>
              <c:numCache>
                <c:formatCode>_-[$R-436]* #,##0.00_-;\-[$R-436]* #,##0.00_-;_-[$R-436]* "-"??_-;_-@_-</c:formatCode>
                <c:ptCount val="12"/>
                <c:pt idx="0" formatCode="_-&quot;R&quot;* #,##0.00_-;\-&quot;R&quot;* #,##0.00_-;_-&quot;R&quot;* &quot;-&quot;??_-;_-@_-">
                  <c:v>22295.199499999999</c:v>
                </c:pt>
                <c:pt idx="1">
                  <c:v>22690.511999999999</c:v>
                </c:pt>
                <c:pt idx="2" formatCode="_-&quot;R&quot;* #,##0.00_-;\-&quot;R&quot;* #,##0.00_-;_-&quot;R&quot;* &quot;-&quot;??_-;_-@_-">
                  <c:v>19669.232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BB-4879-B687-B944C3EEA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887400"/>
        <c:axId val="1713130823"/>
      </c:barChart>
      <c:dateAx>
        <c:axId val="14388874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130823"/>
        <c:crosses val="autoZero"/>
        <c:auto val="1"/>
        <c:lblOffset val="100"/>
        <c:baseTimeUnit val="months"/>
      </c:dateAx>
      <c:valAx>
        <c:axId val="1713130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&quot;* #,##0.00_-;\-&quot;R&quot;* #,##0.00_-;_-&quot;R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88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BC vs Council Cons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'Consumption Graph'!$X$3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'Consumption Graph'!$W$4:$W$15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'Consumption Graph'!$X$4:$X$15</c:f>
              <c:numCache>
                <c:formatCode>General</c:formatCode>
                <c:ptCount val="12"/>
                <c:pt idx="0">
                  <c:v>10918</c:v>
                </c:pt>
                <c:pt idx="1">
                  <c:v>11434</c:v>
                </c:pt>
                <c:pt idx="2">
                  <c:v>7943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87-4DEE-A689-D7BC362A3336}"/>
            </c:ext>
          </c:extLst>
        </c:ser>
        <c:ser>
          <c:idx val="1"/>
          <c:order val="1"/>
          <c:tx>
            <c:strRef>
              <c:f>'Consumption Graph'!$Y$3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'Consumption Graph'!$W$4:$W$15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'Consumption Graph'!$Y$4:$Y$15</c:f>
              <c:numCache>
                <c:formatCode>General</c:formatCode>
                <c:ptCount val="12"/>
                <c:pt idx="0">
                  <c:v>10532</c:v>
                </c:pt>
                <c:pt idx="1">
                  <c:v>10728</c:v>
                </c:pt>
                <c:pt idx="2">
                  <c:v>9230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87-4DEE-A689-D7BC362A3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5703607"/>
        <c:axId val="1422439191"/>
      </c:barChart>
      <c:dateAx>
        <c:axId val="12357036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439191"/>
        <c:crosses val="autoZero"/>
        <c:auto val="1"/>
        <c:lblOffset val="100"/>
        <c:baseTimeUnit val="months"/>
      </c:dateAx>
      <c:valAx>
        <c:axId val="1422439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03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KWH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'Consumption Graph'!$X$24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'Consumption Graph'!$W$25:$W$36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'Consumption Graph'!$X$25:$X$36</c:f>
              <c:numCache>
                <c:formatCode>0</c:formatCode>
                <c:ptCount val="12"/>
                <c:pt idx="0">
                  <c:v>352.19354838709677</c:v>
                </c:pt>
                <c:pt idx="1">
                  <c:v>346.4848484848485</c:v>
                </c:pt>
                <c:pt idx="2">
                  <c:v>283.67857142857144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26-4B8D-A150-F6B4F1944E3F}"/>
            </c:ext>
          </c:extLst>
        </c:ser>
        <c:ser>
          <c:idx val="1"/>
          <c:order val="1"/>
          <c:tx>
            <c:strRef>
              <c:f>'Consumption Graph'!$Y$24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'Consumption Graph'!$W$25:$W$36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'Consumption Graph'!$Y$25:$Y$36</c:f>
              <c:numCache>
                <c:formatCode>0</c:formatCode>
                <c:ptCount val="12"/>
                <c:pt idx="0">
                  <c:v>339.74193548387098</c:v>
                </c:pt>
                <c:pt idx="1">
                  <c:v>357.6</c:v>
                </c:pt>
                <c:pt idx="2">
                  <c:v>297.74193548387098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26-4B8D-A150-F6B4F1944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5712343"/>
        <c:axId val="1422436599"/>
      </c:barChart>
      <c:dateAx>
        <c:axId val="12357123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436599"/>
        <c:crosses val="autoZero"/>
        <c:auto val="1"/>
        <c:lblOffset val="100"/>
        <c:baseTimeUnit val="months"/>
      </c:dateAx>
      <c:valAx>
        <c:axId val="1422436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12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'Rates Graph'!$X$3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'Rates Graph'!$W$4:$W$15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'Rates Graph'!$X$4:$X$15</c:f>
              <c:numCache>
                <c:formatCode>_-[$R-436]* #,##0.00_-;\-[$R-436]* #,##0.00_-;_-[$R-436]* "-"??_-;_-@_-</c:formatCode>
                <c:ptCount val="12"/>
                <c:pt idx="0">
                  <c:v>2.083557107528851</c:v>
                </c:pt>
                <c:pt idx="1">
                  <c:v>2.08</c:v>
                </c:pt>
                <c:pt idx="2">
                  <c:v>2.0747647614251545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61-48AC-993B-A24F3BC8E827}"/>
            </c:ext>
          </c:extLst>
        </c:ser>
        <c:ser>
          <c:idx val="1"/>
          <c:order val="1"/>
          <c:tx>
            <c:strRef>
              <c:f>'Rates Graph'!$Y$3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'Rates Graph'!$W$4:$W$15</c:f>
              <c:numCache>
                <c:formatCode>mmm\-yy</c:formatCode>
                <c:ptCount val="12"/>
                <c:pt idx="0">
                  <c:v>44835</c:v>
                </c:pt>
                <c:pt idx="1">
                  <c:v>44866</c:v>
                </c:pt>
                <c:pt idx="2">
                  <c:v>44896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</c:numCache>
            </c:numRef>
          </c:cat>
          <c:val>
            <c:numRef>
              <c:f>'Rates Graph'!$Y$4:$Y$15</c:f>
              <c:numCache>
                <c:formatCode>_-[$R-436]* #,##0.00_-;\-[$R-436]* #,##0.00_-;_-[$R-436]* "-"??_-;_-@_-</c:formatCode>
                <c:ptCount val="12"/>
                <c:pt idx="0">
                  <c:v>2.0168698252943411</c:v>
                </c:pt>
                <c:pt idx="1">
                  <c:v>2.02</c:v>
                </c:pt>
                <c:pt idx="2">
                  <c:v>2.0168695016251355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61-48AC-993B-A24F3BC8E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379848"/>
        <c:axId val="461379095"/>
      </c:barChart>
      <c:dateAx>
        <c:axId val="2153798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379095"/>
        <c:crosses val="autoZero"/>
        <c:auto val="1"/>
        <c:lblOffset val="100"/>
        <c:baseTimeUnit val="months"/>
      </c:dateAx>
      <c:valAx>
        <c:axId val="461379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37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133350</xdr:rowOff>
    </xdr:from>
    <xdr:to>
      <xdr:col>9</xdr:col>
      <xdr:colOff>200025</xdr:colOff>
      <xdr:row>18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3D1990-9691-E350-AFC2-3077E9291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133350</xdr:rowOff>
    </xdr:from>
    <xdr:to>
      <xdr:col>9</xdr:col>
      <xdr:colOff>285750</xdr:colOff>
      <xdr:row>20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AE9D13-C6EF-1932-D2F6-062D9E289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21</xdr:row>
      <xdr:rowOff>95250</xdr:rowOff>
    </xdr:from>
    <xdr:to>
      <xdr:col>9</xdr:col>
      <xdr:colOff>323850</xdr:colOff>
      <xdr:row>35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B352E5-FC23-EBC9-09FE-EF5C4BC58618}"/>
            </a:ext>
            <a:ext uri="{147F2762-F138-4A5C-976F-8EAC2B608ADB}">
              <a16:predDERef xmlns:a16="http://schemas.microsoft.com/office/drawing/2014/main" pred="{62AE9D13-C6EF-1932-D2F6-062D9E289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</xdr:row>
      <xdr:rowOff>123825</xdr:rowOff>
    </xdr:from>
    <xdr:to>
      <xdr:col>8</xdr:col>
      <xdr:colOff>314325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2DDCFA-A0B9-9758-F1F2-DCF3A532C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87BD-D0AE-4509-91F6-21076FEDA5E3}">
  <sheetPr>
    <pageSetUpPr fitToPage="1"/>
  </sheetPr>
  <dimension ref="A1:M481"/>
  <sheetViews>
    <sheetView topLeftCell="A449" workbookViewId="0">
      <selection activeCell="G473" sqref="G473"/>
    </sheetView>
  </sheetViews>
  <sheetFormatPr defaultRowHeight="15"/>
  <cols>
    <col min="1" max="1" width="12.5703125" customWidth="1"/>
    <col min="2" max="2" width="16.28515625" bestFit="1" customWidth="1"/>
    <col min="3" max="3" width="15.140625" bestFit="1" customWidth="1"/>
    <col min="5" max="5" width="12.140625" bestFit="1" customWidth="1"/>
    <col min="6" max="6" width="18.140625" bestFit="1" customWidth="1"/>
    <col min="7" max="7" width="11.140625" bestFit="1" customWidth="1"/>
    <col min="8" max="8" width="12.42578125" bestFit="1" customWidth="1"/>
    <col min="9" max="9" width="22" customWidth="1"/>
    <col min="11" max="11" width="10.85546875" bestFit="1" customWidth="1"/>
    <col min="12" max="12" width="10.42578125" bestFit="1" customWidth="1"/>
  </cols>
  <sheetData>
    <row r="1" spans="1:8" ht="18.75">
      <c r="A1" s="1" t="s">
        <v>0</v>
      </c>
    </row>
    <row r="3" spans="1:8">
      <c r="A3" s="13">
        <v>43101</v>
      </c>
    </row>
    <row r="4" spans="1:8" hidden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 hidden="1">
      <c r="A5" s="5" t="s">
        <v>9</v>
      </c>
      <c r="B5" s="5">
        <v>522939</v>
      </c>
      <c r="C5" s="5">
        <v>567700</v>
      </c>
      <c r="D5" s="5">
        <v>44761</v>
      </c>
      <c r="E5" s="6"/>
      <c r="F5" s="6"/>
      <c r="G5" s="6"/>
      <c r="H5" s="6"/>
    </row>
    <row r="6" spans="1:8" hidden="1">
      <c r="A6" s="5" t="s">
        <v>10</v>
      </c>
      <c r="B6" s="5">
        <v>857506</v>
      </c>
      <c r="C6" s="5">
        <v>868708</v>
      </c>
      <c r="D6" s="5">
        <v>11202</v>
      </c>
      <c r="E6" s="6">
        <v>14130.311399999999</v>
      </c>
      <c r="F6" s="6">
        <v>0</v>
      </c>
      <c r="G6" s="6">
        <v>130.60979999999998</v>
      </c>
      <c r="H6" s="6">
        <v>527.05619999999999</v>
      </c>
    </row>
    <row r="7" spans="1:8" hidden="1">
      <c r="A7" s="5" t="s">
        <v>11</v>
      </c>
      <c r="B7" s="5"/>
      <c r="C7" s="5"/>
      <c r="D7" s="5"/>
      <c r="E7" s="6">
        <v>6914.02</v>
      </c>
      <c r="F7" s="6"/>
      <c r="G7" s="6"/>
      <c r="H7" s="6"/>
    </row>
    <row r="8" spans="1:8" hidden="1">
      <c r="A8" s="5" t="s">
        <v>12</v>
      </c>
      <c r="B8" s="5"/>
      <c r="C8" s="5"/>
      <c r="D8" s="5"/>
      <c r="E8" s="6">
        <v>14787.9774</v>
      </c>
      <c r="F8" s="6"/>
      <c r="G8" s="6"/>
      <c r="H8" s="6"/>
    </row>
    <row r="9" spans="1:8" hidden="1">
      <c r="A9" s="5" t="s">
        <v>13</v>
      </c>
      <c r="B9" s="5"/>
      <c r="C9" s="5"/>
      <c r="D9" s="5"/>
      <c r="E9" s="6">
        <v>-7873.9573999999993</v>
      </c>
      <c r="F9" s="6"/>
      <c r="G9" s="6"/>
      <c r="H9" s="6"/>
    </row>
    <row r="10" spans="1:8" hidden="1">
      <c r="E10" s="4"/>
      <c r="F10" s="4"/>
      <c r="G10" s="4"/>
      <c r="H10" s="4"/>
    </row>
    <row r="11" spans="1:8" hidden="1">
      <c r="A11" s="2">
        <v>43132</v>
      </c>
    </row>
    <row r="12" spans="1:8" hidden="1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</row>
    <row r="13" spans="1:8" hidden="1">
      <c r="A13" s="5" t="s">
        <v>9</v>
      </c>
      <c r="B13" s="5">
        <v>5677</v>
      </c>
      <c r="C13" s="5">
        <v>5730</v>
      </c>
      <c r="D13" s="5">
        <v>53</v>
      </c>
      <c r="E13" s="6"/>
      <c r="F13" s="6"/>
      <c r="G13" s="6"/>
      <c r="H13" s="6"/>
    </row>
    <row r="14" spans="1:8" hidden="1">
      <c r="A14" s="5" t="s">
        <v>10</v>
      </c>
      <c r="B14" s="5">
        <v>868708</v>
      </c>
      <c r="C14" s="5">
        <v>879418</v>
      </c>
      <c r="D14" s="5">
        <v>10710</v>
      </c>
      <c r="E14" s="6">
        <v>13509.7068</v>
      </c>
      <c r="F14" s="6">
        <v>0</v>
      </c>
      <c r="G14" s="6">
        <v>130.60979999999998</v>
      </c>
      <c r="H14" s="6">
        <v>527.05619999999999</v>
      </c>
    </row>
    <row r="15" spans="1:8" hidden="1">
      <c r="A15" s="5" t="s">
        <v>11</v>
      </c>
      <c r="B15" s="5"/>
      <c r="C15" s="5"/>
      <c r="D15" s="5"/>
      <c r="E15" s="6">
        <v>32714.3</v>
      </c>
      <c r="F15" s="6"/>
      <c r="G15" s="6"/>
      <c r="H15" s="6"/>
    </row>
    <row r="16" spans="1:8" hidden="1">
      <c r="A16" s="5" t="s">
        <v>12</v>
      </c>
      <c r="B16" s="5"/>
      <c r="C16" s="5"/>
      <c r="D16" s="5"/>
      <c r="E16" s="6">
        <v>14167.372800000001</v>
      </c>
      <c r="F16" s="6"/>
      <c r="G16" s="6"/>
      <c r="H16" s="6"/>
    </row>
    <row r="17" spans="1:8" hidden="1">
      <c r="A17" s="5" t="s">
        <v>13</v>
      </c>
      <c r="B17" s="5"/>
      <c r="C17" s="5"/>
      <c r="D17" s="5"/>
      <c r="E17" s="6">
        <v>18546.927199999998</v>
      </c>
      <c r="F17" s="6"/>
      <c r="G17" s="6"/>
      <c r="H17" s="6"/>
    </row>
    <row r="18" spans="1:8" hidden="1">
      <c r="E18" s="4"/>
      <c r="F18" s="4"/>
      <c r="G18" s="4"/>
      <c r="H18" s="4"/>
    </row>
    <row r="19" spans="1:8" hidden="1">
      <c r="A19" s="2">
        <v>43160</v>
      </c>
    </row>
    <row r="20" spans="1:8" hidden="1">
      <c r="A20" s="3" t="s">
        <v>1</v>
      </c>
      <c r="B20" s="3" t="s">
        <v>2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7</v>
      </c>
      <c r="H20" s="3" t="s">
        <v>8</v>
      </c>
    </row>
    <row r="21" spans="1:8" hidden="1">
      <c r="A21" s="5" t="s">
        <v>9</v>
      </c>
      <c r="B21" s="5">
        <v>5730</v>
      </c>
      <c r="C21" s="5">
        <v>5730</v>
      </c>
      <c r="D21" s="5">
        <v>0</v>
      </c>
      <c r="E21" s="6"/>
      <c r="F21" s="6"/>
      <c r="G21" s="6"/>
      <c r="H21" s="6"/>
    </row>
    <row r="22" spans="1:8" hidden="1">
      <c r="A22" s="5" t="s">
        <v>10</v>
      </c>
      <c r="B22" s="5">
        <v>879418</v>
      </c>
      <c r="C22" s="5">
        <v>892461</v>
      </c>
      <c r="D22" s="5">
        <v>13043</v>
      </c>
      <c r="E22" s="6">
        <v>16452.571199999998</v>
      </c>
      <c r="F22" s="6">
        <v>0</v>
      </c>
      <c r="G22" s="6">
        <v>130.60979999999998</v>
      </c>
      <c r="H22" s="6">
        <v>527.05619999999999</v>
      </c>
    </row>
    <row r="23" spans="1:8" hidden="1">
      <c r="A23" s="5" t="s">
        <v>11</v>
      </c>
      <c r="B23" s="5"/>
      <c r="C23" s="5"/>
      <c r="D23" s="5"/>
      <c r="E23" s="6">
        <v>23118.49</v>
      </c>
      <c r="F23" s="6"/>
      <c r="G23" s="6"/>
      <c r="H23" s="6"/>
    </row>
    <row r="24" spans="1:8" hidden="1">
      <c r="A24" s="5" t="s">
        <v>12</v>
      </c>
      <c r="B24" s="5"/>
      <c r="C24" s="5"/>
      <c r="D24" s="5"/>
      <c r="E24" s="6">
        <v>17110.237199999996</v>
      </c>
      <c r="F24" s="6"/>
      <c r="G24" s="6"/>
      <c r="H24" s="6"/>
    </row>
    <row r="25" spans="1:8" hidden="1">
      <c r="A25" s="5" t="s">
        <v>13</v>
      </c>
      <c r="B25" s="5"/>
      <c r="C25" s="5"/>
      <c r="D25" s="5"/>
      <c r="E25" s="6">
        <v>6008.2528000000057</v>
      </c>
      <c r="F25" s="6"/>
      <c r="G25" s="6"/>
      <c r="H25" s="6"/>
    </row>
    <row r="26" spans="1:8" hidden="1">
      <c r="E26" s="4"/>
      <c r="F26" s="4"/>
      <c r="G26" s="4"/>
      <c r="H26" s="4"/>
    </row>
    <row r="27" spans="1:8" hidden="1">
      <c r="A27" s="2">
        <v>43191</v>
      </c>
    </row>
    <row r="28" spans="1:8" hidden="1">
      <c r="A28" s="3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 t="s">
        <v>7</v>
      </c>
      <c r="H28" s="3" t="s">
        <v>8</v>
      </c>
    </row>
    <row r="29" spans="1:8" hidden="1">
      <c r="A29" s="5" t="s">
        <v>9</v>
      </c>
      <c r="B29" s="5">
        <v>5730</v>
      </c>
      <c r="C29" s="5">
        <v>895144</v>
      </c>
      <c r="D29" s="5">
        <v>889414</v>
      </c>
      <c r="E29" s="6"/>
      <c r="F29" s="6"/>
      <c r="G29" s="6"/>
      <c r="H29" s="6"/>
    </row>
    <row r="30" spans="1:8" hidden="1">
      <c r="A30" s="5" t="s">
        <v>10</v>
      </c>
      <c r="B30" s="5">
        <v>892461</v>
      </c>
      <c r="C30" s="5">
        <v>906155</v>
      </c>
      <c r="D30" s="5">
        <v>13694</v>
      </c>
      <c r="E30" s="6">
        <v>17425.271499999999</v>
      </c>
      <c r="F30" s="6">
        <v>0</v>
      </c>
      <c r="G30" s="6">
        <v>131.75549999999998</v>
      </c>
      <c r="H30" s="6">
        <v>531.67949999999996</v>
      </c>
    </row>
    <row r="31" spans="1:8" hidden="1">
      <c r="A31" s="5" t="s">
        <v>11</v>
      </c>
      <c r="B31" s="5"/>
      <c r="C31" s="5"/>
      <c r="D31" s="5"/>
      <c r="E31" s="6">
        <v>23393.19</v>
      </c>
      <c r="F31" s="6"/>
      <c r="G31" s="6"/>
      <c r="H31" s="6"/>
    </row>
    <row r="32" spans="1:8" hidden="1">
      <c r="A32" s="5" t="s">
        <v>12</v>
      </c>
      <c r="B32" s="5"/>
      <c r="C32" s="5"/>
      <c r="D32" s="5"/>
      <c r="E32" s="6">
        <v>18088.706499999997</v>
      </c>
      <c r="F32" s="6"/>
      <c r="G32" s="6"/>
      <c r="H32" s="6"/>
    </row>
    <row r="33" spans="1:8" hidden="1">
      <c r="A33" s="5" t="s">
        <v>13</v>
      </c>
      <c r="B33" s="5"/>
      <c r="C33" s="5"/>
      <c r="D33" s="5"/>
      <c r="E33" s="6">
        <v>5304.4835000000021</v>
      </c>
      <c r="F33" s="6"/>
      <c r="G33" s="6"/>
      <c r="H33" s="6"/>
    </row>
    <row r="34" spans="1:8" hidden="1">
      <c r="E34" s="4"/>
      <c r="F34" s="4"/>
      <c r="G34" s="4"/>
      <c r="H34" s="4"/>
    </row>
    <row r="35" spans="1:8" hidden="1">
      <c r="A35" s="2">
        <v>43221</v>
      </c>
    </row>
    <row r="36" spans="1:8" hidden="1">
      <c r="A36" s="3" t="s">
        <v>1</v>
      </c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</row>
    <row r="37" spans="1:8" hidden="1">
      <c r="A37" s="5" t="s">
        <v>9</v>
      </c>
      <c r="B37" s="5">
        <v>895144</v>
      </c>
      <c r="C37" s="5">
        <v>909343</v>
      </c>
      <c r="D37" s="5">
        <v>14199</v>
      </c>
      <c r="E37" s="6"/>
      <c r="F37" s="6"/>
      <c r="G37" s="6"/>
      <c r="H37" s="6"/>
    </row>
    <row r="38" spans="1:8" hidden="1">
      <c r="A38" s="5" t="s">
        <v>10</v>
      </c>
      <c r="B38" s="5">
        <v>906155</v>
      </c>
      <c r="C38" s="5">
        <v>921944</v>
      </c>
      <c r="D38" s="5">
        <v>15789</v>
      </c>
      <c r="E38" s="6">
        <v>20091.109499999999</v>
      </c>
      <c r="F38" s="6">
        <v>0</v>
      </c>
      <c r="G38" s="6">
        <v>131.75549999999998</v>
      </c>
      <c r="H38" s="6">
        <v>531.67949999999996</v>
      </c>
    </row>
    <row r="39" spans="1:8" hidden="1">
      <c r="A39" s="5" t="s">
        <v>11</v>
      </c>
      <c r="B39" s="5"/>
      <c r="C39" s="5"/>
      <c r="D39" s="5"/>
      <c r="E39" s="6">
        <v>20820.48</v>
      </c>
      <c r="F39" s="6"/>
      <c r="G39" s="6"/>
      <c r="H39" s="6"/>
    </row>
    <row r="40" spans="1:8" hidden="1">
      <c r="A40" s="5" t="s">
        <v>12</v>
      </c>
      <c r="B40" s="5"/>
      <c r="C40" s="5"/>
      <c r="D40" s="5"/>
      <c r="E40" s="6">
        <v>20754.544499999996</v>
      </c>
      <c r="F40" s="6"/>
      <c r="G40" s="6"/>
      <c r="H40" s="6"/>
    </row>
    <row r="41" spans="1:8" hidden="1">
      <c r="A41" s="5" t="s">
        <v>13</v>
      </c>
      <c r="B41" s="5"/>
      <c r="C41" s="5"/>
      <c r="D41" s="5"/>
      <c r="E41" s="6">
        <v>65.935500000003231</v>
      </c>
      <c r="F41" s="6"/>
      <c r="G41" s="6"/>
      <c r="H41" s="6"/>
    </row>
    <row r="42" spans="1:8" hidden="1">
      <c r="E42" s="4"/>
      <c r="F42" s="4"/>
      <c r="G42" s="4"/>
      <c r="H42" s="4"/>
    </row>
    <row r="43" spans="1:8" hidden="1">
      <c r="A43" s="2">
        <v>43252</v>
      </c>
    </row>
    <row r="44" spans="1:8" hidden="1">
      <c r="A44" s="3" t="s">
        <v>1</v>
      </c>
      <c r="B44" s="3" t="s">
        <v>2</v>
      </c>
      <c r="C44" s="3" t="s">
        <v>3</v>
      </c>
      <c r="D44" s="3" t="s">
        <v>4</v>
      </c>
      <c r="E44" s="3" t="s">
        <v>5</v>
      </c>
      <c r="F44" s="3" t="s">
        <v>6</v>
      </c>
      <c r="G44" s="3" t="s">
        <v>7</v>
      </c>
      <c r="H44" s="3" t="s">
        <v>8</v>
      </c>
    </row>
    <row r="45" spans="1:8" hidden="1">
      <c r="A45" s="5" t="s">
        <v>9</v>
      </c>
      <c r="B45" s="5">
        <v>909343</v>
      </c>
      <c r="C45" s="5">
        <v>938884</v>
      </c>
      <c r="D45" s="5">
        <v>29541</v>
      </c>
      <c r="E45" s="6"/>
      <c r="F45" s="6"/>
      <c r="G45" s="6"/>
      <c r="H45" s="6"/>
    </row>
    <row r="46" spans="1:8" hidden="1">
      <c r="A46" s="5" t="s">
        <v>10</v>
      </c>
      <c r="B46" s="5">
        <v>921944</v>
      </c>
      <c r="C46" s="5">
        <v>939152</v>
      </c>
      <c r="D46" s="5">
        <v>17208</v>
      </c>
      <c r="E46" s="6">
        <v>21981.698</v>
      </c>
      <c r="F46" s="6">
        <v>0</v>
      </c>
      <c r="G46" s="6">
        <v>141.4615</v>
      </c>
      <c r="H46" s="6">
        <v>570.84849999999994</v>
      </c>
    </row>
    <row r="47" spans="1:8" hidden="1">
      <c r="A47" s="5" t="s">
        <v>11</v>
      </c>
      <c r="B47" s="5"/>
      <c r="C47" s="5"/>
      <c r="D47" s="5"/>
      <c r="E47" s="6">
        <v>32353.87</v>
      </c>
      <c r="F47" s="6"/>
      <c r="G47" s="6"/>
      <c r="H47" s="6"/>
    </row>
    <row r="48" spans="1:8" hidden="1">
      <c r="A48" s="5" t="s">
        <v>12</v>
      </c>
      <c r="B48" s="5"/>
      <c r="C48" s="5"/>
      <c r="D48" s="5"/>
      <c r="E48" s="6">
        <v>22694.008000000002</v>
      </c>
      <c r="F48" s="6"/>
      <c r="G48" s="6"/>
      <c r="H48" s="6"/>
    </row>
    <row r="49" spans="1:8" hidden="1">
      <c r="A49" s="5" t="s">
        <v>13</v>
      </c>
      <c r="B49" s="5"/>
      <c r="C49" s="5"/>
      <c r="D49" s="5"/>
      <c r="E49" s="6">
        <v>9659.8619999999974</v>
      </c>
      <c r="F49" s="6"/>
      <c r="G49" s="6"/>
      <c r="H49" s="6"/>
    </row>
    <row r="50" spans="1:8" hidden="1">
      <c r="E50" s="4"/>
      <c r="F50" s="4"/>
      <c r="G50" s="4"/>
      <c r="H50" s="4"/>
    </row>
    <row r="51" spans="1:8" hidden="1">
      <c r="A51" s="2">
        <v>43282</v>
      </c>
    </row>
    <row r="52" spans="1:8" hidden="1">
      <c r="A52" s="3" t="s">
        <v>1</v>
      </c>
      <c r="B52" s="3" t="s">
        <v>2</v>
      </c>
      <c r="C52" s="3" t="s">
        <v>3</v>
      </c>
      <c r="D52" s="3" t="s">
        <v>4</v>
      </c>
      <c r="E52" s="3" t="s">
        <v>5</v>
      </c>
      <c r="F52" s="3" t="s">
        <v>6</v>
      </c>
      <c r="G52" s="3" t="s">
        <v>7</v>
      </c>
      <c r="H52" s="3" t="s">
        <v>8</v>
      </c>
    </row>
    <row r="53" spans="1:8" hidden="1">
      <c r="A53" s="5" t="s">
        <v>9</v>
      </c>
      <c r="B53" s="5">
        <v>938884</v>
      </c>
      <c r="C53" s="5">
        <v>938884</v>
      </c>
      <c r="D53" s="5">
        <v>0</v>
      </c>
      <c r="E53" s="6"/>
      <c r="F53" s="6"/>
      <c r="G53" s="6"/>
      <c r="H53" s="6"/>
    </row>
    <row r="54" spans="1:8" hidden="1">
      <c r="A54" s="5" t="s">
        <v>10</v>
      </c>
      <c r="B54" s="5">
        <v>939152</v>
      </c>
      <c r="C54" s="5">
        <v>957585</v>
      </c>
      <c r="D54" s="5">
        <v>18433</v>
      </c>
      <c r="E54" s="6">
        <v>25361.697499999998</v>
      </c>
      <c r="F54" s="6">
        <v>77.210999999999999</v>
      </c>
      <c r="G54" s="6">
        <v>141.4615</v>
      </c>
      <c r="H54" s="6">
        <v>570.84849999999994</v>
      </c>
    </row>
    <row r="55" spans="1:8" hidden="1">
      <c r="A55" s="5" t="s">
        <v>11</v>
      </c>
      <c r="B55" s="5"/>
      <c r="C55" s="5"/>
      <c r="D55" s="5"/>
      <c r="E55" s="6">
        <v>27104.68</v>
      </c>
      <c r="F55" s="6"/>
      <c r="G55" s="6"/>
      <c r="H55" s="6"/>
    </row>
    <row r="56" spans="1:8" hidden="1">
      <c r="A56" s="5" t="s">
        <v>12</v>
      </c>
      <c r="B56" s="5"/>
      <c r="C56" s="5"/>
      <c r="D56" s="5"/>
      <c r="E56" s="6">
        <v>26151.218499999999</v>
      </c>
      <c r="F56" s="6"/>
      <c r="G56" s="6"/>
      <c r="H56" s="6"/>
    </row>
    <row r="57" spans="1:8" hidden="1">
      <c r="A57" s="5" t="s">
        <v>13</v>
      </c>
      <c r="B57" s="5"/>
      <c r="C57" s="5"/>
      <c r="D57" s="5"/>
      <c r="E57" s="6">
        <v>953.46150000000125</v>
      </c>
      <c r="F57" s="6"/>
      <c r="G57" s="6"/>
      <c r="H57" s="6"/>
    </row>
    <row r="58" spans="1:8" hidden="1">
      <c r="E58" s="4"/>
      <c r="F58" s="4"/>
      <c r="G58" s="4"/>
      <c r="H58" s="4"/>
    </row>
    <row r="59" spans="1:8" hidden="1">
      <c r="A59" s="2">
        <v>43313</v>
      </c>
    </row>
    <row r="60" spans="1:8" hidden="1">
      <c r="A60" s="3" t="s">
        <v>1</v>
      </c>
      <c r="B60" s="3" t="s">
        <v>2</v>
      </c>
      <c r="C60" s="3" t="s">
        <v>3</v>
      </c>
      <c r="D60" s="3" t="s">
        <v>4</v>
      </c>
      <c r="E60" s="3" t="s">
        <v>5</v>
      </c>
      <c r="F60" s="3" t="s">
        <v>6</v>
      </c>
      <c r="G60" s="3" t="s">
        <v>7</v>
      </c>
      <c r="H60" s="3" t="s">
        <v>8</v>
      </c>
    </row>
    <row r="61" spans="1:8" hidden="1">
      <c r="A61" s="5" t="s">
        <v>9</v>
      </c>
      <c r="B61" s="5">
        <v>938884</v>
      </c>
      <c r="C61" s="5">
        <v>973370</v>
      </c>
      <c r="D61" s="5">
        <v>34486</v>
      </c>
      <c r="E61" s="6"/>
      <c r="F61" s="6"/>
      <c r="G61" s="6"/>
      <c r="H61" s="6"/>
    </row>
    <row r="62" spans="1:8" hidden="1">
      <c r="A62" s="5" t="s">
        <v>10</v>
      </c>
      <c r="B62" s="5">
        <v>957585</v>
      </c>
      <c r="C62" s="5">
        <v>973557</v>
      </c>
      <c r="D62" s="5">
        <v>15972</v>
      </c>
      <c r="E62" s="6">
        <v>21780.539999999997</v>
      </c>
      <c r="F62" s="6">
        <v>0</v>
      </c>
      <c r="G62" s="6">
        <v>141.4615</v>
      </c>
      <c r="H62" s="6">
        <v>570.84849999999994</v>
      </c>
    </row>
    <row r="63" spans="1:8" hidden="1">
      <c r="A63" s="5" t="s">
        <v>11</v>
      </c>
      <c r="B63" s="5"/>
      <c r="C63" s="5"/>
      <c r="D63" s="5"/>
      <c r="E63" s="6">
        <v>22952.89</v>
      </c>
      <c r="F63" s="6"/>
      <c r="G63" s="6"/>
      <c r="H63" s="6"/>
    </row>
    <row r="64" spans="1:8" hidden="1">
      <c r="A64" s="5" t="s">
        <v>12</v>
      </c>
      <c r="B64" s="5"/>
      <c r="C64" s="5"/>
      <c r="D64" s="5"/>
      <c r="E64" s="6">
        <v>22492.85</v>
      </c>
      <c r="F64" s="6"/>
      <c r="G64" s="6"/>
      <c r="H64" s="6"/>
    </row>
    <row r="65" spans="1:8" hidden="1">
      <c r="A65" s="5" t="s">
        <v>13</v>
      </c>
      <c r="B65" s="5"/>
      <c r="C65" s="5"/>
      <c r="D65" s="5"/>
      <c r="E65" s="6">
        <v>460.04000000000087</v>
      </c>
      <c r="F65" s="6"/>
      <c r="G65" s="6"/>
      <c r="H65" s="6"/>
    </row>
    <row r="66" spans="1:8" hidden="1">
      <c r="E66" s="4"/>
      <c r="F66" s="4"/>
      <c r="G66" s="4"/>
      <c r="H66" s="4"/>
    </row>
    <row r="67" spans="1:8" hidden="1">
      <c r="A67" s="2">
        <v>43344</v>
      </c>
    </row>
    <row r="68" spans="1:8" hidden="1">
      <c r="A68" s="3" t="s">
        <v>1</v>
      </c>
      <c r="B68" s="3" t="s">
        <v>2</v>
      </c>
      <c r="C68" s="3" t="s">
        <v>3</v>
      </c>
      <c r="D68" s="3" t="s">
        <v>4</v>
      </c>
      <c r="E68" s="3" t="s">
        <v>5</v>
      </c>
      <c r="F68" s="3" t="s">
        <v>6</v>
      </c>
      <c r="G68" s="3" t="s">
        <v>7</v>
      </c>
      <c r="H68" s="3" t="s">
        <v>8</v>
      </c>
    </row>
    <row r="69" spans="1:8" hidden="1">
      <c r="A69" s="5" t="s">
        <v>9</v>
      </c>
      <c r="B69" s="5">
        <v>973370</v>
      </c>
      <c r="C69" s="5">
        <v>987577</v>
      </c>
      <c r="D69" s="5">
        <v>14207</v>
      </c>
      <c r="E69" s="6"/>
      <c r="F69" s="6"/>
      <c r="G69" s="6"/>
      <c r="H69" s="6"/>
    </row>
    <row r="70" spans="1:8" hidden="1">
      <c r="A70" s="5" t="s">
        <v>10</v>
      </c>
      <c r="B70" s="5">
        <v>973557</v>
      </c>
      <c r="C70" s="5">
        <v>987382</v>
      </c>
      <c r="D70" s="5">
        <v>13825</v>
      </c>
      <c r="E70" s="6">
        <v>18852.743499999997</v>
      </c>
      <c r="F70" s="6">
        <v>0</v>
      </c>
      <c r="G70" s="6">
        <v>141.4615</v>
      </c>
      <c r="H70" s="6">
        <v>570.84849999999994</v>
      </c>
    </row>
    <row r="71" spans="1:8" hidden="1">
      <c r="A71" s="5" t="s">
        <v>11</v>
      </c>
      <c r="B71" s="5"/>
      <c r="C71" s="5"/>
      <c r="D71" s="5"/>
      <c r="E71" s="6">
        <v>20409.95</v>
      </c>
      <c r="F71" s="6"/>
      <c r="G71" s="6"/>
      <c r="H71" s="6"/>
    </row>
    <row r="72" spans="1:8" hidden="1">
      <c r="A72" s="5" t="s">
        <v>12</v>
      </c>
      <c r="B72" s="5"/>
      <c r="C72" s="5"/>
      <c r="D72" s="5"/>
      <c r="E72" s="6">
        <v>19565.053499999998</v>
      </c>
      <c r="F72" s="6"/>
      <c r="G72" s="6"/>
      <c r="H72" s="6"/>
    </row>
    <row r="73" spans="1:8" hidden="1">
      <c r="A73" s="5" t="s">
        <v>13</v>
      </c>
      <c r="B73" s="5"/>
      <c r="C73" s="5"/>
      <c r="D73" s="5"/>
      <c r="E73" s="6">
        <v>844.89650000000256</v>
      </c>
      <c r="F73" s="6"/>
      <c r="G73" s="6"/>
      <c r="H73" s="6"/>
    </row>
    <row r="74" spans="1:8" hidden="1">
      <c r="E74" s="4"/>
      <c r="F74" s="4"/>
      <c r="G74" s="4"/>
      <c r="H74" s="4"/>
    </row>
    <row r="75" spans="1:8" hidden="1">
      <c r="A75" s="2">
        <v>43374</v>
      </c>
    </row>
    <row r="76" spans="1:8" hidden="1">
      <c r="A76" s="3" t="s">
        <v>1</v>
      </c>
      <c r="B76" s="3" t="s">
        <v>2</v>
      </c>
      <c r="C76" s="3" t="s">
        <v>3</v>
      </c>
      <c r="D76" s="3" t="s">
        <v>4</v>
      </c>
      <c r="E76" s="3" t="s">
        <v>5</v>
      </c>
      <c r="F76" s="3" t="s">
        <v>6</v>
      </c>
      <c r="G76" s="3" t="s">
        <v>7</v>
      </c>
      <c r="H76" s="3" t="s">
        <v>8</v>
      </c>
    </row>
    <row r="77" spans="1:8" hidden="1">
      <c r="A77" s="5" t="s">
        <v>9</v>
      </c>
      <c r="B77" s="5">
        <v>987577</v>
      </c>
      <c r="C77" s="5">
        <v>1002076</v>
      </c>
      <c r="D77" s="5">
        <v>14499</v>
      </c>
      <c r="E77" s="6"/>
      <c r="F77" s="6"/>
      <c r="G77" s="6"/>
      <c r="H77" s="6"/>
    </row>
    <row r="78" spans="1:8" hidden="1">
      <c r="A78" s="5" t="s">
        <v>10</v>
      </c>
      <c r="B78" s="5">
        <v>987382</v>
      </c>
      <c r="C78" s="5">
        <v>998408</v>
      </c>
      <c r="D78" s="5">
        <v>11026</v>
      </c>
      <c r="E78" s="6">
        <v>15035.824499999999</v>
      </c>
      <c r="F78" s="6">
        <v>0</v>
      </c>
      <c r="G78" s="6">
        <v>141.4615</v>
      </c>
      <c r="H78" s="6">
        <v>570.84849999999994</v>
      </c>
    </row>
    <row r="79" spans="1:8" hidden="1">
      <c r="A79" s="5" t="s">
        <v>11</v>
      </c>
      <c r="B79" s="5"/>
      <c r="C79" s="5"/>
      <c r="D79" s="5"/>
      <c r="E79" s="6">
        <v>19512.89</v>
      </c>
      <c r="F79" s="6"/>
      <c r="G79" s="6"/>
      <c r="H79" s="6"/>
    </row>
    <row r="80" spans="1:8" hidden="1">
      <c r="A80" s="5" t="s">
        <v>12</v>
      </c>
      <c r="B80" s="5"/>
      <c r="C80" s="5"/>
      <c r="D80" s="5"/>
      <c r="E80" s="6">
        <v>15748.134499999998</v>
      </c>
      <c r="F80" s="6"/>
      <c r="G80" s="6"/>
      <c r="H80" s="6"/>
    </row>
    <row r="81" spans="1:8" hidden="1">
      <c r="A81" s="5" t="s">
        <v>13</v>
      </c>
      <c r="B81" s="5"/>
      <c r="C81" s="5"/>
      <c r="D81" s="5"/>
      <c r="E81" s="6">
        <v>3764.7555000000011</v>
      </c>
      <c r="F81" s="6"/>
      <c r="G81" s="6"/>
      <c r="H81" s="6"/>
    </row>
    <row r="82" spans="1:8" hidden="1">
      <c r="E82" s="4"/>
      <c r="F82" s="4"/>
      <c r="G82" s="4"/>
      <c r="H82" s="4"/>
    </row>
    <row r="83" spans="1:8" hidden="1">
      <c r="A83" s="2">
        <v>43405</v>
      </c>
    </row>
    <row r="84" spans="1:8" hidden="1">
      <c r="A84" s="3" t="s">
        <v>1</v>
      </c>
      <c r="B84" s="3" t="s">
        <v>2</v>
      </c>
      <c r="C84" s="3" t="s">
        <v>3</v>
      </c>
      <c r="D84" s="3" t="s">
        <v>4</v>
      </c>
      <c r="E84" s="3" t="s">
        <v>5</v>
      </c>
      <c r="F84" s="3" t="s">
        <v>6</v>
      </c>
      <c r="G84" s="3" t="s">
        <v>7</v>
      </c>
      <c r="H84" s="3" t="s">
        <v>8</v>
      </c>
    </row>
    <row r="85" spans="1:8" hidden="1">
      <c r="A85" s="5" t="s">
        <v>9</v>
      </c>
      <c r="B85" s="5">
        <v>1002076</v>
      </c>
      <c r="C85" s="5">
        <v>1013442</v>
      </c>
      <c r="D85" s="5">
        <v>11366</v>
      </c>
      <c r="E85" s="6"/>
      <c r="F85" s="6"/>
      <c r="G85" s="6"/>
      <c r="H85" s="6"/>
    </row>
    <row r="86" spans="1:8" hidden="1">
      <c r="A86" s="5" t="s">
        <v>10</v>
      </c>
      <c r="B86" s="5">
        <v>998408</v>
      </c>
      <c r="C86" s="5">
        <v>1011439</v>
      </c>
      <c r="D86" s="5">
        <v>13031</v>
      </c>
      <c r="E86" s="6">
        <v>17769.983999999997</v>
      </c>
      <c r="F86" s="6">
        <v>0</v>
      </c>
      <c r="G86" s="6">
        <v>141.4615</v>
      </c>
      <c r="H86" s="6">
        <v>570.84849999999994</v>
      </c>
    </row>
    <row r="87" spans="1:8" hidden="1">
      <c r="A87" s="5" t="s">
        <v>11</v>
      </c>
      <c r="B87" s="5"/>
      <c r="C87" s="5"/>
      <c r="D87" s="5"/>
      <c r="E87" s="6">
        <v>19512.89</v>
      </c>
      <c r="F87" s="6"/>
      <c r="G87" s="6"/>
      <c r="H87" s="6"/>
    </row>
    <row r="88" spans="1:8" hidden="1">
      <c r="A88" s="5" t="s">
        <v>12</v>
      </c>
      <c r="B88" s="5"/>
      <c r="C88" s="5"/>
      <c r="D88" s="5"/>
      <c r="E88" s="6">
        <v>18482.293999999998</v>
      </c>
      <c r="F88" s="6"/>
      <c r="G88" s="6"/>
      <c r="H88" s="6"/>
    </row>
    <row r="89" spans="1:8" hidden="1">
      <c r="A89" s="5" t="s">
        <v>13</v>
      </c>
      <c r="B89" s="5"/>
      <c r="C89" s="5"/>
      <c r="D89" s="5"/>
      <c r="E89" s="6">
        <v>1030.5960000000014</v>
      </c>
      <c r="F89" s="6"/>
      <c r="G89" s="6"/>
      <c r="H89" s="6"/>
    </row>
    <row r="90" spans="1:8" hidden="1">
      <c r="E90" s="4"/>
      <c r="F90" s="4"/>
      <c r="G90" s="4"/>
      <c r="H90" s="4"/>
    </row>
    <row r="91" spans="1:8" hidden="1">
      <c r="A91" s="2">
        <v>43435</v>
      </c>
    </row>
    <row r="92" spans="1:8" hidden="1">
      <c r="A92" s="3" t="s">
        <v>1</v>
      </c>
      <c r="B92" s="3" t="s">
        <v>2</v>
      </c>
      <c r="C92" s="3" t="s">
        <v>3</v>
      </c>
      <c r="D92" s="3" t="s">
        <v>4</v>
      </c>
      <c r="E92" s="3" t="s">
        <v>5</v>
      </c>
      <c r="F92" s="3" t="s">
        <v>6</v>
      </c>
      <c r="G92" s="3" t="s">
        <v>7</v>
      </c>
      <c r="H92" s="3" t="s">
        <v>8</v>
      </c>
    </row>
    <row r="93" spans="1:8" hidden="1">
      <c r="A93" s="5" t="s">
        <v>9</v>
      </c>
      <c r="B93" s="5">
        <v>1013442</v>
      </c>
      <c r="C93" s="5">
        <v>1027697</v>
      </c>
      <c r="D93" s="5">
        <v>14255</v>
      </c>
      <c r="E93" s="6"/>
      <c r="F93" s="6"/>
      <c r="G93" s="6"/>
      <c r="H93" s="6"/>
    </row>
    <row r="94" spans="1:8" hidden="1">
      <c r="A94" s="5" t="s">
        <v>10</v>
      </c>
      <c r="B94" s="5">
        <v>1011439</v>
      </c>
      <c r="C94" s="5">
        <v>1023235</v>
      </c>
      <c r="D94" s="5">
        <v>11796</v>
      </c>
      <c r="E94" s="6">
        <v>16085.855</v>
      </c>
      <c r="F94" s="6">
        <v>0</v>
      </c>
      <c r="G94" s="6">
        <v>141.4615</v>
      </c>
      <c r="H94" s="6">
        <v>570.84849999999994</v>
      </c>
    </row>
    <row r="95" spans="1:8" hidden="1">
      <c r="A95" s="5" t="s">
        <v>11</v>
      </c>
      <c r="B95" s="5"/>
      <c r="C95" s="5"/>
      <c r="D95" s="5"/>
      <c r="E95" s="6">
        <v>18366.169999999998</v>
      </c>
      <c r="F95" s="6"/>
      <c r="G95" s="6"/>
      <c r="H95" s="6"/>
    </row>
    <row r="96" spans="1:8" hidden="1">
      <c r="A96" s="5" t="s">
        <v>12</v>
      </c>
      <c r="B96" s="5"/>
      <c r="C96" s="5"/>
      <c r="D96" s="5"/>
      <c r="E96" s="6">
        <v>16798.164999999997</v>
      </c>
      <c r="F96" s="6"/>
      <c r="G96" s="6"/>
      <c r="H96" s="6"/>
    </row>
    <row r="97" spans="1:13" hidden="1">
      <c r="A97" s="5" t="s">
        <v>13</v>
      </c>
      <c r="B97" s="5"/>
      <c r="C97" s="5"/>
      <c r="D97" s="5"/>
      <c r="E97" s="6">
        <v>1568.005000000001</v>
      </c>
      <c r="F97" s="6"/>
      <c r="G97" s="6"/>
      <c r="H97" s="6"/>
    </row>
    <row r="98" spans="1:13">
      <c r="E98" s="4"/>
      <c r="F98" s="4"/>
      <c r="G98" s="4"/>
      <c r="H98" s="4"/>
    </row>
    <row r="99" spans="1:13">
      <c r="A99" s="13">
        <v>43466</v>
      </c>
    </row>
    <row r="100" spans="1:13" hidden="1">
      <c r="A100" s="3" t="s">
        <v>1</v>
      </c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3" t="s">
        <v>14</v>
      </c>
      <c r="J100" s="3" t="s">
        <v>15</v>
      </c>
      <c r="K100" s="3" t="s">
        <v>16</v>
      </c>
      <c r="L100" s="3" t="s">
        <v>17</v>
      </c>
      <c r="M100" s="3" t="s">
        <v>18</v>
      </c>
    </row>
    <row r="101" spans="1:13" hidden="1">
      <c r="A101" s="5" t="s">
        <v>9</v>
      </c>
      <c r="B101" s="5">
        <v>1027697</v>
      </c>
      <c r="C101" s="5">
        <v>1038819</v>
      </c>
      <c r="D101" s="5">
        <v>11122</v>
      </c>
      <c r="E101" s="6"/>
      <c r="F101" s="6"/>
      <c r="G101" s="6"/>
      <c r="H101" s="6"/>
      <c r="I101" s="5" t="s">
        <v>19</v>
      </c>
      <c r="J101" s="5">
        <v>32</v>
      </c>
      <c r="K101" s="5" t="s">
        <v>20</v>
      </c>
      <c r="L101" s="5">
        <f>D101/32</f>
        <v>347.5625</v>
      </c>
      <c r="M101" s="5">
        <v>1.42</v>
      </c>
    </row>
    <row r="102" spans="1:13" hidden="1">
      <c r="A102" s="5" t="s">
        <v>10</v>
      </c>
      <c r="B102" s="5">
        <v>1023235</v>
      </c>
      <c r="C102" s="5">
        <v>1036060</v>
      </c>
      <c r="D102" s="5">
        <v>12825</v>
      </c>
      <c r="E102" s="6">
        <v>17489.073499999999</v>
      </c>
      <c r="F102" s="6">
        <v>0</v>
      </c>
      <c r="G102" s="6">
        <v>141.4615</v>
      </c>
      <c r="H102" s="6">
        <v>570.84849999999994</v>
      </c>
      <c r="I102" s="5" t="s">
        <v>21</v>
      </c>
      <c r="J102" s="5">
        <v>31</v>
      </c>
      <c r="K102" s="5" t="s">
        <v>20</v>
      </c>
      <c r="L102" s="5">
        <v>413</v>
      </c>
      <c r="M102" s="5">
        <v>1.42</v>
      </c>
    </row>
    <row r="103" spans="1:13" hidden="1">
      <c r="A103" s="5" t="s">
        <v>11</v>
      </c>
      <c r="B103" s="5"/>
      <c r="C103" s="5"/>
      <c r="D103" s="5"/>
      <c r="E103" s="6">
        <v>14457.12</v>
      </c>
      <c r="F103" s="6"/>
      <c r="G103" s="6"/>
      <c r="H103" s="6"/>
      <c r="I103" s="5"/>
      <c r="J103" s="5"/>
      <c r="K103" s="5"/>
      <c r="L103" s="5"/>
      <c r="M103" s="5"/>
    </row>
    <row r="104" spans="1:13" hidden="1">
      <c r="A104" s="5" t="s">
        <v>12</v>
      </c>
      <c r="B104" s="5"/>
      <c r="C104" s="5"/>
      <c r="D104" s="5"/>
      <c r="E104" s="6">
        <v>18201.3835</v>
      </c>
      <c r="F104" s="6"/>
      <c r="G104" s="6"/>
      <c r="H104" s="6"/>
      <c r="I104" s="5"/>
      <c r="J104" s="5"/>
      <c r="K104" s="5"/>
      <c r="L104" s="5"/>
      <c r="M104" s="5"/>
    </row>
    <row r="105" spans="1:13" hidden="1">
      <c r="A105" s="5" t="s">
        <v>13</v>
      </c>
      <c r="B105" s="5"/>
      <c r="C105" s="5"/>
      <c r="D105" s="5"/>
      <c r="E105" s="6">
        <v>-3744.2634999999991</v>
      </c>
      <c r="F105" s="6"/>
      <c r="G105" s="6"/>
      <c r="H105" s="6"/>
      <c r="I105" s="5"/>
      <c r="J105" s="5"/>
      <c r="K105" s="5"/>
      <c r="L105" s="5"/>
      <c r="M105" s="5"/>
    </row>
    <row r="106" spans="1:13" hidden="1">
      <c r="E106" s="4"/>
      <c r="F106" s="4"/>
      <c r="G106" s="4"/>
      <c r="H106" s="4"/>
    </row>
    <row r="107" spans="1:13" hidden="1">
      <c r="A107" s="2">
        <v>43497</v>
      </c>
    </row>
    <row r="108" spans="1:13" hidden="1">
      <c r="A108" s="3" t="s">
        <v>1</v>
      </c>
      <c r="B108" s="3" t="s">
        <v>2</v>
      </c>
      <c r="C108" s="3" t="s">
        <v>3</v>
      </c>
      <c r="D108" s="3" t="s">
        <v>4</v>
      </c>
      <c r="E108" s="3" t="s">
        <v>5</v>
      </c>
      <c r="F108" s="3" t="s">
        <v>6</v>
      </c>
      <c r="G108" s="3" t="s">
        <v>7</v>
      </c>
      <c r="H108" s="3" t="s">
        <v>8</v>
      </c>
      <c r="I108" s="3" t="s">
        <v>14</v>
      </c>
      <c r="J108" s="3" t="s">
        <v>15</v>
      </c>
      <c r="K108" s="3" t="s">
        <v>16</v>
      </c>
      <c r="L108" s="3" t="s">
        <v>17</v>
      </c>
      <c r="M108" s="3" t="s">
        <v>18</v>
      </c>
    </row>
    <row r="109" spans="1:13" hidden="1">
      <c r="A109" s="5" t="s">
        <v>9</v>
      </c>
      <c r="B109" s="5">
        <v>1038819</v>
      </c>
      <c r="C109" s="5">
        <v>1053393</v>
      </c>
      <c r="D109" s="5">
        <v>14574</v>
      </c>
      <c r="E109" s="6"/>
      <c r="F109" s="6"/>
      <c r="G109" s="6"/>
      <c r="H109" s="6"/>
      <c r="I109" s="5" t="s">
        <v>22</v>
      </c>
      <c r="J109" s="5">
        <v>29</v>
      </c>
      <c r="K109" s="5" t="s">
        <v>20</v>
      </c>
      <c r="L109" s="5">
        <f>D109/29</f>
        <v>502.55172413793105</v>
      </c>
      <c r="M109" s="5">
        <v>1.42</v>
      </c>
    </row>
    <row r="110" spans="1:13" hidden="1">
      <c r="A110" s="5" t="s">
        <v>10</v>
      </c>
      <c r="B110" s="5">
        <v>1036060</v>
      </c>
      <c r="C110" s="5">
        <v>1049713</v>
      </c>
      <c r="D110" s="5">
        <v>13653</v>
      </c>
      <c r="E110" s="6">
        <v>18618.189499999997</v>
      </c>
      <c r="F110" s="6">
        <v>0</v>
      </c>
      <c r="G110" s="6">
        <v>141.4615</v>
      </c>
      <c r="H110" s="6">
        <v>570.84849999999994</v>
      </c>
      <c r="I110" s="5" t="s">
        <v>23</v>
      </c>
      <c r="J110" s="5">
        <v>28</v>
      </c>
      <c r="K110" s="5" t="s">
        <v>20</v>
      </c>
      <c r="L110" s="5">
        <v>487</v>
      </c>
      <c r="M110" s="5">
        <v>1.42</v>
      </c>
    </row>
    <row r="111" spans="1:13" hidden="1">
      <c r="A111" s="5" t="s">
        <v>11</v>
      </c>
      <c r="B111" s="5"/>
      <c r="C111" s="5"/>
      <c r="D111" s="5"/>
      <c r="E111" s="6">
        <v>17761.64</v>
      </c>
      <c r="F111" s="6"/>
      <c r="G111" s="6"/>
      <c r="H111" s="6"/>
      <c r="I111" s="5"/>
      <c r="J111" s="5"/>
      <c r="K111" s="5"/>
      <c r="L111" s="5"/>
      <c r="M111" s="5"/>
    </row>
    <row r="112" spans="1:13" hidden="1">
      <c r="A112" s="5" t="s">
        <v>12</v>
      </c>
      <c r="B112" s="5"/>
      <c r="C112" s="5"/>
      <c r="D112" s="5"/>
      <c r="E112" s="6">
        <v>19330.499499999998</v>
      </c>
      <c r="F112" s="6"/>
      <c r="G112" s="6"/>
      <c r="H112" s="6"/>
      <c r="I112" s="5"/>
      <c r="J112" s="5"/>
      <c r="K112" s="5"/>
      <c r="L112" s="5"/>
      <c r="M112" s="5"/>
    </row>
    <row r="113" spans="1:13" hidden="1">
      <c r="A113" s="5" t="s">
        <v>13</v>
      </c>
      <c r="B113" s="5"/>
      <c r="C113" s="5"/>
      <c r="D113" s="5"/>
      <c r="E113" s="6">
        <v>-1568.8594999999987</v>
      </c>
      <c r="F113" s="6"/>
      <c r="G113" s="6"/>
      <c r="H113" s="6"/>
      <c r="I113" s="5"/>
      <c r="J113" s="5"/>
      <c r="K113" s="5"/>
      <c r="L113" s="5"/>
      <c r="M113" s="5"/>
    </row>
    <row r="114" spans="1:13" hidden="1">
      <c r="E114" s="4"/>
      <c r="F114" s="4"/>
      <c r="G114" s="4"/>
      <c r="H114" s="4"/>
    </row>
    <row r="115" spans="1:13" hidden="1">
      <c r="A115" s="2">
        <v>43525</v>
      </c>
    </row>
    <row r="116" spans="1:13" hidden="1">
      <c r="A116" s="3" t="s">
        <v>1</v>
      </c>
      <c r="B116" s="3" t="s">
        <v>2</v>
      </c>
      <c r="C116" s="3" t="s">
        <v>3</v>
      </c>
      <c r="D116" s="3" t="s">
        <v>4</v>
      </c>
      <c r="E116" s="3" t="s">
        <v>5</v>
      </c>
      <c r="F116" s="3" t="s">
        <v>6</v>
      </c>
      <c r="G116" s="3" t="s">
        <v>7</v>
      </c>
      <c r="H116" s="3" t="s">
        <v>8</v>
      </c>
      <c r="I116" s="3" t="s">
        <v>14</v>
      </c>
      <c r="J116" s="3" t="s">
        <v>15</v>
      </c>
      <c r="K116" s="3" t="s">
        <v>16</v>
      </c>
      <c r="L116" s="3" t="s">
        <v>17</v>
      </c>
      <c r="M116" s="3" t="s">
        <v>18</v>
      </c>
    </row>
    <row r="117" spans="1:13" hidden="1">
      <c r="A117" s="5" t="s">
        <v>9</v>
      </c>
      <c r="B117" s="5">
        <v>1053393</v>
      </c>
      <c r="C117" s="5">
        <v>1066153</v>
      </c>
      <c r="D117" s="5">
        <v>12760</v>
      </c>
      <c r="E117" s="6"/>
      <c r="F117" s="6"/>
      <c r="G117" s="6"/>
      <c r="H117" s="6"/>
      <c r="I117" s="5" t="s">
        <v>24</v>
      </c>
      <c r="J117" s="5">
        <v>32</v>
      </c>
      <c r="K117" s="5" t="s">
        <v>20</v>
      </c>
      <c r="L117" s="5">
        <f>D117/J117</f>
        <v>398.75</v>
      </c>
      <c r="M117" s="6">
        <v>1.42</v>
      </c>
    </row>
    <row r="118" spans="1:13" hidden="1">
      <c r="A118" s="5" t="s">
        <v>10</v>
      </c>
      <c r="B118" s="5">
        <v>1049713</v>
      </c>
      <c r="C118" s="5">
        <v>1061731</v>
      </c>
      <c r="D118" s="5">
        <v>12018</v>
      </c>
      <c r="E118" s="6">
        <v>16388.580999999998</v>
      </c>
      <c r="F118" s="6">
        <v>0</v>
      </c>
      <c r="G118" s="6">
        <v>141.4615</v>
      </c>
      <c r="H118" s="6">
        <v>570.84849999999994</v>
      </c>
      <c r="I118" s="5" t="s">
        <v>25</v>
      </c>
      <c r="J118" s="5">
        <v>31</v>
      </c>
      <c r="K118" s="5" t="s">
        <v>20</v>
      </c>
      <c r="L118" s="5">
        <v>387</v>
      </c>
      <c r="M118" s="5">
        <v>1.42</v>
      </c>
    </row>
    <row r="119" spans="1:13" hidden="1">
      <c r="A119" s="5" t="s">
        <v>11</v>
      </c>
      <c r="B119" s="5"/>
      <c r="C119" s="5"/>
      <c r="D119" s="5"/>
      <c r="E119" s="6">
        <v>15975</v>
      </c>
      <c r="F119" s="6"/>
      <c r="G119" s="6"/>
      <c r="H119" s="6"/>
      <c r="I119" s="5"/>
      <c r="J119" s="5"/>
      <c r="K119" s="5"/>
      <c r="L119" s="5"/>
      <c r="M119" s="5"/>
    </row>
    <row r="120" spans="1:13" hidden="1">
      <c r="A120" s="5" t="s">
        <v>12</v>
      </c>
      <c r="B120" s="5"/>
      <c r="C120" s="5"/>
      <c r="D120" s="5"/>
      <c r="E120" s="6">
        <v>17100.891</v>
      </c>
      <c r="F120" s="6"/>
      <c r="G120" s="6"/>
      <c r="H120" s="6"/>
      <c r="I120" s="5"/>
      <c r="J120" s="5"/>
      <c r="K120" s="5"/>
      <c r="L120" s="5"/>
      <c r="M120" s="5"/>
    </row>
    <row r="121" spans="1:13" hidden="1">
      <c r="A121" s="5" t="s">
        <v>13</v>
      </c>
      <c r="B121" s="5"/>
      <c r="C121" s="5"/>
      <c r="D121" s="5"/>
      <c r="E121" s="6">
        <v>-1125.8909999999996</v>
      </c>
      <c r="F121" s="6"/>
      <c r="G121" s="6"/>
      <c r="H121" s="6"/>
      <c r="I121" s="5"/>
      <c r="J121" s="5"/>
      <c r="K121" s="5"/>
      <c r="L121" s="5"/>
      <c r="M121" s="5"/>
    </row>
    <row r="122" spans="1:13" hidden="1">
      <c r="E122" s="4"/>
      <c r="F122" s="4"/>
      <c r="G122" s="4"/>
      <c r="H122" s="4"/>
    </row>
    <row r="123" spans="1:13" hidden="1">
      <c r="A123" s="2">
        <v>43556</v>
      </c>
    </row>
    <row r="124" spans="1:13" hidden="1">
      <c r="A124" s="3" t="s">
        <v>1</v>
      </c>
      <c r="B124" s="3" t="s">
        <v>2</v>
      </c>
      <c r="C124" s="3" t="s">
        <v>3</v>
      </c>
      <c r="D124" s="3" t="s">
        <v>4</v>
      </c>
      <c r="E124" s="3" t="s">
        <v>5</v>
      </c>
      <c r="F124" s="3" t="s">
        <v>6</v>
      </c>
      <c r="G124" s="3" t="s">
        <v>7</v>
      </c>
      <c r="H124" s="3" t="s">
        <v>8</v>
      </c>
      <c r="I124" s="3" t="s">
        <v>14</v>
      </c>
      <c r="J124" s="3" t="s">
        <v>15</v>
      </c>
      <c r="K124" s="3" t="s">
        <v>16</v>
      </c>
      <c r="L124" s="3" t="s">
        <v>17</v>
      </c>
      <c r="M124" s="3" t="s">
        <v>18</v>
      </c>
    </row>
    <row r="125" spans="1:13" hidden="1">
      <c r="A125" s="5" t="s">
        <v>9</v>
      </c>
      <c r="B125" s="5">
        <v>1066153</v>
      </c>
      <c r="C125" s="5">
        <v>1080097</v>
      </c>
      <c r="D125" s="5">
        <v>13944</v>
      </c>
      <c r="E125" s="6"/>
      <c r="F125" s="6"/>
      <c r="G125" s="6"/>
      <c r="H125" s="6"/>
      <c r="I125" s="5" t="s">
        <v>26</v>
      </c>
      <c r="J125" s="5">
        <v>31</v>
      </c>
      <c r="K125" s="5" t="s">
        <v>20</v>
      </c>
      <c r="L125" s="5">
        <f>D125/J125</f>
        <v>449.80645161290323</v>
      </c>
      <c r="M125" s="5">
        <v>1.38</v>
      </c>
    </row>
    <row r="126" spans="1:13" hidden="1">
      <c r="A126" s="5" t="s">
        <v>10</v>
      </c>
      <c r="B126" s="5">
        <v>1061731</v>
      </c>
      <c r="C126" s="5">
        <v>1076112</v>
      </c>
      <c r="D126" s="5">
        <v>14381</v>
      </c>
      <c r="E126" s="6">
        <v>19610.9385</v>
      </c>
      <c r="F126" s="6">
        <v>0</v>
      </c>
      <c r="G126" s="6">
        <v>141.4615</v>
      </c>
      <c r="H126" s="6">
        <v>570.84849999999994</v>
      </c>
      <c r="I126" s="5" t="s">
        <v>27</v>
      </c>
      <c r="J126" s="5">
        <v>30</v>
      </c>
      <c r="K126" s="5" t="s">
        <v>20</v>
      </c>
      <c r="L126" s="5">
        <v>497</v>
      </c>
      <c r="M126" s="5">
        <v>1.41</v>
      </c>
    </row>
    <row r="127" spans="1:13" hidden="1">
      <c r="A127" s="5" t="s">
        <v>11</v>
      </c>
      <c r="B127" s="5"/>
      <c r="C127" s="5"/>
      <c r="D127" s="5"/>
      <c r="E127" s="6">
        <v>19674.28</v>
      </c>
      <c r="F127" s="6"/>
      <c r="G127" s="6"/>
      <c r="H127" s="6"/>
      <c r="I127" s="5"/>
      <c r="J127" s="5"/>
      <c r="K127" s="5"/>
      <c r="L127" s="5"/>
      <c r="M127" s="5"/>
    </row>
    <row r="128" spans="1:13" hidden="1">
      <c r="A128" s="5" t="s">
        <v>12</v>
      </c>
      <c r="B128" s="5"/>
      <c r="C128" s="5"/>
      <c r="D128" s="5"/>
      <c r="E128" s="6">
        <v>20323.248500000002</v>
      </c>
      <c r="F128" s="6"/>
      <c r="G128" s="6"/>
      <c r="H128" s="6"/>
      <c r="I128" s="5"/>
      <c r="J128" s="5"/>
      <c r="K128" s="5"/>
      <c r="L128" s="5"/>
      <c r="M128" s="5"/>
    </row>
    <row r="129" spans="1:13" hidden="1">
      <c r="A129" s="5" t="s">
        <v>13</v>
      </c>
      <c r="B129" s="5"/>
      <c r="C129" s="5"/>
      <c r="D129" s="5"/>
      <c r="E129" s="6">
        <v>-648.96850000000268</v>
      </c>
      <c r="F129" s="6"/>
      <c r="G129" s="6"/>
      <c r="H129" s="6"/>
      <c r="I129" s="5"/>
      <c r="J129" s="5"/>
      <c r="K129" s="5"/>
      <c r="L129" s="5"/>
      <c r="M129" s="5"/>
    </row>
    <row r="130" spans="1:13" hidden="1"/>
    <row r="131" spans="1:13" hidden="1">
      <c r="A131" s="2">
        <v>43586</v>
      </c>
    </row>
    <row r="132" spans="1:13" hidden="1">
      <c r="A132" s="3" t="s">
        <v>1</v>
      </c>
      <c r="B132" s="3" t="s">
        <v>2</v>
      </c>
      <c r="C132" s="3" t="s">
        <v>3</v>
      </c>
      <c r="D132" s="3" t="s">
        <v>4</v>
      </c>
      <c r="E132" s="3" t="s">
        <v>5</v>
      </c>
      <c r="F132" s="3" t="s">
        <v>6</v>
      </c>
      <c r="G132" s="3" t="s">
        <v>7</v>
      </c>
      <c r="H132" s="3" t="s">
        <v>8</v>
      </c>
      <c r="I132" s="3" t="s">
        <v>14</v>
      </c>
      <c r="J132" s="3" t="s">
        <v>15</v>
      </c>
      <c r="K132" s="3" t="s">
        <v>16</v>
      </c>
      <c r="L132" s="3" t="s">
        <v>17</v>
      </c>
      <c r="M132" s="3" t="s">
        <v>18</v>
      </c>
    </row>
    <row r="133" spans="1:13" hidden="1">
      <c r="A133" s="5" t="s">
        <v>9</v>
      </c>
      <c r="B133" s="5">
        <v>1080097</v>
      </c>
      <c r="C133" s="5">
        <v>1094455</v>
      </c>
      <c r="D133" s="5">
        <f>C133-B133</f>
        <v>14358</v>
      </c>
      <c r="E133" s="6">
        <v>18415.41</v>
      </c>
      <c r="F133" s="6"/>
      <c r="G133" s="6"/>
      <c r="H133" s="6"/>
      <c r="I133" s="5" t="s">
        <v>28</v>
      </c>
      <c r="J133" s="5">
        <v>31</v>
      </c>
      <c r="K133" s="5" t="s">
        <v>20</v>
      </c>
      <c r="L133" s="5">
        <f>D133/J133</f>
        <v>463.16129032258067</v>
      </c>
      <c r="M133" s="5">
        <v>1.41</v>
      </c>
    </row>
    <row r="134" spans="1:13" hidden="1">
      <c r="A134" s="5" t="s">
        <v>10</v>
      </c>
      <c r="B134" s="5">
        <v>1076112</v>
      </c>
      <c r="C134" s="5">
        <v>1091009</v>
      </c>
      <c r="D134" s="5">
        <v>14897</v>
      </c>
      <c r="E134" s="6">
        <f>17664.86*1.15</f>
        <v>20314.589</v>
      </c>
      <c r="F134" s="6">
        <v>0</v>
      </c>
      <c r="G134" s="6">
        <f>123.01*1.15</f>
        <v>141.4615</v>
      </c>
      <c r="H134" s="6">
        <f>496.39*1.15</f>
        <v>570.84849999999994</v>
      </c>
      <c r="I134" s="5" t="s">
        <v>29</v>
      </c>
      <c r="J134" s="5">
        <v>31</v>
      </c>
      <c r="K134" s="5" t="s">
        <v>20</v>
      </c>
      <c r="L134" s="5">
        <v>480</v>
      </c>
      <c r="M134" s="5">
        <v>1.41</v>
      </c>
    </row>
    <row r="135" spans="1:13" hidden="1">
      <c r="A135" s="5" t="s">
        <v>11</v>
      </c>
      <c r="B135" s="5"/>
      <c r="C135" s="5"/>
      <c r="D135" s="5"/>
      <c r="E135" s="6">
        <f>E133</f>
        <v>18415.41</v>
      </c>
      <c r="F135" s="6"/>
      <c r="G135" s="6"/>
      <c r="H135" s="6"/>
      <c r="I135" s="5"/>
      <c r="J135" s="5"/>
      <c r="K135" s="5"/>
      <c r="L135" s="5"/>
      <c r="M135" s="5"/>
    </row>
    <row r="136" spans="1:13" hidden="1">
      <c r="A136" s="5" t="s">
        <v>12</v>
      </c>
      <c r="B136" s="5"/>
      <c r="C136" s="5"/>
      <c r="D136" s="5"/>
      <c r="E136" s="6">
        <v>21026.9</v>
      </c>
      <c r="F136" s="6"/>
      <c r="G136" s="6"/>
      <c r="H136" s="6"/>
      <c r="I136" s="5"/>
      <c r="J136" s="5"/>
      <c r="K136" s="5"/>
      <c r="L136" s="5"/>
      <c r="M136" s="5"/>
    </row>
    <row r="137" spans="1:13" hidden="1">
      <c r="A137" s="5" t="s">
        <v>13</v>
      </c>
      <c r="B137" s="5"/>
      <c r="C137" s="5"/>
      <c r="D137" s="5"/>
      <c r="E137" s="6">
        <f>E135-E136</f>
        <v>-2611.4900000000016</v>
      </c>
      <c r="F137" s="6"/>
      <c r="G137" s="6"/>
      <c r="H137" s="6"/>
      <c r="I137" s="5"/>
      <c r="J137" s="5"/>
      <c r="K137" s="5"/>
      <c r="L137" s="5"/>
      <c r="M137" s="5"/>
    </row>
    <row r="138" spans="1:13" hidden="1"/>
    <row r="139" spans="1:13" hidden="1">
      <c r="A139" s="2">
        <v>43617</v>
      </c>
    </row>
    <row r="140" spans="1:13" hidden="1">
      <c r="A140" s="3" t="s">
        <v>1</v>
      </c>
      <c r="B140" s="3" t="s">
        <v>2</v>
      </c>
      <c r="C140" s="3" t="s">
        <v>3</v>
      </c>
      <c r="D140" s="3" t="s">
        <v>4</v>
      </c>
      <c r="E140" s="3" t="s">
        <v>5</v>
      </c>
      <c r="F140" s="3" t="s">
        <v>6</v>
      </c>
      <c r="G140" s="3" t="s">
        <v>7</v>
      </c>
      <c r="H140" s="3" t="s">
        <v>8</v>
      </c>
      <c r="I140" s="3" t="s">
        <v>14</v>
      </c>
      <c r="J140" s="3" t="s">
        <v>15</v>
      </c>
      <c r="K140" s="3" t="s">
        <v>16</v>
      </c>
      <c r="L140" s="3" t="s">
        <v>17</v>
      </c>
      <c r="M140" s="3" t="s">
        <v>18</v>
      </c>
    </row>
    <row r="141" spans="1:13" hidden="1">
      <c r="A141" s="5" t="s">
        <v>9</v>
      </c>
      <c r="B141" s="5">
        <v>1094455</v>
      </c>
      <c r="C141" s="5">
        <v>1113085</v>
      </c>
      <c r="D141" s="5">
        <f>C141-B141</f>
        <v>18630</v>
      </c>
      <c r="E141" s="6">
        <v>26296.959999999999</v>
      </c>
      <c r="F141" s="6"/>
      <c r="G141" s="6"/>
      <c r="H141" s="6"/>
      <c r="I141" s="5" t="s">
        <v>30</v>
      </c>
      <c r="J141" s="5">
        <v>31</v>
      </c>
      <c r="K141" s="5" t="s">
        <v>20</v>
      </c>
      <c r="L141" s="5">
        <f>D141/J141</f>
        <v>600.9677419354839</v>
      </c>
      <c r="M141" s="5">
        <v>1.41</v>
      </c>
    </row>
    <row r="142" spans="1:13" hidden="1">
      <c r="A142" s="5" t="s">
        <v>10</v>
      </c>
      <c r="B142" s="5">
        <v>1091009</v>
      </c>
      <c r="C142" s="5">
        <v>1107907</v>
      </c>
      <c r="D142" s="5">
        <v>16898</v>
      </c>
      <c r="E142" s="6">
        <f>20062.56*1.15</f>
        <v>23071.944</v>
      </c>
      <c r="F142" s="6">
        <f>8.25*1.15</f>
        <v>9.4874999999999989</v>
      </c>
      <c r="G142" s="6">
        <f>139.09*1.15</f>
        <v>159.95349999999999</v>
      </c>
      <c r="H142" s="6">
        <f>561.27*1.15</f>
        <v>645.46049999999991</v>
      </c>
      <c r="I142" s="5" t="s">
        <v>31</v>
      </c>
      <c r="J142" s="5">
        <v>30</v>
      </c>
      <c r="K142" s="5" t="s">
        <v>20</v>
      </c>
      <c r="L142" s="5">
        <v>563</v>
      </c>
      <c r="M142" s="5">
        <v>1.41</v>
      </c>
    </row>
    <row r="143" spans="1:13" hidden="1">
      <c r="A143" s="5" t="s">
        <v>11</v>
      </c>
      <c r="B143" s="5"/>
      <c r="C143" s="5"/>
      <c r="D143" s="5"/>
      <c r="E143" s="6">
        <f>E141</f>
        <v>26296.959999999999</v>
      </c>
      <c r="F143" s="6"/>
      <c r="G143" s="6"/>
      <c r="H143" s="6"/>
      <c r="I143" s="5"/>
      <c r="J143" s="5"/>
      <c r="K143" s="5"/>
      <c r="L143" s="5"/>
      <c r="M143" s="5"/>
    </row>
    <row r="144" spans="1:13" hidden="1">
      <c r="A144" s="5" t="s">
        <v>12</v>
      </c>
      <c r="B144" s="5"/>
      <c r="C144" s="5"/>
      <c r="D144" s="5"/>
      <c r="E144" s="6">
        <v>23887.16</v>
      </c>
      <c r="F144" s="6"/>
      <c r="G144" s="6"/>
      <c r="H144" s="6"/>
      <c r="I144" s="5"/>
      <c r="J144" s="5"/>
      <c r="K144" s="5"/>
      <c r="L144" s="5"/>
      <c r="M144" s="5"/>
    </row>
    <row r="145" spans="1:13" hidden="1">
      <c r="A145" s="5" t="s">
        <v>13</v>
      </c>
      <c r="B145" s="5"/>
      <c r="C145" s="5"/>
      <c r="D145" s="5"/>
      <c r="E145" s="6">
        <f>E143-E144</f>
        <v>2409.7999999999993</v>
      </c>
      <c r="F145" s="6"/>
      <c r="G145" s="6"/>
      <c r="H145" s="6"/>
      <c r="I145" s="5"/>
      <c r="J145" s="5"/>
      <c r="K145" s="5"/>
      <c r="L145" s="5"/>
      <c r="M145" s="5"/>
    </row>
    <row r="146" spans="1:13" hidden="1"/>
    <row r="147" spans="1:13" hidden="1">
      <c r="A147" s="2">
        <v>43647</v>
      </c>
    </row>
    <row r="148" spans="1:13" hidden="1">
      <c r="A148" s="3" t="s">
        <v>1</v>
      </c>
      <c r="B148" s="3" t="s">
        <v>2</v>
      </c>
      <c r="C148" s="3" t="s">
        <v>3</v>
      </c>
      <c r="D148" s="3" t="s">
        <v>4</v>
      </c>
      <c r="E148" s="3" t="s">
        <v>5</v>
      </c>
      <c r="F148" s="3" t="s">
        <v>6</v>
      </c>
      <c r="G148" s="3" t="s">
        <v>7</v>
      </c>
      <c r="H148" s="3" t="s">
        <v>8</v>
      </c>
      <c r="I148" s="3" t="s">
        <v>14</v>
      </c>
      <c r="J148" s="3" t="s">
        <v>15</v>
      </c>
      <c r="K148" s="3" t="s">
        <v>16</v>
      </c>
      <c r="L148" s="3" t="s">
        <v>17</v>
      </c>
      <c r="M148" s="3" t="s">
        <v>18</v>
      </c>
    </row>
    <row r="149" spans="1:13" hidden="1">
      <c r="A149" s="5" t="s">
        <v>9</v>
      </c>
      <c r="B149" s="5">
        <v>1113085</v>
      </c>
      <c r="C149" s="5">
        <v>1128007</v>
      </c>
      <c r="D149" s="5">
        <f>C149-B149</f>
        <v>14922</v>
      </c>
      <c r="E149" s="6">
        <v>23782.49</v>
      </c>
      <c r="F149" s="6"/>
      <c r="G149" s="6"/>
      <c r="H149" s="6"/>
      <c r="I149" s="5" t="s">
        <v>32</v>
      </c>
      <c r="J149" s="5">
        <v>31</v>
      </c>
      <c r="K149" s="5" t="s">
        <v>20</v>
      </c>
      <c r="L149" s="5">
        <f>D149/J149</f>
        <v>481.35483870967744</v>
      </c>
      <c r="M149" s="5">
        <v>1.6</v>
      </c>
    </row>
    <row r="150" spans="1:13" hidden="1">
      <c r="A150" s="5" t="s">
        <v>10</v>
      </c>
      <c r="B150" s="5">
        <v>1107907</v>
      </c>
      <c r="C150" s="5">
        <v>1124474</v>
      </c>
      <c r="D150" s="5">
        <v>16567</v>
      </c>
      <c r="E150" s="6">
        <f>22213.03*1.15</f>
        <v>25544.984499999995</v>
      </c>
      <c r="F150" s="6"/>
      <c r="G150" s="6">
        <f>139.09*1.15</f>
        <v>159.95349999999999</v>
      </c>
      <c r="H150" s="6">
        <f>561.27*1.15</f>
        <v>645.46049999999991</v>
      </c>
      <c r="I150" s="5" t="s">
        <v>33</v>
      </c>
      <c r="J150" s="5">
        <v>31</v>
      </c>
      <c r="K150" s="5" t="s">
        <v>20</v>
      </c>
      <c r="L150" s="5">
        <v>534</v>
      </c>
      <c r="M150" s="5">
        <v>1.59</v>
      </c>
    </row>
    <row r="151" spans="1:13" hidden="1">
      <c r="A151" s="5" t="s">
        <v>11</v>
      </c>
      <c r="B151" s="5"/>
      <c r="C151" s="5"/>
      <c r="D151" s="5"/>
      <c r="E151" s="6">
        <f>E149</f>
        <v>23782.49</v>
      </c>
      <c r="F151" s="6"/>
      <c r="G151" s="6"/>
      <c r="H151" s="6"/>
      <c r="I151" s="5"/>
      <c r="J151" s="5"/>
      <c r="K151" s="5"/>
      <c r="L151" s="5"/>
      <c r="M151" s="5"/>
    </row>
    <row r="152" spans="1:13" hidden="1">
      <c r="A152" s="5" t="s">
        <v>12</v>
      </c>
      <c r="B152" s="5"/>
      <c r="C152" s="5"/>
      <c r="D152" s="5"/>
      <c r="E152" s="6">
        <v>26350.400000000001</v>
      </c>
      <c r="F152" s="6"/>
      <c r="G152" s="6"/>
      <c r="H152" s="6"/>
      <c r="I152" s="5"/>
      <c r="J152" s="5"/>
      <c r="K152" s="5"/>
      <c r="L152" s="5"/>
      <c r="M152" s="5"/>
    </row>
    <row r="153" spans="1:13" hidden="1">
      <c r="A153" s="5" t="s">
        <v>13</v>
      </c>
      <c r="B153" s="5"/>
      <c r="C153" s="5"/>
      <c r="D153" s="5"/>
      <c r="E153" s="6">
        <f>E151-E152</f>
        <v>-2567.91</v>
      </c>
      <c r="F153" s="6"/>
      <c r="G153" s="6"/>
      <c r="H153" s="6"/>
      <c r="I153" s="5"/>
      <c r="J153" s="5"/>
      <c r="K153" s="5"/>
      <c r="L153" s="5"/>
      <c r="M153" s="5"/>
    </row>
    <row r="154" spans="1:13" hidden="1"/>
    <row r="155" spans="1:13" hidden="1">
      <c r="A155" s="2">
        <v>43678</v>
      </c>
    </row>
    <row r="156" spans="1:13" hidden="1">
      <c r="A156" s="3" t="s">
        <v>1</v>
      </c>
      <c r="B156" s="3" t="s">
        <v>2</v>
      </c>
      <c r="C156" s="3" t="s">
        <v>3</v>
      </c>
      <c r="D156" s="3" t="s">
        <v>4</v>
      </c>
      <c r="E156" s="3" t="s">
        <v>5</v>
      </c>
      <c r="F156" s="3" t="s">
        <v>6</v>
      </c>
      <c r="G156" s="3" t="s">
        <v>7</v>
      </c>
      <c r="H156" s="3" t="s">
        <v>8</v>
      </c>
      <c r="I156" s="3" t="s">
        <v>14</v>
      </c>
      <c r="J156" s="3" t="s">
        <v>15</v>
      </c>
      <c r="K156" s="3" t="s">
        <v>16</v>
      </c>
      <c r="L156" s="3" t="s">
        <v>17</v>
      </c>
      <c r="M156" s="3" t="s">
        <v>18</v>
      </c>
    </row>
    <row r="157" spans="1:13" hidden="1">
      <c r="A157" s="5" t="s">
        <v>9</v>
      </c>
      <c r="B157" s="5">
        <v>1128007</v>
      </c>
      <c r="C157" s="5">
        <v>1142908</v>
      </c>
      <c r="D157" s="5">
        <f>C157-B157</f>
        <v>14901</v>
      </c>
      <c r="E157" s="6">
        <v>21332.97</v>
      </c>
      <c r="F157" s="6"/>
      <c r="G157" s="6"/>
      <c r="H157" s="6"/>
      <c r="I157" s="5" t="s">
        <v>34</v>
      </c>
      <c r="J157" s="5">
        <v>31</v>
      </c>
      <c r="K157" s="5" t="s">
        <v>20</v>
      </c>
      <c r="L157" s="5">
        <f>D157/J157</f>
        <v>480.67741935483872</v>
      </c>
      <c r="M157" s="5">
        <v>1.58</v>
      </c>
    </row>
    <row r="158" spans="1:13" hidden="1">
      <c r="A158" s="5" t="s">
        <v>10</v>
      </c>
      <c r="B158" s="5">
        <v>1124474</v>
      </c>
      <c r="C158" s="5">
        <v>1139793</v>
      </c>
      <c r="D158" s="5">
        <v>15319</v>
      </c>
      <c r="E158" s="6">
        <f>20539.72*1.15</f>
        <v>23620.678</v>
      </c>
      <c r="F158" s="6"/>
      <c r="G158" s="6">
        <f>139.09*1.15</f>
        <v>159.95349999999999</v>
      </c>
      <c r="H158" s="6">
        <f>561.27*1.15</f>
        <v>645.46049999999991</v>
      </c>
      <c r="I158" s="5" t="s">
        <v>35</v>
      </c>
      <c r="J158" s="5">
        <v>31</v>
      </c>
      <c r="K158" s="5" t="s">
        <v>20</v>
      </c>
      <c r="L158" s="5">
        <v>494</v>
      </c>
      <c r="M158" s="5">
        <v>1.59</v>
      </c>
    </row>
    <row r="159" spans="1:13" hidden="1">
      <c r="A159" s="5" t="s">
        <v>11</v>
      </c>
      <c r="B159" s="5"/>
      <c r="C159" s="5"/>
      <c r="D159" s="5"/>
      <c r="E159" s="6">
        <v>21332.97</v>
      </c>
      <c r="F159" s="6"/>
      <c r="G159" s="6"/>
      <c r="H159" s="6"/>
      <c r="I159" s="5"/>
      <c r="J159" s="5"/>
      <c r="K159" s="5"/>
      <c r="L159" s="5"/>
      <c r="M159" s="5"/>
    </row>
    <row r="160" spans="1:13" hidden="1">
      <c r="A160" s="5" t="s">
        <v>12</v>
      </c>
      <c r="B160" s="5"/>
      <c r="C160" s="5"/>
      <c r="D160" s="5"/>
      <c r="E160" s="6">
        <v>24426.09</v>
      </c>
      <c r="F160" s="6"/>
      <c r="G160" s="6"/>
      <c r="H160" s="6"/>
      <c r="I160" s="5"/>
      <c r="J160" s="5"/>
      <c r="K160" s="5"/>
      <c r="L160" s="5"/>
      <c r="M160" s="5"/>
    </row>
    <row r="161" spans="1:13" hidden="1">
      <c r="A161" s="5" t="s">
        <v>13</v>
      </c>
      <c r="B161" s="5"/>
      <c r="C161" s="5"/>
      <c r="D161" s="5"/>
      <c r="E161" s="6">
        <f>E159-E160</f>
        <v>-3093.119999999999</v>
      </c>
      <c r="F161" s="6"/>
      <c r="G161" s="6"/>
      <c r="H161" s="6"/>
      <c r="I161" s="5"/>
      <c r="J161" s="5"/>
      <c r="K161" s="5"/>
      <c r="L161" s="5"/>
      <c r="M161" s="5"/>
    </row>
    <row r="162" spans="1:13" hidden="1"/>
    <row r="163" spans="1:13" hidden="1">
      <c r="A163" s="2">
        <v>43709</v>
      </c>
    </row>
    <row r="164" spans="1:13" hidden="1">
      <c r="A164" s="3" t="s">
        <v>1</v>
      </c>
      <c r="B164" s="3" t="s">
        <v>2</v>
      </c>
      <c r="C164" s="3" t="s">
        <v>3</v>
      </c>
      <c r="D164" s="3" t="s">
        <v>4</v>
      </c>
      <c r="E164" s="3" t="s">
        <v>5</v>
      </c>
      <c r="F164" s="3" t="s">
        <v>36</v>
      </c>
      <c r="G164" s="3" t="s">
        <v>7</v>
      </c>
      <c r="H164" s="3" t="s">
        <v>8</v>
      </c>
      <c r="I164" s="3" t="s">
        <v>14</v>
      </c>
      <c r="J164" s="3" t="s">
        <v>15</v>
      </c>
      <c r="K164" s="3" t="s">
        <v>16</v>
      </c>
      <c r="L164" s="3" t="s">
        <v>17</v>
      </c>
      <c r="M164" s="3" t="s">
        <v>18</v>
      </c>
    </row>
    <row r="165" spans="1:13" hidden="1">
      <c r="A165" s="5" t="s">
        <v>9</v>
      </c>
      <c r="B165" s="5">
        <f>C157</f>
        <v>1142908</v>
      </c>
      <c r="C165" s="5">
        <v>1157621</v>
      </c>
      <c r="D165" s="5">
        <f>C165-B165</f>
        <v>14713</v>
      </c>
      <c r="E165" s="6">
        <f>18085.5087*1.15</f>
        <v>20798.335004999997</v>
      </c>
      <c r="F165" s="6">
        <f>2384.6905846882*1.15</f>
        <v>2742.3941723914299</v>
      </c>
      <c r="G165" s="6"/>
      <c r="H165" s="6"/>
      <c r="I165" s="5" t="s">
        <v>37</v>
      </c>
      <c r="J165" s="5">
        <v>30</v>
      </c>
      <c r="K165" s="5" t="s">
        <v>20</v>
      </c>
      <c r="L165" s="5">
        <f>D165/J165</f>
        <v>490.43333333333334</v>
      </c>
      <c r="M165" s="5">
        <v>1.58</v>
      </c>
    </row>
    <row r="166" spans="1:13" hidden="1">
      <c r="A166" s="5" t="s">
        <v>10</v>
      </c>
      <c r="B166" s="5">
        <f>C158</f>
        <v>1139793</v>
      </c>
      <c r="C166" s="5">
        <v>1153988</v>
      </c>
      <c r="D166" s="5">
        <f>C166-B166</f>
        <v>14195</v>
      </c>
      <c r="E166" s="6">
        <f>19032.66*1.15</f>
        <v>21887.558999999997</v>
      </c>
      <c r="F166" s="6"/>
      <c r="G166" s="6">
        <f>139.09*1.15</f>
        <v>159.95349999999999</v>
      </c>
      <c r="H166" s="6">
        <f>561.27*1.15</f>
        <v>645.46049999999991</v>
      </c>
      <c r="I166" s="5" t="s">
        <v>38</v>
      </c>
      <c r="J166" s="5">
        <v>30</v>
      </c>
      <c r="K166" s="5" t="s">
        <v>20</v>
      </c>
      <c r="L166" s="5">
        <v>473</v>
      </c>
      <c r="M166" s="6">
        <f>E168/D166</f>
        <v>1.5986595984501584</v>
      </c>
    </row>
    <row r="167" spans="1:13" hidden="1">
      <c r="A167" s="5" t="s">
        <v>11</v>
      </c>
      <c r="B167" s="5"/>
      <c r="C167" s="5"/>
      <c r="D167" s="5"/>
      <c r="E167" s="6">
        <f>E165+F165</f>
        <v>23540.729177391426</v>
      </c>
      <c r="F167" s="6"/>
      <c r="G167" s="6"/>
      <c r="H167" s="6"/>
      <c r="I167" s="5"/>
      <c r="J167" s="5"/>
      <c r="K167" s="5"/>
      <c r="L167" s="5"/>
      <c r="M167" s="5"/>
    </row>
    <row r="168" spans="1:13" hidden="1">
      <c r="A168" s="5" t="s">
        <v>12</v>
      </c>
      <c r="B168" s="5"/>
      <c r="C168" s="5"/>
      <c r="D168" s="5"/>
      <c r="E168" s="6">
        <f>E166+F166+G166+H166</f>
        <v>22692.972999999998</v>
      </c>
      <c r="F168" s="6"/>
      <c r="G168" s="6"/>
      <c r="H168" s="6"/>
      <c r="I168" s="5"/>
      <c r="J168" s="5"/>
      <c r="K168" s="5"/>
      <c r="L168" s="5"/>
      <c r="M168" s="5"/>
    </row>
    <row r="169" spans="1:13" hidden="1">
      <c r="A169" s="5" t="s">
        <v>13</v>
      </c>
      <c r="B169" s="5"/>
      <c r="C169" s="5"/>
      <c r="D169" s="5"/>
      <c r="E169" s="6">
        <f>E167-E168</f>
        <v>847.75617739142763</v>
      </c>
      <c r="F169" s="6"/>
      <c r="G169" s="6"/>
      <c r="H169" s="6"/>
      <c r="I169" s="5"/>
      <c r="J169" s="5"/>
      <c r="K169" s="5"/>
      <c r="L169" s="5"/>
      <c r="M169" s="5"/>
    </row>
    <row r="170" spans="1:13" hidden="1"/>
    <row r="171" spans="1:13" hidden="1">
      <c r="A171" s="2">
        <v>43739</v>
      </c>
    </row>
    <row r="172" spans="1:13" hidden="1">
      <c r="A172" s="3" t="s">
        <v>1</v>
      </c>
      <c r="B172" s="3" t="s">
        <v>2</v>
      </c>
      <c r="C172" s="3" t="s">
        <v>3</v>
      </c>
      <c r="D172" s="3" t="s">
        <v>4</v>
      </c>
      <c r="E172" s="3" t="s">
        <v>5</v>
      </c>
      <c r="F172" s="3" t="s">
        <v>36</v>
      </c>
      <c r="G172" s="3" t="s">
        <v>7</v>
      </c>
      <c r="H172" s="3" t="s">
        <v>8</v>
      </c>
      <c r="I172" s="3" t="s">
        <v>14</v>
      </c>
      <c r="J172" s="3" t="s">
        <v>15</v>
      </c>
      <c r="K172" s="3" t="s">
        <v>16</v>
      </c>
      <c r="L172" s="3" t="s">
        <v>17</v>
      </c>
      <c r="M172" s="3" t="s">
        <v>18</v>
      </c>
    </row>
    <row r="173" spans="1:13" hidden="1">
      <c r="A173" s="5" t="s">
        <v>9</v>
      </c>
      <c r="B173" s="5">
        <f>C165</f>
        <v>1157621</v>
      </c>
      <c r="C173" s="5">
        <v>1170713</v>
      </c>
      <c r="D173" s="5">
        <f>C173-B173</f>
        <v>13092</v>
      </c>
      <c r="E173" s="6">
        <f>(17069.8597*1.15)+308.52</f>
        <v>19938.858655</v>
      </c>
      <c r="F173" s="6">
        <f>1145.0410450399*1.15</f>
        <v>1316.7972017958848</v>
      </c>
      <c r="G173" s="6"/>
      <c r="H173" s="6"/>
      <c r="I173" s="5" t="s">
        <v>39</v>
      </c>
      <c r="J173" s="5">
        <v>31</v>
      </c>
      <c r="K173" s="5" t="s">
        <v>20</v>
      </c>
      <c r="L173" s="5">
        <f>D173/J173</f>
        <v>422.32258064516128</v>
      </c>
      <c r="M173" s="5">
        <v>1.58</v>
      </c>
    </row>
    <row r="174" spans="1:13" hidden="1">
      <c r="A174" s="5" t="s">
        <v>10</v>
      </c>
      <c r="B174" s="5">
        <f>C166</f>
        <v>1153988</v>
      </c>
      <c r="C174" s="5">
        <v>1167863</v>
      </c>
      <c r="D174" s="5">
        <f>C174-B174</f>
        <v>13875</v>
      </c>
      <c r="E174" s="6">
        <f>18603.6*1.15</f>
        <v>21394.139999999996</v>
      </c>
      <c r="F174" s="6"/>
      <c r="G174" s="6">
        <f>139.09*1.15</f>
        <v>159.95349999999999</v>
      </c>
      <c r="H174" s="6">
        <f>561.27*1.15</f>
        <v>645.46049999999991</v>
      </c>
      <c r="I174" s="5" t="s">
        <v>40</v>
      </c>
      <c r="J174" s="5">
        <v>31</v>
      </c>
      <c r="K174" s="5" t="s">
        <v>20</v>
      </c>
      <c r="L174" s="5">
        <f>D174/J174</f>
        <v>447.58064516129031</v>
      </c>
      <c r="M174" s="6">
        <f>E176/D174</f>
        <v>1.5999678558558557</v>
      </c>
    </row>
    <row r="175" spans="1:13" hidden="1">
      <c r="A175" s="5" t="s">
        <v>11</v>
      </c>
      <c r="B175" s="5"/>
      <c r="C175" s="5"/>
      <c r="D175" s="5"/>
      <c r="E175" s="6">
        <f>E173+F173</f>
        <v>21255.655856795885</v>
      </c>
      <c r="F175" s="6"/>
      <c r="G175" s="6"/>
      <c r="H175" s="6"/>
      <c r="I175" s="5"/>
      <c r="J175" s="5"/>
      <c r="K175" s="5"/>
      <c r="L175" s="5"/>
      <c r="M175" s="5"/>
    </row>
    <row r="176" spans="1:13" hidden="1">
      <c r="A176" s="5" t="s">
        <v>12</v>
      </c>
      <c r="B176" s="5"/>
      <c r="C176" s="5"/>
      <c r="D176" s="5"/>
      <c r="E176" s="6">
        <f>E174+F174+G174+H174</f>
        <v>22199.553999999996</v>
      </c>
      <c r="F176" s="6"/>
      <c r="G176" s="6"/>
      <c r="H176" s="6"/>
      <c r="I176" s="5"/>
      <c r="J176" s="5"/>
      <c r="K176" s="5"/>
      <c r="L176" s="5"/>
      <c r="M176" s="5"/>
    </row>
    <row r="177" spans="1:13" hidden="1">
      <c r="A177" s="5" t="s">
        <v>13</v>
      </c>
      <c r="B177" s="5"/>
      <c r="C177" s="5"/>
      <c r="D177" s="5"/>
      <c r="E177" s="6">
        <f>E175-E176</f>
        <v>-943.89814320411097</v>
      </c>
      <c r="F177" s="6"/>
      <c r="G177" s="6"/>
      <c r="H177" s="6"/>
      <c r="I177" s="5"/>
      <c r="J177" s="5"/>
      <c r="K177" s="5"/>
      <c r="L177" s="5"/>
      <c r="M177" s="5"/>
    </row>
    <row r="178" spans="1:13" hidden="1"/>
    <row r="179" spans="1:13" hidden="1">
      <c r="A179" s="2">
        <v>43770</v>
      </c>
    </row>
    <row r="180" spans="1:13" hidden="1">
      <c r="A180" s="3" t="s">
        <v>1</v>
      </c>
      <c r="B180" s="3" t="s">
        <v>2</v>
      </c>
      <c r="C180" s="3" t="s">
        <v>3</v>
      </c>
      <c r="D180" s="3" t="s">
        <v>4</v>
      </c>
      <c r="E180" s="3" t="s">
        <v>5</v>
      </c>
      <c r="F180" s="3" t="s">
        <v>36</v>
      </c>
      <c r="G180" s="3" t="s">
        <v>7</v>
      </c>
      <c r="H180" s="3" t="s">
        <v>8</v>
      </c>
      <c r="I180" s="3" t="s">
        <v>14</v>
      </c>
      <c r="J180" s="3" t="s">
        <v>15</v>
      </c>
      <c r="K180" s="3" t="s">
        <v>16</v>
      </c>
      <c r="L180" s="3" t="s">
        <v>17</v>
      </c>
      <c r="M180" s="3" t="s">
        <v>18</v>
      </c>
    </row>
    <row r="181" spans="1:13" hidden="1">
      <c r="A181" s="5" t="s">
        <v>9</v>
      </c>
      <c r="B181" s="5">
        <f>C173</f>
        <v>1170713</v>
      </c>
      <c r="C181" s="5">
        <v>1183937</v>
      </c>
      <c r="D181" s="5">
        <f>C181-B181</f>
        <v>13224</v>
      </c>
      <c r="E181" s="6">
        <f>(16555.0787*1.15)+425.2</f>
        <v>19463.540504999997</v>
      </c>
      <c r="F181" s="6">
        <f>1843.4725*1.15</f>
        <v>2119.993375</v>
      </c>
      <c r="G181" s="6"/>
      <c r="H181" s="6"/>
      <c r="I181" s="5" t="s">
        <v>41</v>
      </c>
      <c r="J181" s="5">
        <v>31</v>
      </c>
      <c r="K181" s="5" t="s">
        <v>20</v>
      </c>
      <c r="L181" s="5">
        <f>D181/J181</f>
        <v>426.58064516129031</v>
      </c>
      <c r="M181" s="5">
        <v>1.58</v>
      </c>
    </row>
    <row r="182" spans="1:13" hidden="1">
      <c r="A182" s="5" t="s">
        <v>10</v>
      </c>
      <c r="B182" s="5">
        <f>C174</f>
        <v>1167863</v>
      </c>
      <c r="C182" s="5">
        <v>1181153</v>
      </c>
      <c r="D182" s="5">
        <f>C182-B182</f>
        <v>13290</v>
      </c>
      <c r="E182" s="6">
        <f>17819.23*1.15</f>
        <v>20492.1145</v>
      </c>
      <c r="F182" s="6"/>
      <c r="G182" s="6">
        <f>139.09*1.15</f>
        <v>159.95349999999999</v>
      </c>
      <c r="H182" s="6">
        <f>561.27*1.15</f>
        <v>645.46049999999991</v>
      </c>
      <c r="I182" s="5" t="s">
        <v>42</v>
      </c>
      <c r="J182" s="5">
        <v>30</v>
      </c>
      <c r="K182" s="5" t="s">
        <v>20</v>
      </c>
      <c r="L182" s="5">
        <f>D182/J182</f>
        <v>443</v>
      </c>
      <c r="M182" s="6">
        <f>E184/D182</f>
        <v>1.6025228367193378</v>
      </c>
    </row>
    <row r="183" spans="1:13" hidden="1">
      <c r="A183" s="5" t="s">
        <v>11</v>
      </c>
      <c r="B183" s="5"/>
      <c r="C183" s="5"/>
      <c r="D183" s="5"/>
      <c r="E183" s="6">
        <f>E181+F181</f>
        <v>21583.533879999995</v>
      </c>
      <c r="F183" s="6"/>
      <c r="G183" s="6"/>
      <c r="H183" s="6"/>
      <c r="I183" s="5"/>
      <c r="J183" s="5"/>
      <c r="K183" s="5"/>
      <c r="L183" s="5"/>
      <c r="M183" s="5"/>
    </row>
    <row r="184" spans="1:13" hidden="1">
      <c r="A184" s="5" t="s">
        <v>12</v>
      </c>
      <c r="B184" s="5"/>
      <c r="C184" s="5"/>
      <c r="D184" s="5"/>
      <c r="E184" s="6">
        <f>E182+F182+G182+H182</f>
        <v>21297.5285</v>
      </c>
      <c r="F184" s="6"/>
      <c r="G184" s="6"/>
      <c r="H184" s="6"/>
      <c r="I184" s="5"/>
      <c r="J184" s="5"/>
      <c r="K184" s="5"/>
      <c r="L184" s="5"/>
      <c r="M184" s="5"/>
    </row>
    <row r="185" spans="1:13" hidden="1">
      <c r="A185" s="5" t="s">
        <v>13</v>
      </c>
      <c r="B185" s="5"/>
      <c r="C185" s="5"/>
      <c r="D185" s="5"/>
      <c r="E185" s="6">
        <f>E183-E184</f>
        <v>286.00537999999506</v>
      </c>
      <c r="F185" s="6"/>
      <c r="G185" s="6"/>
      <c r="H185" s="6"/>
      <c r="I185" s="5"/>
      <c r="J185" s="5"/>
      <c r="K185" s="5"/>
      <c r="L185" s="5"/>
      <c r="M185" s="5"/>
    </row>
    <row r="186" spans="1:13" hidden="1"/>
    <row r="187" spans="1:13" hidden="1">
      <c r="A187" s="2">
        <v>43800</v>
      </c>
    </row>
    <row r="188" spans="1:13" hidden="1">
      <c r="A188" s="3" t="s">
        <v>1</v>
      </c>
      <c r="B188" s="3" t="s">
        <v>2</v>
      </c>
      <c r="C188" s="3" t="s">
        <v>3</v>
      </c>
      <c r="D188" s="3" t="s">
        <v>4</v>
      </c>
      <c r="E188" s="3" t="s">
        <v>5</v>
      </c>
      <c r="F188" s="3" t="s">
        <v>36</v>
      </c>
      <c r="G188" s="3" t="s">
        <v>7</v>
      </c>
      <c r="H188" s="3" t="s">
        <v>8</v>
      </c>
      <c r="I188" s="3" t="s">
        <v>14</v>
      </c>
      <c r="J188" s="3" t="s">
        <v>15</v>
      </c>
      <c r="K188" s="3" t="s">
        <v>16</v>
      </c>
      <c r="L188" s="3" t="s">
        <v>17</v>
      </c>
      <c r="M188" s="3" t="s">
        <v>18</v>
      </c>
    </row>
    <row r="189" spans="1:13" hidden="1">
      <c r="A189" s="5" t="s">
        <v>9</v>
      </c>
      <c r="B189" s="5">
        <f>C181</f>
        <v>1183937</v>
      </c>
      <c r="C189" s="5">
        <v>1198674</v>
      </c>
      <c r="D189" s="5">
        <f>C189-B189</f>
        <v>14737</v>
      </c>
      <c r="E189" s="6">
        <v>23275.159999999996</v>
      </c>
      <c r="F189" s="6">
        <v>812.32</v>
      </c>
      <c r="G189" s="6"/>
      <c r="H189" s="6"/>
      <c r="I189" s="5" t="s">
        <v>43</v>
      </c>
      <c r="J189" s="5">
        <v>35</v>
      </c>
      <c r="K189" s="5" t="s">
        <v>20</v>
      </c>
      <c r="L189" s="5">
        <f>D189/J189</f>
        <v>421.05714285714288</v>
      </c>
      <c r="M189" s="5">
        <v>1.58</v>
      </c>
    </row>
    <row r="190" spans="1:13" hidden="1">
      <c r="A190" s="5" t="s">
        <v>10</v>
      </c>
      <c r="B190" s="5">
        <f>C182</f>
        <v>1181153</v>
      </c>
      <c r="C190" s="5">
        <v>1194223</v>
      </c>
      <c r="D190" s="5">
        <f>C190-B190</f>
        <v>13070</v>
      </c>
      <c r="E190" s="6">
        <f>17524.26*1.15</f>
        <v>20152.898999999998</v>
      </c>
      <c r="F190" s="6"/>
      <c r="G190" s="6">
        <f>139.09*1.15</f>
        <v>159.95349999999999</v>
      </c>
      <c r="H190" s="6">
        <f>561.27*1.15</f>
        <v>645.46049999999991</v>
      </c>
      <c r="I190" s="5" t="s">
        <v>44</v>
      </c>
      <c r="J190" s="5">
        <v>31</v>
      </c>
      <c r="K190" s="5" t="s">
        <v>20</v>
      </c>
      <c r="L190" s="5">
        <f>D190/J190</f>
        <v>421.61290322580646</v>
      </c>
      <c r="M190" s="6">
        <f>E192/D190</f>
        <v>1.6035434583014536</v>
      </c>
    </row>
    <row r="191" spans="1:13" hidden="1">
      <c r="A191" s="5" t="s">
        <v>11</v>
      </c>
      <c r="B191" s="5"/>
      <c r="C191" s="5"/>
      <c r="D191" s="5"/>
      <c r="E191" s="6">
        <f>E189+F189</f>
        <v>24087.479999999996</v>
      </c>
      <c r="F191" s="6"/>
      <c r="G191" s="6"/>
      <c r="H191" s="6"/>
      <c r="I191" s="5"/>
      <c r="J191" s="5"/>
      <c r="K191" s="5"/>
      <c r="L191" s="5"/>
      <c r="M191" s="5"/>
    </row>
    <row r="192" spans="1:13" hidden="1">
      <c r="A192" s="5" t="s">
        <v>12</v>
      </c>
      <c r="B192" s="5"/>
      <c r="C192" s="5"/>
      <c r="D192" s="5"/>
      <c r="E192" s="6">
        <f>E190+F190+G190+H190</f>
        <v>20958.312999999998</v>
      </c>
      <c r="F192" s="6"/>
      <c r="G192" s="6"/>
      <c r="H192" s="6"/>
      <c r="I192" s="5"/>
      <c r="J192" s="5"/>
      <c r="K192" s="5"/>
      <c r="L192" s="5"/>
      <c r="M192" s="5"/>
    </row>
    <row r="193" spans="1:13" hidden="1">
      <c r="A193" s="5" t="s">
        <v>13</v>
      </c>
      <c r="B193" s="5"/>
      <c r="C193" s="5"/>
      <c r="D193" s="5"/>
      <c r="E193" s="6">
        <f>E191-E192</f>
        <v>3129.1669999999976</v>
      </c>
      <c r="F193" s="6"/>
      <c r="G193" s="6"/>
      <c r="H193" s="6"/>
      <c r="I193" s="5"/>
      <c r="J193" s="5"/>
      <c r="K193" s="5"/>
      <c r="L193" s="5"/>
      <c r="M193" s="5"/>
    </row>
    <row r="195" spans="1:13">
      <c r="A195" s="13">
        <v>43831</v>
      </c>
    </row>
    <row r="196" spans="1:13" hidden="1">
      <c r="A196" s="3" t="s">
        <v>1</v>
      </c>
      <c r="B196" s="3" t="s">
        <v>2</v>
      </c>
      <c r="C196" s="3" t="s">
        <v>3</v>
      </c>
      <c r="D196" s="3" t="s">
        <v>4</v>
      </c>
      <c r="E196" s="3" t="s">
        <v>5</v>
      </c>
      <c r="F196" s="3" t="s">
        <v>36</v>
      </c>
      <c r="G196" s="3" t="s">
        <v>7</v>
      </c>
      <c r="H196" s="3" t="s">
        <v>8</v>
      </c>
      <c r="I196" s="3" t="s">
        <v>14</v>
      </c>
      <c r="J196" s="3" t="s">
        <v>15</v>
      </c>
      <c r="K196" s="3" t="s">
        <v>16</v>
      </c>
      <c r="L196" s="3" t="s">
        <v>17</v>
      </c>
      <c r="M196" s="3" t="s">
        <v>18</v>
      </c>
    </row>
    <row r="197" spans="1:13" hidden="1">
      <c r="A197" s="5" t="s">
        <v>9</v>
      </c>
      <c r="B197" s="5">
        <f>C189</f>
        <v>1198674</v>
      </c>
      <c r="C197" s="5">
        <v>1209555</v>
      </c>
      <c r="D197" s="5">
        <f>C197-B197</f>
        <v>10881</v>
      </c>
      <c r="E197" s="6">
        <f>13874.04*1.15</f>
        <v>15955.146000000001</v>
      </c>
      <c r="F197" s="6">
        <f>1264.69*1.15</f>
        <v>1454.3934999999999</v>
      </c>
      <c r="G197" s="6"/>
      <c r="H197" s="6"/>
      <c r="I197" s="5" t="s">
        <v>45</v>
      </c>
      <c r="J197" s="5">
        <v>26</v>
      </c>
      <c r="K197" s="5" t="s">
        <v>20</v>
      </c>
      <c r="L197" s="5">
        <f>D197/J197</f>
        <v>418.5</v>
      </c>
      <c r="M197" s="5">
        <v>1.58</v>
      </c>
    </row>
    <row r="198" spans="1:13" hidden="1">
      <c r="A198" s="5" t="s">
        <v>10</v>
      </c>
      <c r="B198" s="5">
        <f>C190</f>
        <v>1194223</v>
      </c>
      <c r="C198" s="5">
        <v>1206457</v>
      </c>
      <c r="D198" s="5">
        <f>C198-B198</f>
        <v>12234</v>
      </c>
      <c r="E198" s="6">
        <f>16403.35*1.15</f>
        <v>18863.852499999997</v>
      </c>
      <c r="F198" s="6"/>
      <c r="G198" s="6">
        <f>139.09*1.15</f>
        <v>159.95349999999999</v>
      </c>
      <c r="H198" s="6">
        <f>561.27*1.15</f>
        <v>645.46049999999991</v>
      </c>
      <c r="I198" s="5" t="s">
        <v>46</v>
      </c>
      <c r="J198" s="5">
        <v>31</v>
      </c>
      <c r="K198" s="5" t="s">
        <v>20</v>
      </c>
      <c r="L198" s="5">
        <f>D198/J198</f>
        <v>394.64516129032256</v>
      </c>
      <c r="M198" s="6">
        <f>E200/D198</f>
        <v>1.6077543321889813</v>
      </c>
    </row>
    <row r="199" spans="1:13" hidden="1">
      <c r="A199" s="5" t="s">
        <v>11</v>
      </c>
      <c r="B199" s="5"/>
      <c r="C199" s="5"/>
      <c r="D199" s="5"/>
      <c r="E199" s="6">
        <f>E197+F197</f>
        <v>17409.539499999999</v>
      </c>
      <c r="F199" s="6"/>
      <c r="G199" s="6"/>
      <c r="H199" s="6"/>
      <c r="I199" s="5"/>
      <c r="J199" s="5"/>
      <c r="K199" s="5"/>
      <c r="L199" s="5"/>
      <c r="M199" s="5"/>
    </row>
    <row r="200" spans="1:13" hidden="1">
      <c r="A200" s="5" t="s">
        <v>12</v>
      </c>
      <c r="B200" s="5"/>
      <c r="C200" s="5"/>
      <c r="D200" s="5"/>
      <c r="E200" s="6">
        <f>E198+F198+G198+H198</f>
        <v>19669.266499999998</v>
      </c>
      <c r="F200" s="6"/>
      <c r="G200" s="6"/>
      <c r="H200" s="6"/>
      <c r="I200" s="5"/>
      <c r="J200" s="5"/>
      <c r="K200" s="5"/>
      <c r="L200" s="5"/>
      <c r="M200" s="5"/>
    </row>
    <row r="201" spans="1:13" hidden="1">
      <c r="A201" s="5" t="s">
        <v>13</v>
      </c>
      <c r="B201" s="5"/>
      <c r="C201" s="5"/>
      <c r="D201" s="5"/>
      <c r="E201" s="6">
        <f>E199-E200</f>
        <v>-2259.726999999999</v>
      </c>
      <c r="F201" s="6"/>
      <c r="G201" s="6"/>
      <c r="H201" s="6"/>
      <c r="I201" s="5"/>
      <c r="J201" s="5"/>
      <c r="K201" s="5"/>
      <c r="L201" s="5"/>
      <c r="M201" s="5"/>
    </row>
    <row r="202" spans="1:13" hidden="1"/>
    <row r="203" spans="1:13" hidden="1">
      <c r="A203" s="13">
        <v>43862</v>
      </c>
    </row>
    <row r="204" spans="1:13" hidden="1">
      <c r="A204" s="3" t="s">
        <v>1</v>
      </c>
      <c r="B204" s="3" t="s">
        <v>2</v>
      </c>
      <c r="C204" s="3" t="s">
        <v>3</v>
      </c>
      <c r="D204" s="3" t="s">
        <v>4</v>
      </c>
      <c r="E204" s="3" t="s">
        <v>5</v>
      </c>
      <c r="F204" s="3" t="s">
        <v>36</v>
      </c>
      <c r="G204" s="3" t="s">
        <v>7</v>
      </c>
      <c r="H204" s="3" t="s">
        <v>8</v>
      </c>
      <c r="I204" s="3" t="s">
        <v>14</v>
      </c>
      <c r="J204" s="3" t="s">
        <v>15</v>
      </c>
      <c r="K204" s="3" t="s">
        <v>16</v>
      </c>
      <c r="L204" s="3" t="s">
        <v>17</v>
      </c>
      <c r="M204" s="3" t="s">
        <v>18</v>
      </c>
    </row>
    <row r="205" spans="1:13" hidden="1">
      <c r="A205" s="5" t="s">
        <v>9</v>
      </c>
      <c r="B205" s="5">
        <f>C197</f>
        <v>1209555</v>
      </c>
      <c r="C205" s="5">
        <v>1222996</v>
      </c>
      <c r="D205" s="5">
        <f>C205-B205</f>
        <v>13441</v>
      </c>
      <c r="E205" s="6">
        <f>16962.73*1.15</f>
        <v>19507.139499999997</v>
      </c>
      <c r="F205" s="6">
        <f>1737.73*1.15</f>
        <v>1998.3894999999998</v>
      </c>
      <c r="G205" s="6"/>
      <c r="H205" s="6"/>
      <c r="I205" s="5" t="s">
        <v>47</v>
      </c>
      <c r="J205" s="5">
        <v>27</v>
      </c>
      <c r="K205" s="5" t="s">
        <v>20</v>
      </c>
      <c r="L205" s="5">
        <f>D205/J205</f>
        <v>497.81481481481484</v>
      </c>
      <c r="M205" s="5">
        <v>1.58</v>
      </c>
    </row>
    <row r="206" spans="1:13" hidden="1">
      <c r="A206" s="5" t="s">
        <v>10</v>
      </c>
      <c r="B206" s="5">
        <f>C198</f>
        <v>1206457</v>
      </c>
      <c r="C206" s="5">
        <v>1220517</v>
      </c>
      <c r="D206" s="5">
        <f>C206-B206</f>
        <v>14060</v>
      </c>
      <c r="E206" s="6">
        <f>18851.65*1.15</f>
        <v>21679.397499999999</v>
      </c>
      <c r="F206" s="6"/>
      <c r="G206" s="6">
        <f>139.09*1.15</f>
        <v>159.95349999999999</v>
      </c>
      <c r="H206" s="6">
        <f>561.27*1.15</f>
        <v>645.46049999999991</v>
      </c>
      <c r="I206" s="5" t="s">
        <v>48</v>
      </c>
      <c r="J206" s="5">
        <v>29</v>
      </c>
      <c r="K206" s="5" t="s">
        <v>20</v>
      </c>
      <c r="L206" s="5">
        <f>D206/J206</f>
        <v>484.82758620689657</v>
      </c>
      <c r="M206" s="6">
        <f>E208/D206</f>
        <v>1.5992042318634423</v>
      </c>
    </row>
    <row r="207" spans="1:13" hidden="1">
      <c r="A207" s="5" t="s">
        <v>11</v>
      </c>
      <c r="B207" s="5"/>
      <c r="C207" s="5"/>
      <c r="D207" s="5"/>
      <c r="E207" s="6">
        <f>E205+F205</f>
        <v>21505.528999999999</v>
      </c>
      <c r="F207" s="6"/>
      <c r="G207" s="6"/>
      <c r="H207" s="6"/>
      <c r="I207" s="5"/>
      <c r="J207" s="5"/>
      <c r="K207" s="5"/>
      <c r="L207" s="5"/>
      <c r="M207" s="5"/>
    </row>
    <row r="208" spans="1:13" hidden="1">
      <c r="A208" s="5" t="s">
        <v>12</v>
      </c>
      <c r="B208" s="5"/>
      <c r="C208" s="5"/>
      <c r="D208" s="5"/>
      <c r="E208" s="6">
        <f>E206+F206+G206+H206</f>
        <v>22484.8115</v>
      </c>
      <c r="F208" s="6"/>
      <c r="G208" s="6"/>
      <c r="H208" s="6"/>
      <c r="I208" s="5"/>
      <c r="J208" s="5"/>
      <c r="K208" s="5"/>
      <c r="L208" s="5"/>
      <c r="M208" s="5"/>
    </row>
    <row r="209" spans="1:13" hidden="1">
      <c r="A209" s="5" t="s">
        <v>13</v>
      </c>
      <c r="B209" s="5"/>
      <c r="C209" s="5"/>
      <c r="D209" s="5"/>
      <c r="E209" s="6">
        <f>E207-E208</f>
        <v>-979.28250000000116</v>
      </c>
      <c r="F209" s="6"/>
      <c r="G209" s="6"/>
      <c r="H209" s="6"/>
      <c r="I209" s="5"/>
      <c r="J209" s="5"/>
      <c r="K209" s="5"/>
      <c r="L209" s="5"/>
      <c r="M209" s="5"/>
    </row>
    <row r="210" spans="1:13" hidden="1"/>
    <row r="211" spans="1:13" hidden="1">
      <c r="A211" s="13">
        <v>43891</v>
      </c>
    </row>
    <row r="212" spans="1:13" hidden="1">
      <c r="A212" s="3" t="s">
        <v>1</v>
      </c>
      <c r="B212" s="3" t="s">
        <v>2</v>
      </c>
      <c r="C212" s="3" t="s">
        <v>3</v>
      </c>
      <c r="D212" s="3" t="s">
        <v>4</v>
      </c>
      <c r="E212" s="3" t="s">
        <v>5</v>
      </c>
      <c r="F212" s="3" t="s">
        <v>36</v>
      </c>
      <c r="G212" s="3" t="s">
        <v>7</v>
      </c>
      <c r="H212" s="3" t="s">
        <v>8</v>
      </c>
      <c r="I212" s="3" t="s">
        <v>14</v>
      </c>
      <c r="J212" s="3" t="s">
        <v>15</v>
      </c>
      <c r="K212" s="3" t="s">
        <v>16</v>
      </c>
      <c r="L212" s="3" t="s">
        <v>17</v>
      </c>
      <c r="M212" s="3" t="s">
        <v>18</v>
      </c>
    </row>
    <row r="213" spans="1:13" hidden="1">
      <c r="A213" s="5" t="s">
        <v>9</v>
      </c>
      <c r="B213" s="5">
        <f>C205</f>
        <v>1222996</v>
      </c>
      <c r="C213" s="5">
        <v>1236836</v>
      </c>
      <c r="D213" s="5">
        <f>C213-B213</f>
        <v>13840</v>
      </c>
      <c r="E213" s="6">
        <f>17387.08*1.15</f>
        <v>19995.142</v>
      </c>
      <c r="F213" s="5">
        <f>1868.52*1.15</f>
        <v>2148.7979999999998</v>
      </c>
      <c r="G213" s="6"/>
      <c r="H213" s="6"/>
      <c r="I213" s="5" t="s">
        <v>49</v>
      </c>
      <c r="J213" s="5">
        <v>31</v>
      </c>
      <c r="K213" s="5" t="s">
        <v>20</v>
      </c>
      <c r="L213" s="5">
        <f>D213/J213</f>
        <v>446.45161290322579</v>
      </c>
      <c r="M213" s="5">
        <v>1.58</v>
      </c>
    </row>
    <row r="214" spans="1:13" hidden="1">
      <c r="A214" s="5" t="s">
        <v>10</v>
      </c>
      <c r="B214" s="5">
        <f>C206</f>
        <v>1220517</v>
      </c>
      <c r="C214" s="5">
        <v>1233825</v>
      </c>
      <c r="D214" s="5">
        <f>C214-B214</f>
        <v>13308</v>
      </c>
      <c r="E214" s="6">
        <f>17843.37*1.15</f>
        <v>20519.875499999998</v>
      </c>
      <c r="F214" s="6"/>
      <c r="G214" s="6">
        <f>139.09*1.15</f>
        <v>159.95349999999999</v>
      </c>
      <c r="H214" s="6">
        <f>561.27*1.15</f>
        <v>645.46049999999991</v>
      </c>
      <c r="I214" s="5" t="s">
        <v>49</v>
      </c>
      <c r="J214" s="5">
        <v>31</v>
      </c>
      <c r="K214" s="5" t="s">
        <v>20</v>
      </c>
      <c r="L214" s="5">
        <f>D214/J214</f>
        <v>429.29032258064518</v>
      </c>
      <c r="M214" s="6">
        <f>E216/D214</f>
        <v>1.6024413510670272</v>
      </c>
    </row>
    <row r="215" spans="1:13" hidden="1">
      <c r="A215" s="5" t="s">
        <v>11</v>
      </c>
      <c r="B215" s="5"/>
      <c r="C215" s="5"/>
      <c r="D215" s="5"/>
      <c r="E215" s="6">
        <f>E213+F213</f>
        <v>22143.94</v>
      </c>
      <c r="F215" s="6"/>
      <c r="G215" s="6"/>
      <c r="H215" s="6"/>
      <c r="I215" s="5"/>
      <c r="J215" s="5"/>
      <c r="K215" s="5"/>
      <c r="L215" s="5"/>
      <c r="M215" s="5"/>
    </row>
    <row r="216" spans="1:13" hidden="1">
      <c r="A216" s="5" t="s">
        <v>12</v>
      </c>
      <c r="B216" s="5"/>
      <c r="C216" s="5"/>
      <c r="D216" s="5"/>
      <c r="E216" s="6">
        <f>E214+F214+G214+H214</f>
        <v>21325.289499999999</v>
      </c>
      <c r="F216" s="6"/>
      <c r="G216" s="6"/>
      <c r="H216" s="6"/>
      <c r="I216" s="5"/>
      <c r="J216" s="5"/>
      <c r="K216" s="5"/>
      <c r="L216" s="5"/>
      <c r="M216" s="5"/>
    </row>
    <row r="217" spans="1:13" hidden="1">
      <c r="A217" s="5" t="s">
        <v>13</v>
      </c>
      <c r="B217" s="5"/>
      <c r="C217" s="5"/>
      <c r="D217" s="5"/>
      <c r="E217" s="6">
        <f>E215-E216</f>
        <v>818.65049999999974</v>
      </c>
      <c r="F217" s="6"/>
      <c r="G217" s="6"/>
      <c r="H217" s="6"/>
      <c r="I217" s="5"/>
      <c r="J217" s="5"/>
      <c r="K217" s="5"/>
      <c r="L217" s="5"/>
      <c r="M217" s="5"/>
    </row>
    <row r="218" spans="1:13" hidden="1"/>
    <row r="219" spans="1:13" hidden="1">
      <c r="A219" s="13">
        <v>43922</v>
      </c>
    </row>
    <row r="220" spans="1:13" hidden="1">
      <c r="A220" s="3" t="s">
        <v>1</v>
      </c>
      <c r="B220" s="3" t="s">
        <v>2</v>
      </c>
      <c r="C220" s="3" t="s">
        <v>3</v>
      </c>
      <c r="D220" s="3" t="s">
        <v>4</v>
      </c>
      <c r="E220" s="3" t="s">
        <v>5</v>
      </c>
      <c r="F220" s="3" t="s">
        <v>36</v>
      </c>
      <c r="G220" s="3" t="s">
        <v>7</v>
      </c>
      <c r="H220" s="3" t="s">
        <v>8</v>
      </c>
      <c r="I220" s="3" t="s">
        <v>14</v>
      </c>
      <c r="J220" s="3" t="s">
        <v>15</v>
      </c>
      <c r="K220" s="3" t="s">
        <v>16</v>
      </c>
      <c r="L220" s="3" t="s">
        <v>17</v>
      </c>
      <c r="M220" s="3" t="s">
        <v>18</v>
      </c>
    </row>
    <row r="221" spans="1:13" hidden="1">
      <c r="A221" s="5" t="s">
        <v>9</v>
      </c>
      <c r="B221" s="5">
        <f>C213</f>
        <v>1236836</v>
      </c>
      <c r="C221" s="5">
        <v>1251010</v>
      </c>
      <c r="D221" s="5">
        <f>C221-B221</f>
        <v>14174</v>
      </c>
      <c r="E221" s="6">
        <f>17789.16*1.15</f>
        <v>20457.534</v>
      </c>
      <c r="F221" s="5">
        <f>1931.12*1.15</f>
        <v>2220.7879999999996</v>
      </c>
      <c r="G221" s="6"/>
      <c r="H221" s="6"/>
      <c r="I221" s="5" t="s">
        <v>50</v>
      </c>
      <c r="J221" s="5">
        <v>30</v>
      </c>
      <c r="K221" s="5" t="s">
        <v>20</v>
      </c>
      <c r="L221" s="5">
        <f>D221/J221</f>
        <v>472.46666666666664</v>
      </c>
      <c r="M221" s="5">
        <v>1.58</v>
      </c>
    </row>
    <row r="222" spans="1:13" hidden="1">
      <c r="A222" s="5" t="s">
        <v>10</v>
      </c>
      <c r="B222" s="5">
        <f>C214</f>
        <v>1233825</v>
      </c>
      <c r="C222" s="5">
        <v>1248446</v>
      </c>
      <c r="D222" s="5">
        <f>C222-B222</f>
        <v>14621</v>
      </c>
      <c r="E222" s="6">
        <f>19603.84*1.15</f>
        <v>22544.415999999997</v>
      </c>
      <c r="F222" s="6"/>
      <c r="G222" s="6">
        <f>139.09*1.15</f>
        <v>159.95349999999999</v>
      </c>
      <c r="H222" s="6">
        <f>561.27*1.15</f>
        <v>645.46049999999991</v>
      </c>
      <c r="I222" s="5" t="s">
        <v>51</v>
      </c>
      <c r="J222" s="5">
        <v>30</v>
      </c>
      <c r="K222" s="5" t="s">
        <v>20</v>
      </c>
      <c r="L222" s="5">
        <f>D222/J222</f>
        <v>487.36666666666667</v>
      </c>
      <c r="M222" s="6">
        <f>E224/D222</f>
        <v>1.5970063607140412</v>
      </c>
    </row>
    <row r="223" spans="1:13" hidden="1">
      <c r="A223" s="5" t="s">
        <v>11</v>
      </c>
      <c r="B223" s="5"/>
      <c r="C223" s="5"/>
      <c r="D223" s="5"/>
      <c r="E223" s="6">
        <f>E221+F221</f>
        <v>22678.322</v>
      </c>
      <c r="F223" s="6"/>
      <c r="G223" s="6"/>
      <c r="H223" s="6"/>
      <c r="I223" s="5"/>
      <c r="J223" s="5"/>
      <c r="K223" s="5"/>
      <c r="L223" s="5"/>
      <c r="M223" s="5"/>
    </row>
    <row r="224" spans="1:13" hidden="1">
      <c r="A224" s="5" t="s">
        <v>12</v>
      </c>
      <c r="B224" s="5"/>
      <c r="C224" s="5"/>
      <c r="D224" s="5"/>
      <c r="E224" s="6">
        <f>E222+F222+G222+H222</f>
        <v>23349.829999999998</v>
      </c>
      <c r="F224" s="6"/>
      <c r="G224" s="6"/>
      <c r="H224" s="6"/>
      <c r="I224" s="5"/>
      <c r="J224" s="5"/>
      <c r="K224" s="5"/>
      <c r="L224" s="5"/>
      <c r="M224" s="5"/>
    </row>
    <row r="225" spans="1:13" hidden="1">
      <c r="A225" s="5" t="s">
        <v>13</v>
      </c>
      <c r="B225" s="5"/>
      <c r="C225" s="5"/>
      <c r="D225" s="5"/>
      <c r="E225" s="6">
        <f>E223-E224</f>
        <v>-671.50799999999799</v>
      </c>
      <c r="F225" s="6"/>
      <c r="G225" s="6"/>
      <c r="H225" s="6"/>
      <c r="I225" s="5"/>
      <c r="J225" s="5"/>
      <c r="K225" s="5"/>
      <c r="L225" s="5"/>
      <c r="M225" s="5"/>
    </row>
    <row r="226" spans="1:13" hidden="1"/>
    <row r="227" spans="1:13" hidden="1">
      <c r="A227" s="13">
        <v>43952</v>
      </c>
    </row>
    <row r="228" spans="1:13" hidden="1">
      <c r="A228" s="3" t="s">
        <v>1</v>
      </c>
      <c r="B228" s="3" t="s">
        <v>2</v>
      </c>
      <c r="C228" s="3" t="s">
        <v>3</v>
      </c>
      <c r="D228" s="3" t="s">
        <v>4</v>
      </c>
      <c r="E228" s="3" t="s">
        <v>5</v>
      </c>
      <c r="F228" s="3" t="s">
        <v>36</v>
      </c>
      <c r="G228" s="3" t="s">
        <v>7</v>
      </c>
      <c r="H228" s="3" t="s">
        <v>8</v>
      </c>
      <c r="I228" s="3" t="s">
        <v>14</v>
      </c>
      <c r="J228" s="3" t="s">
        <v>15</v>
      </c>
      <c r="K228" s="3" t="s">
        <v>16</v>
      </c>
      <c r="L228" s="3" t="s">
        <v>17</v>
      </c>
      <c r="M228" s="3" t="s">
        <v>18</v>
      </c>
    </row>
    <row r="229" spans="1:13" hidden="1">
      <c r="A229" s="5" t="s">
        <v>9</v>
      </c>
      <c r="B229" s="5">
        <f>C221</f>
        <v>1251010</v>
      </c>
      <c r="C229" s="5">
        <v>1266561</v>
      </c>
      <c r="D229" s="5">
        <f>C229-B229</f>
        <v>15551</v>
      </c>
      <c r="E229" s="6">
        <f>19358.55*1.15</f>
        <v>22262.332499999997</v>
      </c>
      <c r="F229" s="5">
        <f>2277.56*1.15</f>
        <v>2619.194</v>
      </c>
      <c r="G229" s="6"/>
      <c r="H229" s="6"/>
      <c r="I229" s="5" t="s">
        <v>52</v>
      </c>
      <c r="J229" s="5">
        <v>31</v>
      </c>
      <c r="K229" s="5" t="s">
        <v>20</v>
      </c>
      <c r="L229" s="5">
        <f>D229/J229</f>
        <v>501.64516129032256</v>
      </c>
      <c r="M229" s="5">
        <v>1.58</v>
      </c>
    </row>
    <row r="230" spans="1:13" hidden="1">
      <c r="A230" s="5" t="s">
        <v>10</v>
      </c>
      <c r="B230" s="5">
        <f>C222</f>
        <v>1248446</v>
      </c>
      <c r="C230" s="5">
        <v>1262908</v>
      </c>
      <c r="D230" s="5">
        <f>C230-B230</f>
        <v>14462</v>
      </c>
      <c r="E230" s="6">
        <f>19390.65*1.15</f>
        <v>22299.247500000001</v>
      </c>
      <c r="F230" s="6"/>
      <c r="G230" s="6">
        <f>139.09*1.15</f>
        <v>159.95349999999999</v>
      </c>
      <c r="H230" s="6">
        <f>561.27*1.15</f>
        <v>645.46049999999991</v>
      </c>
      <c r="I230" s="5" t="s">
        <v>53</v>
      </c>
      <c r="J230" s="5">
        <v>31</v>
      </c>
      <c r="K230" s="5" t="s">
        <v>20</v>
      </c>
      <c r="L230" s="5">
        <f>D230/J230</f>
        <v>466.51612903225805</v>
      </c>
      <c r="M230" s="6">
        <f>E232/D230</f>
        <v>1.5976117756880102</v>
      </c>
    </row>
    <row r="231" spans="1:13" hidden="1">
      <c r="A231" s="5" t="s">
        <v>11</v>
      </c>
      <c r="B231" s="5"/>
      <c r="C231" s="5"/>
      <c r="D231" s="5"/>
      <c r="E231" s="6">
        <f>E229+F229</f>
        <v>24881.526499999996</v>
      </c>
      <c r="F231" s="6"/>
      <c r="G231" s="6"/>
      <c r="H231" s="6"/>
      <c r="I231" s="5"/>
      <c r="J231" s="5"/>
      <c r="K231" s="5"/>
      <c r="L231" s="5"/>
      <c r="M231" s="5"/>
    </row>
    <row r="232" spans="1:13" hidden="1">
      <c r="A232" s="5" t="s">
        <v>12</v>
      </c>
      <c r="B232" s="5"/>
      <c r="C232" s="5"/>
      <c r="D232" s="5"/>
      <c r="E232" s="6">
        <f>E230+F230+G230+H230</f>
        <v>23104.661500000002</v>
      </c>
      <c r="F232" s="6"/>
      <c r="G232" s="6"/>
      <c r="H232" s="6"/>
      <c r="I232" s="5"/>
      <c r="J232" s="5"/>
      <c r="K232" s="5"/>
      <c r="L232" s="5"/>
      <c r="M232" s="5"/>
    </row>
    <row r="233" spans="1:13" hidden="1">
      <c r="A233" s="5" t="s">
        <v>13</v>
      </c>
      <c r="B233" s="5"/>
      <c r="C233" s="5"/>
      <c r="D233" s="5"/>
      <c r="E233" s="6">
        <f>E231-E232</f>
        <v>1776.8649999999943</v>
      </c>
      <c r="F233" s="6"/>
      <c r="G233" s="6"/>
      <c r="H233" s="6"/>
      <c r="I233" s="5"/>
      <c r="J233" s="5"/>
      <c r="K233" s="5"/>
      <c r="L233" s="5"/>
      <c r="M233" s="5"/>
    </row>
    <row r="234" spans="1:13" hidden="1"/>
    <row r="235" spans="1:13" hidden="1">
      <c r="A235" s="13">
        <v>43983</v>
      </c>
    </row>
    <row r="236" spans="1:13" hidden="1">
      <c r="A236" s="3" t="s">
        <v>1</v>
      </c>
      <c r="B236" s="3" t="s">
        <v>2</v>
      </c>
      <c r="C236" s="3" t="s">
        <v>3</v>
      </c>
      <c r="D236" s="3" t="s">
        <v>4</v>
      </c>
      <c r="E236" s="3" t="s">
        <v>5</v>
      </c>
      <c r="F236" s="3" t="s">
        <v>36</v>
      </c>
      <c r="G236" s="3" t="s">
        <v>7</v>
      </c>
      <c r="H236" s="3" t="s">
        <v>8</v>
      </c>
      <c r="I236" s="3" t="s">
        <v>14</v>
      </c>
      <c r="J236" s="3" t="s">
        <v>15</v>
      </c>
      <c r="K236" s="3" t="s">
        <v>16</v>
      </c>
      <c r="L236" s="3" t="s">
        <v>17</v>
      </c>
      <c r="M236" s="3" t="s">
        <v>18</v>
      </c>
    </row>
    <row r="237" spans="1:13" hidden="1">
      <c r="A237" s="5" t="s">
        <v>9</v>
      </c>
      <c r="B237" s="5">
        <f>C229</f>
        <v>1266561</v>
      </c>
      <c r="C237" s="5">
        <v>1283832</v>
      </c>
      <c r="D237" s="5">
        <f>C237-B237</f>
        <v>17271</v>
      </c>
      <c r="E237" s="6">
        <f>21534.5414*1.15</f>
        <v>24764.722609999997</v>
      </c>
      <c r="F237" s="15">
        <f>2494.6009*1.15</f>
        <v>2868.7910349999997</v>
      </c>
      <c r="G237" s="6"/>
      <c r="H237" s="6"/>
      <c r="I237" s="5" t="s">
        <v>54</v>
      </c>
      <c r="J237" s="5">
        <v>30</v>
      </c>
      <c r="K237" s="5" t="s">
        <v>20</v>
      </c>
      <c r="L237" s="5">
        <f>D237/J237</f>
        <v>575.70000000000005</v>
      </c>
      <c r="M237" s="5">
        <v>1.58</v>
      </c>
    </row>
    <row r="238" spans="1:13" hidden="1">
      <c r="A238" s="5" t="s">
        <v>10</v>
      </c>
      <c r="B238" s="5">
        <f>C230</f>
        <v>1262908</v>
      </c>
      <c r="C238" s="5">
        <v>1280849</v>
      </c>
      <c r="D238" s="5">
        <f>C238-B238</f>
        <v>17941</v>
      </c>
      <c r="E238" s="6">
        <f>24289.87*1.15</f>
        <v>27933.350499999997</v>
      </c>
      <c r="F238" s="15">
        <f>71.1*1.15</f>
        <v>81.764999999999986</v>
      </c>
      <c r="G238" s="6">
        <f>147.74*1.15</f>
        <v>169.90100000000001</v>
      </c>
      <c r="H238" s="6">
        <f>596.18*1.15</f>
        <v>685.60699999999986</v>
      </c>
      <c r="I238" s="5" t="s">
        <v>55</v>
      </c>
      <c r="J238" s="5">
        <v>30</v>
      </c>
      <c r="K238" s="5" t="s">
        <v>20</v>
      </c>
      <c r="L238" s="5">
        <f>D238/J238</f>
        <v>598.0333333333333</v>
      </c>
      <c r="M238" s="6">
        <f>E240/D238</f>
        <v>1.6091981216208684</v>
      </c>
    </row>
    <row r="239" spans="1:13" hidden="1">
      <c r="A239" s="5" t="s">
        <v>11</v>
      </c>
      <c r="B239" s="5"/>
      <c r="C239" s="5"/>
      <c r="D239" s="5"/>
      <c r="E239" s="6">
        <f>E237+F237</f>
        <v>27633.513644999995</v>
      </c>
      <c r="F239" s="6"/>
      <c r="G239" s="6"/>
      <c r="H239" s="6"/>
      <c r="I239" s="5"/>
      <c r="J239" s="5"/>
      <c r="K239" s="5"/>
      <c r="L239" s="5"/>
      <c r="M239" s="5"/>
    </row>
    <row r="240" spans="1:13" hidden="1">
      <c r="A240" s="5" t="s">
        <v>12</v>
      </c>
      <c r="B240" s="5"/>
      <c r="C240" s="5"/>
      <c r="D240" s="5"/>
      <c r="E240" s="6">
        <f>E238+F238+G238+H238</f>
        <v>28870.623499999998</v>
      </c>
      <c r="F240" s="6"/>
      <c r="G240" s="6"/>
      <c r="H240" s="6"/>
      <c r="I240" s="5"/>
      <c r="J240" s="5"/>
      <c r="K240" s="5"/>
      <c r="L240" s="5"/>
      <c r="M240" s="5"/>
    </row>
    <row r="241" spans="1:13" hidden="1">
      <c r="A241" s="5" t="s">
        <v>13</v>
      </c>
      <c r="B241" s="5"/>
      <c r="C241" s="5"/>
      <c r="D241" s="5"/>
      <c r="E241" s="6">
        <f>E239-E240</f>
        <v>-1237.1098550000024</v>
      </c>
      <c r="F241" s="6"/>
      <c r="G241" s="6"/>
      <c r="H241" s="6"/>
      <c r="I241" s="5"/>
      <c r="J241" s="5"/>
      <c r="K241" s="5"/>
      <c r="L241" s="5"/>
      <c r="M241" s="5"/>
    </row>
    <row r="242" spans="1:13" hidden="1"/>
    <row r="243" spans="1:13" hidden="1">
      <c r="A243" s="13">
        <v>44013</v>
      </c>
    </row>
    <row r="244" spans="1:13" hidden="1">
      <c r="A244" s="3" t="s">
        <v>1</v>
      </c>
      <c r="B244" s="3" t="s">
        <v>2</v>
      </c>
      <c r="C244" s="3" t="s">
        <v>3</v>
      </c>
      <c r="D244" s="3" t="s">
        <v>4</v>
      </c>
      <c r="E244" s="3" t="s">
        <v>5</v>
      </c>
      <c r="F244" s="3" t="s">
        <v>36</v>
      </c>
      <c r="G244" s="3" t="s">
        <v>7</v>
      </c>
      <c r="H244" s="3" t="s">
        <v>8</v>
      </c>
      <c r="I244" s="3" t="s">
        <v>14</v>
      </c>
      <c r="J244" s="3" t="s">
        <v>15</v>
      </c>
      <c r="K244" s="3" t="s">
        <v>16</v>
      </c>
      <c r="L244" s="3" t="s">
        <v>17</v>
      </c>
      <c r="M244" s="3" t="s">
        <v>18</v>
      </c>
    </row>
    <row r="245" spans="1:13" hidden="1">
      <c r="A245" s="5" t="s">
        <v>9</v>
      </c>
      <c r="B245" s="5">
        <f>C237</f>
        <v>1283832</v>
      </c>
      <c r="C245" s="5">
        <v>1300957</v>
      </c>
      <c r="D245" s="5">
        <f>C245-B245</f>
        <v>17125</v>
      </c>
      <c r="E245" s="6">
        <f>22461.80712*1.15</f>
        <v>25831.078187999999</v>
      </c>
      <c r="F245" s="15">
        <f>(2692.42038*1.15)+(415.86*3)</f>
        <v>4343.863437</v>
      </c>
      <c r="G245" s="6"/>
      <c r="H245" s="6"/>
      <c r="I245" s="5" t="s">
        <v>56</v>
      </c>
      <c r="J245" s="5">
        <v>31</v>
      </c>
      <c r="K245" s="5" t="s">
        <v>20</v>
      </c>
      <c r="L245" s="5">
        <f>D245/J245</f>
        <v>552.41935483870964</v>
      </c>
      <c r="M245" s="6">
        <f>E245/D245</f>
        <v>1.5083841277664234</v>
      </c>
    </row>
    <row r="246" spans="1:13" hidden="1">
      <c r="A246" s="5" t="s">
        <v>10</v>
      </c>
      <c r="B246" s="5">
        <f>C238</f>
        <v>1280849</v>
      </c>
      <c r="C246" s="5">
        <v>1297506</v>
      </c>
      <c r="D246" s="5">
        <f>C246-B246</f>
        <v>16657</v>
      </c>
      <c r="E246" s="6">
        <f>23722.9*1.15</f>
        <v>27281.334999999999</v>
      </c>
      <c r="F246" s="15"/>
      <c r="G246" s="6">
        <f>147.74*1.15</f>
        <v>169.90100000000001</v>
      </c>
      <c r="H246" s="6">
        <f>596.18*1.15</f>
        <v>685.60699999999986</v>
      </c>
      <c r="I246" s="5" t="s">
        <v>57</v>
      </c>
      <c r="J246" s="5">
        <v>31</v>
      </c>
      <c r="K246" s="5" t="s">
        <v>20</v>
      </c>
      <c r="L246" s="5">
        <f>D246/J246</f>
        <v>537.32258064516134</v>
      </c>
      <c r="M246" s="6">
        <f>E248/D246</f>
        <v>1.6891903103800205</v>
      </c>
    </row>
    <row r="247" spans="1:13" hidden="1">
      <c r="A247" s="5" t="s">
        <v>11</v>
      </c>
      <c r="B247" s="5"/>
      <c r="C247" s="5"/>
      <c r="D247" s="5"/>
      <c r="E247" s="6">
        <f>E245+F245</f>
        <v>30174.941624999999</v>
      </c>
      <c r="F247" s="6"/>
      <c r="G247" s="6"/>
      <c r="H247" s="6"/>
      <c r="I247" s="5"/>
      <c r="J247" s="5"/>
      <c r="K247" s="5"/>
      <c r="L247" s="5"/>
      <c r="M247" s="5"/>
    </row>
    <row r="248" spans="1:13" hidden="1">
      <c r="A248" s="5" t="s">
        <v>12</v>
      </c>
      <c r="B248" s="5"/>
      <c r="C248" s="5"/>
      <c r="D248" s="5"/>
      <c r="E248" s="6">
        <f>E246+F246+G246+H246</f>
        <v>28136.843000000001</v>
      </c>
      <c r="F248" s="6"/>
      <c r="G248" s="6"/>
      <c r="H248" s="6"/>
      <c r="I248" s="5"/>
      <c r="J248" s="5"/>
      <c r="K248" s="5"/>
      <c r="L248" s="5"/>
      <c r="M248" s="5"/>
    </row>
    <row r="249" spans="1:13" hidden="1">
      <c r="A249" s="5" t="s">
        <v>13</v>
      </c>
      <c r="B249" s="5"/>
      <c r="C249" s="5"/>
      <c r="D249" s="5"/>
      <c r="E249" s="6">
        <f>E247-E248</f>
        <v>2038.0986249999987</v>
      </c>
      <c r="F249" s="6"/>
      <c r="G249" s="6"/>
      <c r="H249" s="6"/>
      <c r="I249" s="5"/>
      <c r="J249" s="5"/>
      <c r="K249" s="5"/>
      <c r="L249" s="5"/>
      <c r="M249" s="5"/>
    </row>
    <row r="250" spans="1:13" hidden="1"/>
    <row r="251" spans="1:13" hidden="1">
      <c r="A251" s="13">
        <v>44044</v>
      </c>
    </row>
    <row r="252" spans="1:13" hidden="1">
      <c r="A252" s="3" t="s">
        <v>1</v>
      </c>
      <c r="B252" s="3" t="s">
        <v>2</v>
      </c>
      <c r="C252" s="3" t="s">
        <v>3</v>
      </c>
      <c r="D252" s="3" t="s">
        <v>4</v>
      </c>
      <c r="E252" s="3" t="s">
        <v>5</v>
      </c>
      <c r="F252" s="3" t="s">
        <v>36</v>
      </c>
      <c r="G252" s="3" t="s">
        <v>7</v>
      </c>
      <c r="H252" s="3" t="s">
        <v>8</v>
      </c>
      <c r="I252" s="3" t="s">
        <v>14</v>
      </c>
      <c r="J252" s="3" t="s">
        <v>15</v>
      </c>
      <c r="K252" s="3" t="s">
        <v>16</v>
      </c>
      <c r="L252" s="3" t="s">
        <v>17</v>
      </c>
      <c r="M252" s="3" t="s">
        <v>18</v>
      </c>
    </row>
    <row r="253" spans="1:13" hidden="1">
      <c r="A253" s="5" t="s">
        <v>9</v>
      </c>
      <c r="B253" s="5">
        <f>C245</f>
        <v>1300957</v>
      </c>
      <c r="C253" s="5">
        <v>1316629</v>
      </c>
      <c r="D253" s="5">
        <f>C253-B253</f>
        <v>15672</v>
      </c>
      <c r="E253" s="6">
        <f>(20428.9+1006.2)*1.15</f>
        <v>24650.365000000002</v>
      </c>
      <c r="F253" s="15">
        <f>2591.07*1.15</f>
        <v>2979.7305000000001</v>
      </c>
      <c r="G253" s="6"/>
      <c r="H253" s="6"/>
      <c r="I253" s="5" t="s">
        <v>58</v>
      </c>
      <c r="J253" s="5">
        <v>31</v>
      </c>
      <c r="K253" s="5" t="s">
        <v>20</v>
      </c>
      <c r="L253" s="5">
        <f>D253/J253</f>
        <v>505.54838709677421</v>
      </c>
      <c r="M253" s="6">
        <f>E253/D253</f>
        <v>1.5728921005615111</v>
      </c>
    </row>
    <row r="254" spans="1:13" hidden="1">
      <c r="A254" s="5" t="s">
        <v>10</v>
      </c>
      <c r="B254" s="5">
        <f>C246</f>
        <v>1297506</v>
      </c>
      <c r="C254" s="5">
        <v>1313357</v>
      </c>
      <c r="D254" s="5">
        <f>C254-B254</f>
        <v>15851</v>
      </c>
      <c r="E254" s="6">
        <f>22574.99*1.15</f>
        <v>25961.238499999999</v>
      </c>
      <c r="F254" s="15"/>
      <c r="G254" s="6">
        <f>147.74*1.15</f>
        <v>169.90100000000001</v>
      </c>
      <c r="H254" s="6">
        <f>596.18*1.15</f>
        <v>685.60699999999986</v>
      </c>
      <c r="I254" s="5" t="s">
        <v>59</v>
      </c>
      <c r="J254" s="5">
        <v>31</v>
      </c>
      <c r="K254" s="5" t="s">
        <v>20</v>
      </c>
      <c r="L254" s="5">
        <f>D254/J254</f>
        <v>511.32258064516128</v>
      </c>
      <c r="M254" s="6">
        <f>E256/D254</f>
        <v>1.6918015582613084</v>
      </c>
    </row>
    <row r="255" spans="1:13" hidden="1">
      <c r="A255" s="5" t="s">
        <v>11</v>
      </c>
      <c r="B255" s="5"/>
      <c r="C255" s="5"/>
      <c r="D255" s="5"/>
      <c r="E255" s="6">
        <f>E253+F253</f>
        <v>27630.095500000003</v>
      </c>
      <c r="F255" s="6"/>
      <c r="G255" s="6"/>
      <c r="H255" s="6"/>
      <c r="I255" s="5"/>
      <c r="J255" s="5"/>
      <c r="K255" s="5"/>
      <c r="L255" s="5"/>
      <c r="M255" s="5"/>
    </row>
    <row r="256" spans="1:13" hidden="1">
      <c r="A256" s="5" t="s">
        <v>12</v>
      </c>
      <c r="B256" s="5"/>
      <c r="C256" s="5"/>
      <c r="D256" s="5"/>
      <c r="E256" s="6">
        <f>E254+F254+G254+H254</f>
        <v>26816.746500000001</v>
      </c>
      <c r="F256" s="6"/>
      <c r="G256" s="6"/>
      <c r="H256" s="6"/>
      <c r="I256" s="5"/>
      <c r="J256" s="5"/>
      <c r="K256" s="5"/>
      <c r="L256" s="5"/>
      <c r="M256" s="5"/>
    </row>
    <row r="257" spans="1:13" hidden="1">
      <c r="A257" s="5" t="s">
        <v>13</v>
      </c>
      <c r="B257" s="5"/>
      <c r="C257" s="5"/>
      <c r="D257" s="5"/>
      <c r="E257" s="6">
        <f>E255-E256</f>
        <v>813.34900000000198</v>
      </c>
      <c r="F257" s="6"/>
      <c r="G257" s="6"/>
      <c r="H257" s="6"/>
      <c r="I257" s="5"/>
      <c r="J257" s="5"/>
      <c r="K257" s="5"/>
      <c r="L257" s="5"/>
      <c r="M257" s="5"/>
    </row>
    <row r="258" spans="1:13" hidden="1"/>
    <row r="259" spans="1:13" hidden="1">
      <c r="A259" s="13">
        <v>44075</v>
      </c>
    </row>
    <row r="260" spans="1:13" hidden="1">
      <c r="A260" s="3" t="s">
        <v>1</v>
      </c>
      <c r="B260" s="3" t="s">
        <v>2</v>
      </c>
      <c r="C260" s="3" t="s">
        <v>3</v>
      </c>
      <c r="D260" s="3" t="s">
        <v>4</v>
      </c>
      <c r="E260" s="3" t="s">
        <v>5</v>
      </c>
      <c r="F260" s="3" t="s">
        <v>36</v>
      </c>
      <c r="G260" s="3" t="s">
        <v>7</v>
      </c>
      <c r="H260" s="3" t="s">
        <v>8</v>
      </c>
      <c r="I260" s="3" t="s">
        <v>14</v>
      </c>
      <c r="J260" s="3" t="s">
        <v>15</v>
      </c>
      <c r="K260" s="3" t="s">
        <v>16</v>
      </c>
      <c r="L260" s="3" t="s">
        <v>17</v>
      </c>
      <c r="M260" s="3" t="s">
        <v>18</v>
      </c>
    </row>
    <row r="261" spans="1:13" hidden="1">
      <c r="A261" s="5" t="s">
        <v>9</v>
      </c>
      <c r="B261" s="5">
        <f>C253</f>
        <v>1316629</v>
      </c>
      <c r="C261" s="5">
        <v>1328301</v>
      </c>
      <c r="D261" s="5">
        <f>C261-B261</f>
        <v>11672</v>
      </c>
      <c r="E261" s="6">
        <f>15298.18*1.15</f>
        <v>17592.906999999999</v>
      </c>
      <c r="F261" s="15">
        <f>1846.36*1.15</f>
        <v>2123.3139999999999</v>
      </c>
      <c r="G261" s="6"/>
      <c r="H261" s="6"/>
      <c r="I261" s="5" t="s">
        <v>60</v>
      </c>
      <c r="J261" s="5">
        <v>30</v>
      </c>
      <c r="K261" s="5" t="s">
        <v>20</v>
      </c>
      <c r="L261" s="5">
        <f>D261/J261</f>
        <v>389.06666666666666</v>
      </c>
      <c r="M261" s="6">
        <f>E261/D261</f>
        <v>1.5072744174091843</v>
      </c>
    </row>
    <row r="262" spans="1:13" hidden="1">
      <c r="A262" s="5" t="s">
        <v>10</v>
      </c>
      <c r="B262" s="5">
        <f>C254</f>
        <v>1313357</v>
      </c>
      <c r="C262" s="5">
        <v>1326274</v>
      </c>
      <c r="D262" s="5">
        <f>C262-B262</f>
        <v>12917</v>
      </c>
      <c r="E262" s="6">
        <f>18396.39*1.15</f>
        <v>21155.848499999996</v>
      </c>
      <c r="F262" s="15"/>
      <c r="G262" s="6">
        <f>147.74*1.15</f>
        <v>169.90100000000001</v>
      </c>
      <c r="H262" s="6">
        <f>596.18*1.15</f>
        <v>685.60699999999986</v>
      </c>
      <c r="I262" s="5" t="s">
        <v>61</v>
      </c>
      <c r="J262" s="5">
        <v>30</v>
      </c>
      <c r="K262" s="5" t="s">
        <v>20</v>
      </c>
      <c r="L262" s="5">
        <f>D262/J262</f>
        <v>430.56666666666666</v>
      </c>
      <c r="M262" s="6">
        <f>E264/D262</f>
        <v>1.7040610435859718</v>
      </c>
    </row>
    <row r="263" spans="1:13" hidden="1">
      <c r="A263" s="5" t="s">
        <v>11</v>
      </c>
      <c r="B263" s="5"/>
      <c r="C263" s="5"/>
      <c r="D263" s="5"/>
      <c r="E263" s="6">
        <f>E261+F261</f>
        <v>19716.220999999998</v>
      </c>
      <c r="F263" s="6"/>
      <c r="G263" s="6"/>
      <c r="H263" s="6"/>
      <c r="I263" s="5"/>
      <c r="J263" s="5"/>
      <c r="K263" s="5"/>
      <c r="L263" s="5"/>
      <c r="M263" s="5"/>
    </row>
    <row r="264" spans="1:13" hidden="1">
      <c r="A264" s="5" t="s">
        <v>12</v>
      </c>
      <c r="B264" s="5"/>
      <c r="C264" s="5"/>
      <c r="D264" s="5"/>
      <c r="E264" s="6">
        <f>E262+F262+G262+H262</f>
        <v>22011.356499999998</v>
      </c>
      <c r="F264" s="6"/>
      <c r="G264" s="6"/>
      <c r="H264" s="6"/>
      <c r="I264" s="5"/>
      <c r="J264" s="5"/>
      <c r="K264" s="5"/>
      <c r="L264" s="5"/>
      <c r="M264" s="5"/>
    </row>
    <row r="265" spans="1:13" hidden="1">
      <c r="A265" s="5" t="s">
        <v>13</v>
      </c>
      <c r="B265" s="5"/>
      <c r="C265" s="5"/>
      <c r="D265" s="5"/>
      <c r="E265" s="6">
        <f>E263-E264</f>
        <v>-2295.1355000000003</v>
      </c>
      <c r="F265" s="6"/>
      <c r="G265" s="6"/>
      <c r="H265" s="6"/>
      <c r="I265" s="5"/>
      <c r="J265" s="5"/>
      <c r="K265" s="5"/>
      <c r="L265" s="5"/>
      <c r="M265" s="5"/>
    </row>
    <row r="266" spans="1:13" hidden="1"/>
    <row r="267" spans="1:13" hidden="1">
      <c r="A267" s="13">
        <v>44105</v>
      </c>
    </row>
    <row r="268" spans="1:13" hidden="1">
      <c r="A268" s="3" t="s">
        <v>1</v>
      </c>
      <c r="B268" s="3" t="s">
        <v>2</v>
      </c>
      <c r="C268" s="3" t="s">
        <v>3</v>
      </c>
      <c r="D268" s="3" t="s">
        <v>4</v>
      </c>
      <c r="E268" s="3" t="s">
        <v>5</v>
      </c>
      <c r="F268" s="3" t="s">
        <v>36</v>
      </c>
      <c r="G268" s="3" t="s">
        <v>7</v>
      </c>
      <c r="H268" s="3" t="s">
        <v>8</v>
      </c>
      <c r="I268" s="3" t="s">
        <v>14</v>
      </c>
      <c r="J268" s="3" t="s">
        <v>15</v>
      </c>
      <c r="K268" s="3" t="s">
        <v>16</v>
      </c>
      <c r="L268" s="3" t="s">
        <v>17</v>
      </c>
      <c r="M268" s="3" t="s">
        <v>18</v>
      </c>
    </row>
    <row r="269" spans="1:13" hidden="1">
      <c r="A269" s="5" t="s">
        <v>9</v>
      </c>
      <c r="B269" s="5">
        <f>C261</f>
        <v>1328301</v>
      </c>
      <c r="C269" s="5">
        <v>1339042</v>
      </c>
      <c r="D269" s="5">
        <f>C269-B269</f>
        <v>10741</v>
      </c>
      <c r="E269" s="6">
        <f>(14349.29*1.15)+(239.49*3)</f>
        <v>17220.1535</v>
      </c>
      <c r="F269" s="15">
        <f>1427.73*1.15</f>
        <v>1641.8895</v>
      </c>
      <c r="G269" s="6"/>
      <c r="H269" s="6"/>
      <c r="I269" s="5" t="s">
        <v>62</v>
      </c>
      <c r="J269" s="5">
        <v>30</v>
      </c>
      <c r="K269" s="5" t="s">
        <v>20</v>
      </c>
      <c r="L269" s="5">
        <f>D269/J269</f>
        <v>358.03333333333336</v>
      </c>
      <c r="M269" s="6">
        <f>E269/D269</f>
        <v>1.6032169723489433</v>
      </c>
    </row>
    <row r="270" spans="1:13" hidden="1">
      <c r="A270" s="5" t="s">
        <v>10</v>
      </c>
      <c r="B270" s="5">
        <f>C262</f>
        <v>1326274</v>
      </c>
      <c r="C270" s="5">
        <v>1336875</v>
      </c>
      <c r="D270" s="5">
        <f>C270-B270</f>
        <v>10601</v>
      </c>
      <c r="E270" s="6">
        <f>15097.94*1.15</f>
        <v>17362.630999999998</v>
      </c>
      <c r="F270" s="15"/>
      <c r="G270" s="6">
        <f>147.74*1.15</f>
        <v>169.90100000000001</v>
      </c>
      <c r="H270" s="6">
        <f>596.18*1.15</f>
        <v>685.60699999999986</v>
      </c>
      <c r="I270" s="5" t="s">
        <v>63</v>
      </c>
      <c r="J270" s="5">
        <v>31</v>
      </c>
      <c r="K270" s="5" t="s">
        <v>20</v>
      </c>
      <c r="L270" s="5">
        <f>D270/J270</f>
        <v>341.96774193548384</v>
      </c>
      <c r="M270" s="6">
        <f>E272/D270</f>
        <v>1.718530232996887</v>
      </c>
    </row>
    <row r="271" spans="1:13" hidden="1">
      <c r="A271" s="5" t="s">
        <v>11</v>
      </c>
      <c r="B271" s="5"/>
      <c r="C271" s="5"/>
      <c r="D271" s="5"/>
      <c r="E271" s="6">
        <f>E269+F269</f>
        <v>18862.043000000001</v>
      </c>
      <c r="F271" s="6"/>
      <c r="G271" s="6"/>
      <c r="H271" s="6"/>
      <c r="I271" s="5"/>
      <c r="J271" s="5"/>
      <c r="K271" s="5"/>
      <c r="L271" s="5"/>
      <c r="M271" s="5"/>
    </row>
    <row r="272" spans="1:13" hidden="1">
      <c r="A272" s="5" t="s">
        <v>12</v>
      </c>
      <c r="B272" s="5"/>
      <c r="C272" s="5"/>
      <c r="D272" s="5"/>
      <c r="E272" s="6">
        <f>E270+F270+G270+H270</f>
        <v>18218.138999999999</v>
      </c>
      <c r="F272" s="6"/>
      <c r="G272" s="6"/>
      <c r="H272" s="6"/>
      <c r="I272" s="5"/>
      <c r="J272" s="5"/>
      <c r="K272" s="5"/>
      <c r="L272" s="5"/>
      <c r="M272" s="5"/>
    </row>
    <row r="273" spans="1:13" hidden="1">
      <c r="A273" s="5" t="s">
        <v>13</v>
      </c>
      <c r="B273" s="5"/>
      <c r="C273" s="5"/>
      <c r="D273" s="5"/>
      <c r="E273" s="6">
        <f>E271-E272</f>
        <v>643.90400000000227</v>
      </c>
      <c r="F273" s="6"/>
      <c r="G273" s="6"/>
      <c r="H273" s="6"/>
      <c r="I273" s="5"/>
      <c r="J273" s="5"/>
      <c r="K273" s="5"/>
      <c r="L273" s="5"/>
      <c r="M273" s="5"/>
    </row>
    <row r="274" spans="1:13" hidden="1"/>
    <row r="275" spans="1:13" hidden="1">
      <c r="A275" s="13">
        <v>44136</v>
      </c>
    </row>
    <row r="276" spans="1:13" hidden="1">
      <c r="A276" s="3" t="s">
        <v>1</v>
      </c>
      <c r="B276" s="3" t="s">
        <v>2</v>
      </c>
      <c r="C276" s="3" t="s">
        <v>3</v>
      </c>
      <c r="D276" s="3" t="s">
        <v>4</v>
      </c>
      <c r="E276" s="3" t="s">
        <v>5</v>
      </c>
      <c r="F276" s="3" t="s">
        <v>36</v>
      </c>
      <c r="G276" s="3" t="s">
        <v>7</v>
      </c>
      <c r="H276" s="3" t="s">
        <v>8</v>
      </c>
      <c r="I276" s="3" t="s">
        <v>14</v>
      </c>
      <c r="J276" s="3" t="s">
        <v>15</v>
      </c>
      <c r="K276" s="3" t="s">
        <v>16</v>
      </c>
      <c r="L276" s="3" t="s">
        <v>17</v>
      </c>
      <c r="M276" s="3" t="s">
        <v>18</v>
      </c>
    </row>
    <row r="277" spans="1:13" hidden="1">
      <c r="A277" s="5" t="s">
        <v>9</v>
      </c>
      <c r="B277" s="5">
        <f>C269</f>
        <v>1339042</v>
      </c>
      <c r="C277" s="5">
        <v>1349528</v>
      </c>
      <c r="D277" s="5">
        <f>C277-B277</f>
        <v>10486</v>
      </c>
      <c r="E277" s="6">
        <f>13269.68*1.15</f>
        <v>15260.132</v>
      </c>
      <c r="F277" s="15">
        <f>2132.78*1.15</f>
        <v>2452.6970000000001</v>
      </c>
      <c r="G277" s="6"/>
      <c r="H277" s="6"/>
      <c r="I277" s="5" t="s">
        <v>64</v>
      </c>
      <c r="J277" s="5">
        <v>31</v>
      </c>
      <c r="K277" s="5" t="s">
        <v>20</v>
      </c>
      <c r="L277" s="5">
        <f>D277/J277</f>
        <v>338.25806451612902</v>
      </c>
      <c r="M277" s="6">
        <f>E277/D277</f>
        <v>1.4552862864772076</v>
      </c>
    </row>
    <row r="278" spans="1:13" hidden="1">
      <c r="A278" s="5" t="s">
        <v>10</v>
      </c>
      <c r="B278" s="5">
        <f>C270</f>
        <v>1336875</v>
      </c>
      <c r="C278" s="5">
        <v>1347299</v>
      </c>
      <c r="D278" s="5">
        <f>C278-B278</f>
        <v>10424</v>
      </c>
      <c r="E278" s="6">
        <f>14845.86*1.15</f>
        <v>17072.738999999998</v>
      </c>
      <c r="F278" s="15"/>
      <c r="G278" s="6">
        <f>147.74*1.15</f>
        <v>169.90100000000001</v>
      </c>
      <c r="H278" s="6">
        <f>596.18*1.15</f>
        <v>685.60699999999986</v>
      </c>
      <c r="I278" s="5" t="s">
        <v>65</v>
      </c>
      <c r="J278" s="5">
        <v>30</v>
      </c>
      <c r="K278" s="5" t="s">
        <v>20</v>
      </c>
      <c r="L278" s="5">
        <f>D278/J278</f>
        <v>347.46666666666664</v>
      </c>
      <c r="M278" s="6">
        <f>E280/D278</f>
        <v>1.7199009017651572</v>
      </c>
    </row>
    <row r="279" spans="1:13" hidden="1">
      <c r="A279" s="5" t="s">
        <v>11</v>
      </c>
      <c r="B279" s="5"/>
      <c r="C279" s="5"/>
      <c r="D279" s="5"/>
      <c r="E279" s="6">
        <f>E277+F277</f>
        <v>17712.828999999998</v>
      </c>
      <c r="F279" s="6"/>
      <c r="G279" s="6"/>
      <c r="H279" s="6"/>
      <c r="I279" s="5"/>
      <c r="J279" s="5"/>
      <c r="K279" s="5"/>
      <c r="L279" s="5"/>
      <c r="M279" s="5"/>
    </row>
    <row r="280" spans="1:13" hidden="1">
      <c r="A280" s="5" t="s">
        <v>12</v>
      </c>
      <c r="B280" s="5"/>
      <c r="C280" s="5"/>
      <c r="D280" s="5"/>
      <c r="E280" s="6">
        <f>E278+F278+G278+H278</f>
        <v>17928.246999999999</v>
      </c>
      <c r="F280" s="6"/>
      <c r="G280" s="6"/>
      <c r="H280" s="6"/>
      <c r="I280" s="5"/>
      <c r="J280" s="5"/>
      <c r="K280" s="5"/>
      <c r="L280" s="5"/>
      <c r="M280" s="5"/>
    </row>
    <row r="281" spans="1:13" hidden="1">
      <c r="A281" s="5" t="s">
        <v>13</v>
      </c>
      <c r="B281" s="5"/>
      <c r="C281" s="5"/>
      <c r="D281" s="5"/>
      <c r="E281" s="6">
        <f>E279-E280</f>
        <v>-215.41800000000148</v>
      </c>
      <c r="F281" s="6"/>
      <c r="G281" s="6"/>
      <c r="H281" s="6"/>
      <c r="I281" s="5"/>
      <c r="J281" s="5"/>
      <c r="K281" s="5"/>
      <c r="L281" s="5"/>
      <c r="M281" s="5"/>
    </row>
    <row r="282" spans="1:13" hidden="1"/>
    <row r="283" spans="1:13" hidden="1">
      <c r="A283" s="13">
        <v>44166</v>
      </c>
    </row>
    <row r="284" spans="1:13" hidden="1">
      <c r="A284" s="3" t="s">
        <v>1</v>
      </c>
      <c r="B284" s="3" t="s">
        <v>2</v>
      </c>
      <c r="C284" s="3" t="s">
        <v>3</v>
      </c>
      <c r="D284" s="3" t="s">
        <v>4</v>
      </c>
      <c r="E284" s="3" t="s">
        <v>5</v>
      </c>
      <c r="F284" s="3" t="s">
        <v>36</v>
      </c>
      <c r="G284" s="3" t="s">
        <v>7</v>
      </c>
      <c r="H284" s="3" t="s">
        <v>8</v>
      </c>
      <c r="I284" s="3" t="s">
        <v>14</v>
      </c>
      <c r="J284" s="3" t="s">
        <v>15</v>
      </c>
      <c r="K284" s="3" t="s">
        <v>16</v>
      </c>
      <c r="L284" s="3" t="s">
        <v>17</v>
      </c>
      <c r="M284" s="3" t="s">
        <v>18</v>
      </c>
    </row>
    <row r="285" spans="1:13" hidden="1">
      <c r="A285" s="5" t="s">
        <v>9</v>
      </c>
      <c r="B285" s="5">
        <f>C277</f>
        <v>1349528</v>
      </c>
      <c r="C285" s="5">
        <v>1358316</v>
      </c>
      <c r="D285" s="5">
        <f>C285-B285</f>
        <v>8788</v>
      </c>
      <c r="E285" s="6">
        <f>11235.31014*1.15</f>
        <v>12920.606660999998</v>
      </c>
      <c r="F285" s="15">
        <f>1673.03154*1.15</f>
        <v>1923.9862709999998</v>
      </c>
      <c r="G285" s="6"/>
      <c r="H285" s="6"/>
      <c r="I285" s="5" t="s">
        <v>66</v>
      </c>
      <c r="J285" s="5">
        <v>31</v>
      </c>
      <c r="K285" s="5" t="s">
        <v>20</v>
      </c>
      <c r="L285" s="5">
        <f>D285/J285</f>
        <v>283.48387096774195</v>
      </c>
      <c r="M285" s="6">
        <f>E285/D285</f>
        <v>1.4702556510013653</v>
      </c>
    </row>
    <row r="286" spans="1:13" hidden="1">
      <c r="A286" s="5" t="s">
        <v>10</v>
      </c>
      <c r="B286" s="5">
        <f>C278</f>
        <v>1347299</v>
      </c>
      <c r="C286" s="5">
        <v>1356614</v>
      </c>
      <c r="D286" s="5">
        <f>C286-B286</f>
        <v>9315</v>
      </c>
      <c r="E286" s="6">
        <f>13266.42*1.15</f>
        <v>15256.383</v>
      </c>
      <c r="F286" s="15"/>
      <c r="G286" s="6">
        <f>147.74*1.15</f>
        <v>169.90100000000001</v>
      </c>
      <c r="H286" s="6">
        <f>596.18*1.15</f>
        <v>685.60699999999986</v>
      </c>
      <c r="I286" s="5" t="s">
        <v>66</v>
      </c>
      <c r="J286" s="5">
        <v>31</v>
      </c>
      <c r="K286" s="5" t="s">
        <v>20</v>
      </c>
      <c r="L286" s="5">
        <f>D286/J286</f>
        <v>300.48387096774195</v>
      </c>
      <c r="M286" s="6">
        <f>E288/D286</f>
        <v>1.7296716049382717</v>
      </c>
    </row>
    <row r="287" spans="1:13" hidden="1">
      <c r="A287" s="5" t="s">
        <v>11</v>
      </c>
      <c r="B287" s="5"/>
      <c r="C287" s="5"/>
      <c r="D287" s="5"/>
      <c r="E287" s="6">
        <f>E285+F285</f>
        <v>14844.592931999998</v>
      </c>
      <c r="F287" s="6"/>
      <c r="G287" s="6"/>
      <c r="H287" s="6"/>
      <c r="I287" s="5"/>
      <c r="J287" s="5"/>
      <c r="K287" s="5"/>
      <c r="L287" s="5"/>
      <c r="M287" s="5"/>
    </row>
    <row r="288" spans="1:13" hidden="1">
      <c r="A288" s="5" t="s">
        <v>12</v>
      </c>
      <c r="B288" s="5"/>
      <c r="C288" s="5"/>
      <c r="D288" s="5"/>
      <c r="E288" s="6">
        <f>E286+F286+G286+H286</f>
        <v>16111.891</v>
      </c>
      <c r="F288" s="6"/>
      <c r="G288" s="6"/>
      <c r="H288" s="6"/>
      <c r="I288" s="5"/>
      <c r="J288" s="5"/>
      <c r="K288" s="5"/>
      <c r="L288" s="5"/>
      <c r="M288" s="5"/>
    </row>
    <row r="289" spans="1:13" hidden="1">
      <c r="A289" s="5" t="s">
        <v>13</v>
      </c>
      <c r="B289" s="5"/>
      <c r="C289" s="5"/>
      <c r="D289" s="5"/>
      <c r="E289" s="6">
        <f>E287-E288</f>
        <v>-1267.2980680000019</v>
      </c>
      <c r="F289" s="6"/>
      <c r="G289" s="6"/>
      <c r="H289" s="6"/>
      <c r="I289" s="5"/>
      <c r="J289" s="5"/>
      <c r="K289" s="5"/>
      <c r="L289" s="5"/>
      <c r="M289" s="5"/>
    </row>
    <row r="291" spans="1:13">
      <c r="A291" s="13">
        <v>44197</v>
      </c>
    </row>
    <row r="292" spans="1:13">
      <c r="A292" s="3" t="s">
        <v>1</v>
      </c>
      <c r="B292" s="3" t="s">
        <v>2</v>
      </c>
      <c r="C292" s="3" t="s">
        <v>3</v>
      </c>
      <c r="D292" s="3" t="s">
        <v>4</v>
      </c>
      <c r="E292" s="3" t="s">
        <v>5</v>
      </c>
      <c r="F292" s="3" t="s">
        <v>36</v>
      </c>
      <c r="G292" s="3" t="s">
        <v>7</v>
      </c>
      <c r="H292" s="3" t="s">
        <v>8</v>
      </c>
      <c r="I292" s="3" t="s">
        <v>14</v>
      </c>
      <c r="J292" s="3" t="s">
        <v>15</v>
      </c>
      <c r="K292" s="3" t="s">
        <v>16</v>
      </c>
      <c r="L292" s="3" t="s">
        <v>17</v>
      </c>
      <c r="M292" s="3" t="s">
        <v>18</v>
      </c>
    </row>
    <row r="293" spans="1:13">
      <c r="A293" s="5" t="s">
        <v>9</v>
      </c>
      <c r="B293" s="5">
        <f>C285</f>
        <v>1358316</v>
      </c>
      <c r="C293" s="5">
        <v>1368847</v>
      </c>
      <c r="D293" s="5">
        <f>C293-B293</f>
        <v>10531</v>
      </c>
      <c r="E293" s="6">
        <f>12162.16*1.15</f>
        <v>13986.483999999999</v>
      </c>
      <c r="F293" s="15">
        <f>3306.4*1.15</f>
        <v>3802.3599999999997</v>
      </c>
      <c r="G293" s="6"/>
      <c r="H293" s="6"/>
      <c r="I293" s="5" t="s">
        <v>67</v>
      </c>
      <c r="J293" s="5">
        <v>31</v>
      </c>
      <c r="K293" s="5" t="s">
        <v>20</v>
      </c>
      <c r="L293" s="5">
        <f>D293/J293</f>
        <v>339.70967741935482</v>
      </c>
      <c r="M293" s="6">
        <f>E293/D293</f>
        <v>1.3281249643908459</v>
      </c>
    </row>
    <row r="294" spans="1:13">
      <c r="A294" s="5" t="s">
        <v>10</v>
      </c>
      <c r="B294" s="5">
        <f>C286</f>
        <v>1356614</v>
      </c>
      <c r="C294" s="5">
        <v>1366438</v>
      </c>
      <c r="D294" s="5">
        <f>C294-B294</f>
        <v>9824</v>
      </c>
      <c r="E294" s="6">
        <f>13991.34*1.15</f>
        <v>16090.040999999999</v>
      </c>
      <c r="F294" s="15"/>
      <c r="G294" s="6">
        <f>147.74*1.15</f>
        <v>169.90100000000001</v>
      </c>
      <c r="H294" s="6">
        <f>596.18*1.15</f>
        <v>685.60699999999986</v>
      </c>
      <c r="I294" s="5" t="s">
        <v>68</v>
      </c>
      <c r="J294" s="5">
        <v>31</v>
      </c>
      <c r="K294" s="5" t="s">
        <v>20</v>
      </c>
      <c r="L294" s="5">
        <f>D294/J294</f>
        <v>316.90322580645159</v>
      </c>
      <c r="M294" s="6">
        <f>E296/D294</f>
        <v>1.7249133754071659</v>
      </c>
    </row>
    <row r="295" spans="1:13">
      <c r="A295" s="5" t="s">
        <v>11</v>
      </c>
      <c r="B295" s="5"/>
      <c r="C295" s="5"/>
      <c r="D295" s="5"/>
      <c r="E295" s="6">
        <f>E293+F293</f>
        <v>17788.843999999997</v>
      </c>
      <c r="F295" s="6"/>
      <c r="G295" s="6"/>
      <c r="H295" s="6"/>
      <c r="I295" s="5"/>
      <c r="J295" s="5"/>
      <c r="K295" s="5"/>
      <c r="L295" s="5"/>
      <c r="M295" s="5"/>
    </row>
    <row r="296" spans="1:13">
      <c r="A296" s="5" t="s">
        <v>12</v>
      </c>
      <c r="B296" s="5"/>
      <c r="C296" s="5"/>
      <c r="D296" s="5"/>
      <c r="E296" s="6">
        <f>E294+F294+G294+H294</f>
        <v>16945.548999999999</v>
      </c>
      <c r="F296" s="6"/>
      <c r="G296" s="6"/>
      <c r="H296" s="6"/>
      <c r="I296" s="5"/>
      <c r="J296" s="5"/>
      <c r="K296" s="5"/>
      <c r="L296" s="5"/>
      <c r="M296" s="5"/>
    </row>
    <row r="297" spans="1:13">
      <c r="A297" s="5" t="s">
        <v>13</v>
      </c>
      <c r="B297" s="5"/>
      <c r="C297" s="5"/>
      <c r="D297" s="5"/>
      <c r="E297" s="6">
        <f>E295-E296</f>
        <v>843.29499999999825</v>
      </c>
      <c r="F297" s="6"/>
      <c r="G297" s="6"/>
      <c r="H297" s="6"/>
      <c r="I297" s="5"/>
      <c r="J297" s="5"/>
      <c r="K297" s="5"/>
      <c r="L297" s="5"/>
      <c r="M297" s="5"/>
    </row>
    <row r="299" spans="1:13">
      <c r="A299" s="13">
        <v>44228</v>
      </c>
    </row>
    <row r="300" spans="1:13">
      <c r="A300" s="3" t="s">
        <v>1</v>
      </c>
      <c r="B300" s="3" t="s">
        <v>2</v>
      </c>
      <c r="C300" s="3" t="s">
        <v>3</v>
      </c>
      <c r="D300" s="3" t="s">
        <v>4</v>
      </c>
      <c r="E300" s="3" t="s">
        <v>5</v>
      </c>
      <c r="F300" s="3" t="s">
        <v>36</v>
      </c>
      <c r="G300" s="3" t="s">
        <v>7</v>
      </c>
      <c r="H300" s="3" t="s">
        <v>8</v>
      </c>
      <c r="I300" s="3" t="s">
        <v>14</v>
      </c>
      <c r="J300" s="3" t="s">
        <v>15</v>
      </c>
      <c r="K300" s="3" t="s">
        <v>16</v>
      </c>
      <c r="L300" s="3" t="s">
        <v>17</v>
      </c>
      <c r="M300" s="3" t="s">
        <v>18</v>
      </c>
    </row>
    <row r="301" spans="1:13">
      <c r="A301" s="5" t="s">
        <v>9</v>
      </c>
      <c r="B301" s="5">
        <f>C293</f>
        <v>1368847</v>
      </c>
      <c r="C301" s="5">
        <v>1381523</v>
      </c>
      <c r="D301" s="5">
        <f>C301-B301</f>
        <v>12676</v>
      </c>
      <c r="E301" s="6">
        <f>16316.1*1.15</f>
        <v>18763.514999999999</v>
      </c>
      <c r="F301" s="15">
        <f>2303.17*1.15</f>
        <v>2648.6455000000001</v>
      </c>
      <c r="G301" s="6"/>
      <c r="H301" s="6"/>
      <c r="I301" s="5" t="s">
        <v>69</v>
      </c>
      <c r="J301" s="5">
        <v>29</v>
      </c>
      <c r="K301" s="5" t="s">
        <v>20</v>
      </c>
      <c r="L301" s="5">
        <f>D301/J301</f>
        <v>437.10344827586209</v>
      </c>
      <c r="M301" s="6">
        <f>E301/D301</f>
        <v>1.4802394288419058</v>
      </c>
    </row>
    <row r="302" spans="1:13">
      <c r="A302" s="5" t="s">
        <v>10</v>
      </c>
      <c r="B302" s="5">
        <f>C294</f>
        <v>1366438</v>
      </c>
      <c r="C302" s="5">
        <v>1377811</v>
      </c>
      <c r="D302" s="5">
        <f>C302-B302</f>
        <v>11373</v>
      </c>
      <c r="E302" s="6">
        <f>16197.43*1.15</f>
        <v>18627.0445</v>
      </c>
      <c r="F302" s="15"/>
      <c r="G302" s="6">
        <f>147.74*1.15</f>
        <v>169.90100000000001</v>
      </c>
      <c r="H302" s="6">
        <f>596.18*1.15</f>
        <v>685.60699999999986</v>
      </c>
      <c r="I302" s="5" t="s">
        <v>70</v>
      </c>
      <c r="J302" s="5">
        <v>28</v>
      </c>
      <c r="K302" s="5" t="s">
        <v>20</v>
      </c>
      <c r="L302" s="5">
        <f>D302/J302</f>
        <v>406.17857142857144</v>
      </c>
      <c r="M302" s="6">
        <f>E304/D302</f>
        <v>1.7130530642750375</v>
      </c>
    </row>
    <row r="303" spans="1:13">
      <c r="A303" s="5" t="s">
        <v>11</v>
      </c>
      <c r="B303" s="5"/>
      <c r="C303" s="5"/>
      <c r="D303" s="5"/>
      <c r="E303" s="6">
        <f>E301+F301</f>
        <v>21412.160499999998</v>
      </c>
      <c r="F303" s="6"/>
      <c r="G303" s="6"/>
      <c r="H303" s="6"/>
      <c r="I303" s="5"/>
      <c r="J303" s="5"/>
      <c r="K303" s="5"/>
      <c r="L303" s="5"/>
      <c r="M303" s="5"/>
    </row>
    <row r="304" spans="1:13">
      <c r="A304" s="5" t="s">
        <v>12</v>
      </c>
      <c r="B304" s="5"/>
      <c r="C304" s="5"/>
      <c r="D304" s="5"/>
      <c r="E304" s="6">
        <f>E302+F302+G302+H302</f>
        <v>19482.552500000002</v>
      </c>
      <c r="F304" s="6"/>
      <c r="G304" s="6"/>
      <c r="H304" s="6"/>
      <c r="I304" s="5"/>
      <c r="J304" s="5"/>
      <c r="K304" s="5"/>
      <c r="L304" s="5"/>
      <c r="M304" s="5"/>
    </row>
    <row r="305" spans="1:13">
      <c r="A305" s="5" t="s">
        <v>13</v>
      </c>
      <c r="B305" s="5"/>
      <c r="C305" s="5"/>
      <c r="D305" s="5"/>
      <c r="E305" s="6">
        <f>E303-E304</f>
        <v>1929.6079999999965</v>
      </c>
      <c r="F305" s="6"/>
      <c r="G305" s="6"/>
      <c r="H305" s="6"/>
      <c r="I305" s="5"/>
      <c r="J305" s="5"/>
      <c r="K305" s="5"/>
      <c r="L305" s="5"/>
      <c r="M305" s="5"/>
    </row>
    <row r="307" spans="1:13">
      <c r="A307" s="13">
        <v>44256</v>
      </c>
    </row>
    <row r="308" spans="1:13">
      <c r="A308" s="3" t="s">
        <v>1</v>
      </c>
      <c r="B308" s="3" t="s">
        <v>2</v>
      </c>
      <c r="C308" s="3" t="s">
        <v>3</v>
      </c>
      <c r="D308" s="3" t="s">
        <v>4</v>
      </c>
      <c r="E308" s="3" t="s">
        <v>5</v>
      </c>
      <c r="F308" s="3" t="s">
        <v>36</v>
      </c>
      <c r="G308" s="3" t="s">
        <v>7</v>
      </c>
      <c r="H308" s="3" t="s">
        <v>8</v>
      </c>
      <c r="I308" s="3" t="s">
        <v>14</v>
      </c>
      <c r="J308" s="3" t="s">
        <v>15</v>
      </c>
      <c r="K308" s="3" t="s">
        <v>16</v>
      </c>
      <c r="L308" s="3" t="s">
        <v>17</v>
      </c>
      <c r="M308" s="3" t="s">
        <v>18</v>
      </c>
    </row>
    <row r="309" spans="1:13">
      <c r="A309" s="5" t="s">
        <v>9</v>
      </c>
      <c r="B309" s="5">
        <f>C301</f>
        <v>1381523</v>
      </c>
      <c r="C309" s="5">
        <v>1392260</v>
      </c>
      <c r="D309" s="5">
        <f>C309-B309</f>
        <v>10737</v>
      </c>
      <c r="E309" s="6">
        <f>15587.54*1.15</f>
        <v>17925.670999999998</v>
      </c>
      <c r="F309" s="15">
        <f>183.61*1.15</f>
        <v>211.1515</v>
      </c>
      <c r="G309" s="6"/>
      <c r="H309" s="6"/>
      <c r="I309" s="5" t="s">
        <v>71</v>
      </c>
      <c r="J309" s="5">
        <v>30</v>
      </c>
      <c r="K309" s="5" t="s">
        <v>20</v>
      </c>
      <c r="L309" s="5">
        <f>D309/J309</f>
        <v>357.9</v>
      </c>
      <c r="M309" s="6">
        <f>E309/D309</f>
        <v>1.6695232374033713</v>
      </c>
    </row>
    <row r="310" spans="1:13">
      <c r="A310" s="5" t="s">
        <v>10</v>
      </c>
      <c r="B310" s="5">
        <f>C302</f>
        <v>1377811</v>
      </c>
      <c r="C310" s="5">
        <v>1387836</v>
      </c>
      <c r="D310" s="5">
        <f>C310-B310</f>
        <v>10025</v>
      </c>
      <c r="E310" s="6">
        <f>14277.61*1.15</f>
        <v>16419.251499999998</v>
      </c>
      <c r="F310" s="15"/>
      <c r="G310" s="6">
        <f>147.74*1.15</f>
        <v>169.90100000000001</v>
      </c>
      <c r="H310" s="6">
        <f>596.18*1.15</f>
        <v>685.60699999999986</v>
      </c>
      <c r="I310" s="5" t="s">
        <v>72</v>
      </c>
      <c r="J310" s="5">
        <v>31</v>
      </c>
      <c r="K310" s="5" t="s">
        <v>20</v>
      </c>
      <c r="L310" s="5">
        <f>D310/J310</f>
        <v>323.38709677419354</v>
      </c>
      <c r="M310" s="6">
        <f>E312/D310</f>
        <v>1.723168029925187</v>
      </c>
    </row>
    <row r="311" spans="1:13">
      <c r="A311" s="5" t="s">
        <v>11</v>
      </c>
      <c r="B311" s="5"/>
      <c r="C311" s="5"/>
      <c r="D311" s="5"/>
      <c r="E311" s="6">
        <f>E309+F309</f>
        <v>18136.822499999998</v>
      </c>
      <c r="F311" s="6"/>
      <c r="G311" s="6"/>
      <c r="H311" s="6"/>
      <c r="I311" s="5"/>
      <c r="J311" s="5"/>
      <c r="K311" s="5"/>
      <c r="L311" s="5"/>
      <c r="M311" s="5"/>
    </row>
    <row r="312" spans="1:13">
      <c r="A312" s="5" t="s">
        <v>12</v>
      </c>
      <c r="B312" s="5"/>
      <c r="C312" s="5"/>
      <c r="D312" s="5"/>
      <c r="E312" s="6">
        <f>E310+F310+G310+H310</f>
        <v>17274.7595</v>
      </c>
      <c r="F312" s="6"/>
      <c r="G312" s="6"/>
      <c r="H312" s="6"/>
      <c r="I312" s="5"/>
      <c r="J312" s="5"/>
      <c r="K312" s="5"/>
      <c r="L312" s="5"/>
      <c r="M312" s="5"/>
    </row>
    <row r="313" spans="1:13">
      <c r="A313" s="5" t="s">
        <v>13</v>
      </c>
      <c r="B313" s="5"/>
      <c r="C313" s="5"/>
      <c r="D313" s="5"/>
      <c r="E313" s="6">
        <f>E311-E312</f>
        <v>862.06299999999828</v>
      </c>
      <c r="F313" s="6"/>
      <c r="G313" s="6"/>
      <c r="H313" s="6"/>
      <c r="I313" s="5"/>
      <c r="J313" s="5"/>
      <c r="K313" s="5"/>
      <c r="L313" s="5"/>
      <c r="M313" s="5"/>
    </row>
    <row r="315" spans="1:13">
      <c r="A315" s="13">
        <v>44287</v>
      </c>
    </row>
    <row r="316" spans="1:13">
      <c r="A316" s="3" t="s">
        <v>1</v>
      </c>
      <c r="B316" s="3" t="s">
        <v>2</v>
      </c>
      <c r="C316" s="3" t="s">
        <v>3</v>
      </c>
      <c r="D316" s="3" t="s">
        <v>4</v>
      </c>
      <c r="E316" s="3" t="s">
        <v>5</v>
      </c>
      <c r="F316" s="3" t="s">
        <v>36</v>
      </c>
      <c r="G316" s="3" t="s">
        <v>7</v>
      </c>
      <c r="H316" s="3" t="s">
        <v>8</v>
      </c>
      <c r="I316" s="3" t="s">
        <v>14</v>
      </c>
      <c r="J316" s="3" t="s">
        <v>15</v>
      </c>
      <c r="K316" s="3" t="s">
        <v>16</v>
      </c>
      <c r="L316" s="3" t="s">
        <v>17</v>
      </c>
      <c r="M316" s="3" t="s">
        <v>18</v>
      </c>
    </row>
    <row r="317" spans="1:13">
      <c r="A317" s="5" t="s">
        <v>9</v>
      </c>
      <c r="B317" s="5">
        <f>C309</f>
        <v>1392260</v>
      </c>
      <c r="C317" s="5">
        <v>1401868</v>
      </c>
      <c r="D317" s="5">
        <f>C317-B317</f>
        <v>9608</v>
      </c>
      <c r="E317" s="6">
        <f>13873.38*1.15</f>
        <v>15954.386999999997</v>
      </c>
      <c r="F317" s="15">
        <f>239.42*1.15</f>
        <v>275.33299999999997</v>
      </c>
      <c r="G317" s="6"/>
      <c r="H317" s="6"/>
      <c r="I317" s="5" t="s">
        <v>73</v>
      </c>
      <c r="J317" s="5">
        <v>29</v>
      </c>
      <c r="K317" s="5" t="s">
        <v>20</v>
      </c>
      <c r="L317" s="5">
        <f>D317/J317</f>
        <v>331.31034482758622</v>
      </c>
      <c r="M317" s="6">
        <f>E317/D317</f>
        <v>1.6605315362198165</v>
      </c>
    </row>
    <row r="318" spans="1:13">
      <c r="A318" s="5" t="s">
        <v>10</v>
      </c>
      <c r="B318" s="5">
        <f>C310</f>
        <v>1387836</v>
      </c>
      <c r="C318" s="5">
        <v>1399840</v>
      </c>
      <c r="D318" s="5">
        <f>C318-B318</f>
        <v>12004</v>
      </c>
      <c r="E318" s="6">
        <f>17096.1*1.15</f>
        <v>19660.514999999996</v>
      </c>
      <c r="F318" s="15"/>
      <c r="G318" s="6">
        <f>147.74*1.15</f>
        <v>169.90100000000001</v>
      </c>
      <c r="H318" s="6">
        <f>596.18*1.15</f>
        <v>685.60699999999986</v>
      </c>
      <c r="I318" s="5" t="s">
        <v>73</v>
      </c>
      <c r="J318" s="5">
        <v>30</v>
      </c>
      <c r="K318" s="5" t="s">
        <v>20</v>
      </c>
      <c r="L318" s="5">
        <f>D318/J318</f>
        <v>400.13333333333333</v>
      </c>
      <c r="M318" s="6">
        <f>E320/D318</f>
        <v>1.7090988837054313</v>
      </c>
    </row>
    <row r="319" spans="1:13">
      <c r="A319" s="5" t="s">
        <v>11</v>
      </c>
      <c r="B319" s="5"/>
      <c r="C319" s="5"/>
      <c r="D319" s="5"/>
      <c r="E319" s="6">
        <f>E317+F317</f>
        <v>16229.719999999998</v>
      </c>
      <c r="F319" s="6"/>
      <c r="G319" s="6"/>
      <c r="H319" s="6"/>
      <c r="I319" s="5"/>
      <c r="J319" s="5"/>
      <c r="K319" s="5"/>
      <c r="L319" s="5"/>
      <c r="M319" s="5"/>
    </row>
    <row r="320" spans="1:13">
      <c r="A320" s="5" t="s">
        <v>12</v>
      </c>
      <c r="B320" s="5"/>
      <c r="C320" s="5"/>
      <c r="D320" s="5"/>
      <c r="E320" s="6">
        <f>E318+F318+G318+H318</f>
        <v>20516.022999999997</v>
      </c>
      <c r="F320" s="6"/>
      <c r="G320" s="6"/>
      <c r="H320" s="6"/>
      <c r="I320" s="5"/>
      <c r="J320" s="5"/>
      <c r="K320" s="5"/>
      <c r="L320" s="5"/>
      <c r="M320" s="5"/>
    </row>
    <row r="321" spans="1:13">
      <c r="A321" s="5" t="s">
        <v>13</v>
      </c>
      <c r="B321" s="5"/>
      <c r="C321" s="5"/>
      <c r="D321" s="5"/>
      <c r="E321" s="6">
        <f>E319-E320</f>
        <v>-4286.3029999999999</v>
      </c>
      <c r="F321" s="6"/>
      <c r="G321" s="6"/>
      <c r="H321" s="6"/>
      <c r="I321" s="5"/>
      <c r="J321" s="5"/>
      <c r="K321" s="5"/>
      <c r="L321" s="5"/>
      <c r="M321" s="5"/>
    </row>
    <row r="323" spans="1:13">
      <c r="A323" s="13">
        <v>44317</v>
      </c>
    </row>
    <row r="324" spans="1:13">
      <c r="A324" s="3" t="s">
        <v>1</v>
      </c>
      <c r="B324" s="3" t="s">
        <v>2</v>
      </c>
      <c r="C324" s="3" t="s">
        <v>3</v>
      </c>
      <c r="D324" s="3" t="s">
        <v>4</v>
      </c>
      <c r="E324" s="3" t="s">
        <v>5</v>
      </c>
      <c r="F324" s="3" t="s">
        <v>36</v>
      </c>
      <c r="G324" s="3" t="s">
        <v>7</v>
      </c>
      <c r="H324" s="3" t="s">
        <v>8</v>
      </c>
      <c r="I324" s="3" t="s">
        <v>14</v>
      </c>
      <c r="J324" s="3" t="s">
        <v>15</v>
      </c>
      <c r="K324" s="3" t="s">
        <v>16</v>
      </c>
      <c r="L324" s="3" t="s">
        <v>17</v>
      </c>
      <c r="M324" s="3" t="s">
        <v>18</v>
      </c>
    </row>
    <row r="325" spans="1:13">
      <c r="A325" s="5" t="s">
        <v>9</v>
      </c>
      <c r="B325" s="5">
        <f>C317</f>
        <v>1401868</v>
      </c>
      <c r="C325" s="5">
        <v>1416028</v>
      </c>
      <c r="D325" s="5">
        <f>C325-B325</f>
        <v>14160</v>
      </c>
      <c r="E325" s="6">
        <f>19361.04*1.15</f>
        <v>22265.196</v>
      </c>
      <c r="F325" s="15">
        <f>1438.01*1.15</f>
        <v>1653.7114999999999</v>
      </c>
      <c r="G325" s="6"/>
      <c r="H325" s="6"/>
      <c r="I325" s="5" t="s">
        <v>74</v>
      </c>
      <c r="J325" s="5">
        <v>31</v>
      </c>
      <c r="K325" s="5" t="s">
        <v>20</v>
      </c>
      <c r="L325" s="5">
        <f>D325/J325</f>
        <v>456.77419354838707</v>
      </c>
      <c r="M325" s="6">
        <f>E325/D325</f>
        <v>1.5724008474576272</v>
      </c>
    </row>
    <row r="326" spans="1:13">
      <c r="A326" s="5" t="s">
        <v>10</v>
      </c>
      <c r="B326" s="5">
        <f>C318</f>
        <v>1399840</v>
      </c>
      <c r="C326" s="5">
        <v>1412741</v>
      </c>
      <c r="D326" s="5">
        <f>C326-B326</f>
        <v>12901</v>
      </c>
      <c r="E326" s="6">
        <f>18373.6*1.15</f>
        <v>21129.639999999996</v>
      </c>
      <c r="F326" s="15"/>
      <c r="G326" s="6">
        <f>147.74*1.15</f>
        <v>169.90100000000001</v>
      </c>
      <c r="H326" s="6">
        <f>596.18*1.15</f>
        <v>685.60699999999986</v>
      </c>
      <c r="I326" s="5" t="s">
        <v>74</v>
      </c>
      <c r="J326" s="5">
        <v>31</v>
      </c>
      <c r="K326" s="5" t="s">
        <v>20</v>
      </c>
      <c r="L326" s="5">
        <f>D326/J326</f>
        <v>416.16129032258067</v>
      </c>
      <c r="M326" s="6">
        <f>E328/D326</f>
        <v>1.704142934656228</v>
      </c>
    </row>
    <row r="327" spans="1:13">
      <c r="A327" s="5" t="s">
        <v>11</v>
      </c>
      <c r="B327" s="5"/>
      <c r="C327" s="5"/>
      <c r="D327" s="5"/>
      <c r="E327" s="6">
        <f>E325+F325</f>
        <v>23918.907500000001</v>
      </c>
      <c r="F327" s="6"/>
      <c r="G327" s="6"/>
      <c r="H327" s="6"/>
      <c r="I327" s="5"/>
      <c r="J327" s="5"/>
      <c r="K327" s="5"/>
      <c r="L327" s="5"/>
      <c r="M327" s="5"/>
    </row>
    <row r="328" spans="1:13">
      <c r="A328" s="5" t="s">
        <v>12</v>
      </c>
      <c r="B328" s="5"/>
      <c r="C328" s="5"/>
      <c r="D328" s="5"/>
      <c r="E328" s="6">
        <f>E326+F326+G326+H326</f>
        <v>21985.147999999997</v>
      </c>
      <c r="F328" s="6"/>
      <c r="G328" s="6"/>
      <c r="H328" s="6"/>
      <c r="I328" s="5"/>
      <c r="J328" s="5"/>
      <c r="K328" s="5"/>
      <c r="L328" s="5"/>
      <c r="M328" s="5"/>
    </row>
    <row r="329" spans="1:13">
      <c r="A329" s="5" t="s">
        <v>13</v>
      </c>
      <c r="B329" s="5"/>
      <c r="C329" s="5"/>
      <c r="D329" s="5"/>
      <c r="E329" s="6">
        <f>E327-E328</f>
        <v>1933.7595000000038</v>
      </c>
      <c r="F329" s="6"/>
      <c r="G329" s="6"/>
      <c r="H329" s="6"/>
      <c r="I329" s="5"/>
      <c r="J329" s="5"/>
      <c r="K329" s="5"/>
      <c r="L329" s="5"/>
      <c r="M329" s="5"/>
    </row>
    <row r="331" spans="1:13">
      <c r="A331" s="13">
        <v>44348</v>
      </c>
    </row>
    <row r="332" spans="1:13">
      <c r="A332" s="3" t="s">
        <v>1</v>
      </c>
      <c r="B332" s="3" t="s">
        <v>2</v>
      </c>
      <c r="C332" s="3" t="s">
        <v>3</v>
      </c>
      <c r="D332" s="3" t="s">
        <v>4</v>
      </c>
      <c r="E332" s="3" t="s">
        <v>5</v>
      </c>
      <c r="F332" s="3" t="s">
        <v>36</v>
      </c>
      <c r="G332" s="3" t="s">
        <v>7</v>
      </c>
      <c r="H332" s="3" t="s">
        <v>8</v>
      </c>
      <c r="I332" s="3" t="s">
        <v>14</v>
      </c>
      <c r="J332" s="3" t="s">
        <v>15</v>
      </c>
      <c r="K332" s="3" t="s">
        <v>16</v>
      </c>
      <c r="L332" s="3" t="s">
        <v>17</v>
      </c>
      <c r="M332" s="3" t="s">
        <v>18</v>
      </c>
    </row>
    <row r="333" spans="1:13">
      <c r="A333" s="5" t="s">
        <v>9</v>
      </c>
      <c r="B333" s="5">
        <f>C325</f>
        <v>1416028</v>
      </c>
      <c r="C333" s="5">
        <v>1435088</v>
      </c>
      <c r="D333" s="5">
        <f>C333-B333</f>
        <v>19060</v>
      </c>
      <c r="E333" s="6">
        <f>(27996.47-3087.54)*1.15</f>
        <v>28645.269499999999</v>
      </c>
      <c r="F333" s="15">
        <f>3087.54*1.15</f>
        <v>3550.6709999999998</v>
      </c>
      <c r="G333" s="6"/>
      <c r="H333" s="6"/>
      <c r="I333" s="5" t="s">
        <v>75</v>
      </c>
      <c r="J333" s="5">
        <v>36</v>
      </c>
      <c r="K333" s="5" t="s">
        <v>20</v>
      </c>
      <c r="L333" s="5">
        <f>D333/J333</f>
        <v>529.44444444444446</v>
      </c>
      <c r="M333" s="6">
        <f>E333/D333</f>
        <v>1.5028997639034627</v>
      </c>
    </row>
    <row r="334" spans="1:13">
      <c r="A334" s="5" t="s">
        <v>10</v>
      </c>
      <c r="B334" s="5">
        <f>C326</f>
        <v>1412741</v>
      </c>
      <c r="C334" s="5">
        <v>1429645</v>
      </c>
      <c r="D334" s="5">
        <f>C334-B334</f>
        <v>16904</v>
      </c>
      <c r="E334" s="6">
        <f>24105.86*1.15</f>
        <v>27721.738999999998</v>
      </c>
      <c r="F334" s="15"/>
      <c r="G334" s="6">
        <f>169.29*1.15</f>
        <v>194.68349999999998</v>
      </c>
      <c r="H334" s="6">
        <f>(8.88+683.14)*1.15</f>
        <v>795.82299999999987</v>
      </c>
      <c r="I334" s="5" t="s">
        <v>76</v>
      </c>
      <c r="J334" s="5">
        <v>30</v>
      </c>
      <c r="K334" s="5" t="s">
        <v>20</v>
      </c>
      <c r="L334" s="5">
        <f>D334/J334</f>
        <v>563.4666666666667</v>
      </c>
      <c r="M334" s="6">
        <f>E336/D334</f>
        <v>1.6985474148130619</v>
      </c>
    </row>
    <row r="335" spans="1:13">
      <c r="A335" s="5" t="s">
        <v>11</v>
      </c>
      <c r="B335" s="5"/>
      <c r="C335" s="5"/>
      <c r="D335" s="5"/>
      <c r="E335" s="6">
        <f>E333+F333</f>
        <v>32195.940499999997</v>
      </c>
      <c r="F335" s="6"/>
      <c r="G335" s="6"/>
      <c r="H335" s="6"/>
      <c r="I335" s="5"/>
      <c r="J335" s="5"/>
      <c r="K335" s="5"/>
      <c r="L335" s="5"/>
      <c r="M335" s="5"/>
    </row>
    <row r="336" spans="1:13">
      <c r="A336" s="5" t="s">
        <v>12</v>
      </c>
      <c r="B336" s="5"/>
      <c r="C336" s="5"/>
      <c r="D336" s="5"/>
      <c r="E336" s="6">
        <f>E334+F334+G334+H334</f>
        <v>28712.245499999997</v>
      </c>
      <c r="F336" s="6"/>
      <c r="G336" s="6"/>
      <c r="H336" s="6"/>
      <c r="I336" s="5"/>
      <c r="J336" s="5"/>
      <c r="K336" s="5"/>
      <c r="L336" s="5"/>
      <c r="M336" s="5"/>
    </row>
    <row r="337" spans="1:13">
      <c r="A337" s="5" t="s">
        <v>13</v>
      </c>
      <c r="B337" s="5"/>
      <c r="C337" s="5"/>
      <c r="D337" s="5"/>
      <c r="E337" s="6">
        <f>E335-E336</f>
        <v>3483.6949999999997</v>
      </c>
      <c r="F337" s="6"/>
      <c r="G337" s="6"/>
      <c r="H337" s="6"/>
      <c r="I337" s="5"/>
      <c r="J337" s="5"/>
      <c r="K337" s="5"/>
      <c r="L337" s="5"/>
      <c r="M337" s="5"/>
    </row>
    <row r="339" spans="1:13">
      <c r="A339" s="13">
        <v>44378</v>
      </c>
    </row>
    <row r="340" spans="1:13">
      <c r="A340" s="3" t="s">
        <v>1</v>
      </c>
      <c r="B340" s="3" t="s">
        <v>2</v>
      </c>
      <c r="C340" s="3" t="s">
        <v>3</v>
      </c>
      <c r="D340" s="3" t="s">
        <v>4</v>
      </c>
      <c r="E340" s="3" t="s">
        <v>5</v>
      </c>
      <c r="F340" s="3" t="s">
        <v>36</v>
      </c>
      <c r="G340" s="3" t="s">
        <v>7</v>
      </c>
      <c r="H340" s="3" t="s">
        <v>8</v>
      </c>
      <c r="I340" s="3" t="s">
        <v>14</v>
      </c>
      <c r="J340" s="3" t="s">
        <v>15</v>
      </c>
      <c r="K340" s="3" t="s">
        <v>16</v>
      </c>
      <c r="L340" s="3" t="s">
        <v>17</v>
      </c>
      <c r="M340" s="3" t="s">
        <v>18</v>
      </c>
    </row>
    <row r="341" spans="1:13">
      <c r="A341" s="5" t="s">
        <v>9</v>
      </c>
      <c r="B341" s="5">
        <f>C333</f>
        <v>1435088</v>
      </c>
      <c r="C341" s="5">
        <v>1457802</v>
      </c>
      <c r="D341" s="5">
        <f>C341-B341</f>
        <v>22714</v>
      </c>
      <c r="E341" s="6">
        <f>(28774.1+1027.26)*1.15</f>
        <v>34271.563999999991</v>
      </c>
      <c r="F341" s="15">
        <f>10428.26*1.15</f>
        <v>11992.499</v>
      </c>
      <c r="G341" s="6">
        <f>169.29*1.15</f>
        <v>194.68349999999998</v>
      </c>
      <c r="H341" s="6">
        <f>683.14*1.15</f>
        <v>785.61099999999988</v>
      </c>
      <c r="I341" s="5" t="s">
        <v>77</v>
      </c>
      <c r="J341" s="5">
        <v>29</v>
      </c>
      <c r="K341" s="5" t="s">
        <v>20</v>
      </c>
      <c r="L341" s="5">
        <f>D341/J341</f>
        <v>783.24137931034488</v>
      </c>
      <c r="M341" s="6">
        <f>(E341+F341)/D341</f>
        <v>2.0368082680285284</v>
      </c>
    </row>
    <row r="342" spans="1:13">
      <c r="A342" s="5" t="s">
        <v>10</v>
      </c>
      <c r="B342" s="5">
        <f>C334</f>
        <v>1429645</v>
      </c>
      <c r="C342" s="5">
        <v>1446776</v>
      </c>
      <c r="D342" s="5">
        <f>C342-B342</f>
        <v>17131</v>
      </c>
      <c r="E342" s="6">
        <f>27956.92*1.15</f>
        <v>32150.457999999995</v>
      </c>
      <c r="F342" s="15"/>
      <c r="G342" s="6">
        <f>169.29*1.15</f>
        <v>194.68349999999998</v>
      </c>
      <c r="H342" s="6">
        <f>(8.88+683.14)*1.15</f>
        <v>795.82299999999987</v>
      </c>
      <c r="I342" s="5" t="s">
        <v>78</v>
      </c>
      <c r="J342" s="5">
        <v>34</v>
      </c>
      <c r="K342" s="5" t="s">
        <v>20</v>
      </c>
      <c r="L342" s="5">
        <f>D342/J342</f>
        <v>503.85294117647061</v>
      </c>
      <c r="M342" s="6">
        <f>E342/D342</f>
        <v>1.8767414628451342</v>
      </c>
    </row>
    <row r="343" spans="1:13">
      <c r="A343" s="5" t="s">
        <v>11</v>
      </c>
      <c r="B343" s="5"/>
      <c r="C343" s="5"/>
      <c r="D343" s="5"/>
      <c r="E343" s="6">
        <f>E341+F341+G341+H341</f>
        <v>47244.357499999991</v>
      </c>
      <c r="F343" s="6"/>
      <c r="G343" s="6"/>
      <c r="H343" s="6"/>
      <c r="I343" s="5"/>
      <c r="J343" s="5"/>
      <c r="K343" s="5"/>
      <c r="L343" s="5"/>
      <c r="M343" s="5"/>
    </row>
    <row r="344" spans="1:13">
      <c r="A344" s="5" t="s">
        <v>12</v>
      </c>
      <c r="B344" s="5"/>
      <c r="C344" s="5"/>
      <c r="D344" s="5"/>
      <c r="E344" s="6">
        <f>E342+F342+G342+H342</f>
        <v>33140.964499999995</v>
      </c>
      <c r="F344" s="6"/>
      <c r="G344" s="6"/>
      <c r="H344" s="6"/>
      <c r="I344" s="5"/>
      <c r="J344" s="5"/>
      <c r="K344" s="5"/>
      <c r="L344" s="5"/>
      <c r="M344" s="5"/>
    </row>
    <row r="345" spans="1:13">
      <c r="A345" s="5" t="s">
        <v>13</v>
      </c>
      <c r="B345" s="5"/>
      <c r="C345" s="5"/>
      <c r="D345" s="5"/>
      <c r="E345" s="6">
        <f>E343-E344</f>
        <v>14103.392999999996</v>
      </c>
      <c r="F345" s="6"/>
      <c r="G345" s="6"/>
      <c r="H345" s="6"/>
      <c r="I345" s="5"/>
      <c r="J345" s="5"/>
      <c r="K345" s="5"/>
      <c r="L345" s="5"/>
      <c r="M345" s="5"/>
    </row>
    <row r="347" spans="1:13">
      <c r="A347" s="13">
        <v>44409</v>
      </c>
    </row>
    <row r="348" spans="1:13">
      <c r="A348" s="3" t="s">
        <v>1</v>
      </c>
      <c r="B348" s="3" t="s">
        <v>2</v>
      </c>
      <c r="C348" s="3" t="s">
        <v>3</v>
      </c>
      <c r="D348" s="3" t="s">
        <v>4</v>
      </c>
      <c r="E348" s="3" t="s">
        <v>5</v>
      </c>
      <c r="F348" s="3" t="s">
        <v>36</v>
      </c>
      <c r="G348" s="3" t="s">
        <v>7</v>
      </c>
      <c r="H348" s="3" t="s">
        <v>8</v>
      </c>
      <c r="I348" s="3" t="s">
        <v>14</v>
      </c>
      <c r="J348" s="3" t="s">
        <v>15</v>
      </c>
      <c r="K348" s="3" t="s">
        <v>16</v>
      </c>
      <c r="L348" s="3" t="s">
        <v>17</v>
      </c>
      <c r="M348" s="3" t="s">
        <v>18</v>
      </c>
    </row>
    <row r="349" spans="1:13">
      <c r="A349" s="5" t="s">
        <v>9</v>
      </c>
      <c r="B349" s="5">
        <f>C341</f>
        <v>1457802</v>
      </c>
      <c r="C349" s="5">
        <v>1469420</v>
      </c>
      <c r="D349" s="5">
        <f>C349-B349</f>
        <v>11618</v>
      </c>
      <c r="E349" s="6">
        <f>(23461.44+1557.39)*1.15</f>
        <v>28771.654499999997</v>
      </c>
      <c r="F349" s="15">
        <v>0</v>
      </c>
      <c r="G349" s="6">
        <f>169.29*1.15</f>
        <v>194.68349999999998</v>
      </c>
      <c r="H349" s="6">
        <f>683.14*1.15</f>
        <v>785.61099999999988</v>
      </c>
      <c r="I349" s="5" t="s">
        <v>79</v>
      </c>
      <c r="J349" s="5">
        <v>28</v>
      </c>
      <c r="K349" s="5" t="s">
        <v>20</v>
      </c>
      <c r="L349" s="5">
        <f>D349/J349</f>
        <v>414.92857142857144</v>
      </c>
      <c r="M349" s="6">
        <f>(E349+F349)/D349</f>
        <v>2.4764722413496294</v>
      </c>
    </row>
    <row r="350" spans="1:13">
      <c r="A350" s="5" t="s">
        <v>10</v>
      </c>
      <c r="B350" s="5">
        <f>C342</f>
        <v>1446776</v>
      </c>
      <c r="C350" s="5">
        <v>1466135</v>
      </c>
      <c r="D350" s="5">
        <f>C350-B350</f>
        <v>19359</v>
      </c>
      <c r="E350" s="6">
        <f>30647.24*1.15</f>
        <v>35244.326000000001</v>
      </c>
      <c r="F350" s="15"/>
      <c r="G350" s="6">
        <f>169.29*1.15</f>
        <v>194.68349999999998</v>
      </c>
      <c r="H350" s="6">
        <f>(8.88+683.14)*1.15</f>
        <v>795.82299999999987</v>
      </c>
      <c r="I350" s="5" t="s">
        <v>80</v>
      </c>
      <c r="J350" s="5">
        <v>28</v>
      </c>
      <c r="K350" s="5" t="s">
        <v>20</v>
      </c>
      <c r="L350" s="5">
        <f>D350/J350</f>
        <v>691.39285714285711</v>
      </c>
      <c r="M350" s="6">
        <f>E350/D350</f>
        <v>1.8205654217676532</v>
      </c>
    </row>
    <row r="351" spans="1:13">
      <c r="A351" s="5" t="s">
        <v>11</v>
      </c>
      <c r="B351" s="5"/>
      <c r="C351" s="5"/>
      <c r="D351" s="5"/>
      <c r="E351" s="6">
        <f>E349+F349+G349+H349</f>
        <v>29751.948999999997</v>
      </c>
      <c r="F351" s="6"/>
      <c r="G351" s="6"/>
      <c r="H351" s="6"/>
      <c r="I351" s="5"/>
      <c r="J351" s="5"/>
      <c r="K351" s="5"/>
      <c r="L351" s="5"/>
      <c r="M351" s="5"/>
    </row>
    <row r="352" spans="1:13">
      <c r="A352" s="5" t="s">
        <v>12</v>
      </c>
      <c r="B352" s="5"/>
      <c r="C352" s="5"/>
      <c r="D352" s="5"/>
      <c r="E352" s="6">
        <f>E350+F350+G350+H350</f>
        <v>36234.832499999997</v>
      </c>
      <c r="F352" s="6"/>
      <c r="G352" s="6"/>
      <c r="H352" s="6"/>
      <c r="I352" s="5"/>
      <c r="J352" s="5"/>
      <c r="K352" s="5"/>
      <c r="L352" s="5"/>
      <c r="M352" s="5"/>
    </row>
    <row r="353" spans="1:13">
      <c r="A353" s="5" t="s">
        <v>13</v>
      </c>
      <c r="B353" s="5"/>
      <c r="C353" s="5"/>
      <c r="D353" s="5"/>
      <c r="E353" s="6">
        <f>E351-E352</f>
        <v>-6482.8834999999999</v>
      </c>
      <c r="F353" s="6"/>
      <c r="G353" s="6"/>
      <c r="H353" s="6"/>
      <c r="I353" s="5"/>
      <c r="J353" s="5"/>
      <c r="K353" s="5"/>
      <c r="L353" s="5"/>
      <c r="M353" s="5"/>
    </row>
    <row r="355" spans="1:13">
      <c r="A355" s="13">
        <v>44440</v>
      </c>
    </row>
    <row r="356" spans="1:13">
      <c r="A356" s="3" t="s">
        <v>1</v>
      </c>
      <c r="B356" s="3" t="s">
        <v>2</v>
      </c>
      <c r="C356" s="3" t="s">
        <v>3</v>
      </c>
      <c r="D356" s="3" t="s">
        <v>4</v>
      </c>
      <c r="E356" s="3" t="s">
        <v>5</v>
      </c>
      <c r="F356" s="3" t="s">
        <v>36</v>
      </c>
      <c r="G356" s="3" t="s">
        <v>7</v>
      </c>
      <c r="H356" s="3" t="s">
        <v>8</v>
      </c>
      <c r="I356" s="3" t="s">
        <v>14</v>
      </c>
      <c r="J356" s="3" t="s">
        <v>15</v>
      </c>
      <c r="K356" s="3" t="s">
        <v>16</v>
      </c>
      <c r="L356" s="3" t="s">
        <v>17</v>
      </c>
      <c r="M356" s="3" t="s">
        <v>18</v>
      </c>
    </row>
    <row r="357" spans="1:13">
      <c r="A357" s="5" t="s">
        <v>9</v>
      </c>
      <c r="B357" s="5">
        <f>C349</f>
        <v>1469420</v>
      </c>
      <c r="C357" s="5">
        <v>1482002</v>
      </c>
      <c r="D357" s="5">
        <f>C357-B357</f>
        <v>12582</v>
      </c>
      <c r="E357" s="6">
        <f>(18484.71+650.37)*1.15</f>
        <v>22005.341999999997</v>
      </c>
      <c r="F357" s="15">
        <f>2047.86*1.15</f>
        <v>2355.0389999999998</v>
      </c>
      <c r="G357" s="6">
        <f>169.29*1.15</f>
        <v>194.68349999999998</v>
      </c>
      <c r="H357" s="6">
        <f>683.14*1.15</f>
        <v>785.61099999999988</v>
      </c>
      <c r="I357" s="5" t="s">
        <v>81</v>
      </c>
      <c r="J357" s="5">
        <v>30</v>
      </c>
      <c r="K357" s="5" t="s">
        <v>20</v>
      </c>
      <c r="L357" s="5">
        <f>D357/J357</f>
        <v>419.4</v>
      </c>
      <c r="M357" s="6">
        <f>(E357+F357)/D357</f>
        <v>1.9361294706723888</v>
      </c>
    </row>
    <row r="358" spans="1:13">
      <c r="A358" s="5" t="s">
        <v>10</v>
      </c>
      <c r="B358" s="5">
        <f>C350</f>
        <v>1466135</v>
      </c>
      <c r="C358" s="5">
        <v>1479886</v>
      </c>
      <c r="D358" s="5">
        <f>C358-B358</f>
        <v>13751</v>
      </c>
      <c r="E358" s="6">
        <f>22440.26*1.15</f>
        <v>25806.298999999995</v>
      </c>
      <c r="F358" s="15"/>
      <c r="G358" s="6">
        <f>169.29*1.15</f>
        <v>194.68349999999998</v>
      </c>
      <c r="H358" s="6">
        <f>683.14*1.15</f>
        <v>785.61099999999988</v>
      </c>
      <c r="I358" s="5" t="s">
        <v>81</v>
      </c>
      <c r="J358" s="5">
        <v>30</v>
      </c>
      <c r="K358" s="5" t="s">
        <v>20</v>
      </c>
      <c r="L358" s="5">
        <f>D358/J358</f>
        <v>458.36666666666667</v>
      </c>
      <c r="M358" s="6">
        <f>E358/D358</f>
        <v>1.8766852592538721</v>
      </c>
    </row>
    <row r="359" spans="1:13">
      <c r="A359" s="5" t="s">
        <v>11</v>
      </c>
      <c r="B359" s="5"/>
      <c r="C359" s="5"/>
      <c r="D359" s="5"/>
      <c r="E359" s="6">
        <f>E357+F357+G357+H357</f>
        <v>25340.675499999998</v>
      </c>
      <c r="F359" s="6"/>
      <c r="G359" s="6"/>
      <c r="H359" s="6"/>
      <c r="I359" s="5"/>
      <c r="J359" s="5"/>
      <c r="K359" s="5"/>
      <c r="L359" s="5"/>
      <c r="M359" s="5"/>
    </row>
    <row r="360" spans="1:13">
      <c r="A360" s="5" t="s">
        <v>12</v>
      </c>
      <c r="B360" s="5"/>
      <c r="C360" s="5"/>
      <c r="D360" s="5"/>
      <c r="E360" s="6">
        <f>E358+F358+G358+H358</f>
        <v>26786.593499999995</v>
      </c>
      <c r="F360" s="6"/>
      <c r="G360" s="6"/>
      <c r="H360" s="6"/>
      <c r="I360" s="5"/>
      <c r="J360" s="5"/>
      <c r="K360" s="5"/>
      <c r="L360" s="5"/>
      <c r="M360" s="5"/>
    </row>
    <row r="361" spans="1:13">
      <c r="A361" s="5" t="s">
        <v>13</v>
      </c>
      <c r="B361" s="5"/>
      <c r="C361" s="5"/>
      <c r="D361" s="5"/>
      <c r="E361" s="6">
        <f>E359-E360</f>
        <v>-1445.9179999999978</v>
      </c>
      <c r="F361" s="6"/>
      <c r="G361" s="6"/>
      <c r="H361" s="6"/>
      <c r="I361" s="5"/>
      <c r="J361" s="5"/>
      <c r="K361" s="5"/>
      <c r="L361" s="5"/>
      <c r="M361" s="5"/>
    </row>
    <row r="363" spans="1:13">
      <c r="A363" s="13">
        <v>44470</v>
      </c>
    </row>
    <row r="364" spans="1:13">
      <c r="A364" s="3" t="s">
        <v>1</v>
      </c>
      <c r="B364" s="3" t="s">
        <v>2</v>
      </c>
      <c r="C364" s="3" t="s">
        <v>3</v>
      </c>
      <c r="D364" s="3" t="s">
        <v>4</v>
      </c>
      <c r="E364" s="3" t="s">
        <v>5</v>
      </c>
      <c r="F364" s="3" t="s">
        <v>36</v>
      </c>
      <c r="G364" s="3" t="s">
        <v>7</v>
      </c>
      <c r="H364" s="3" t="s">
        <v>8</v>
      </c>
      <c r="I364" s="3" t="s">
        <v>14</v>
      </c>
      <c r="J364" s="3" t="s">
        <v>15</v>
      </c>
      <c r="K364" s="3" t="s">
        <v>16</v>
      </c>
      <c r="L364" s="3" t="s">
        <v>17</v>
      </c>
      <c r="M364" s="3" t="s">
        <v>18</v>
      </c>
    </row>
    <row r="365" spans="1:13">
      <c r="A365" s="5" t="s">
        <v>9</v>
      </c>
      <c r="B365" s="5">
        <f>C357</f>
        <v>1482002</v>
      </c>
      <c r="C365" s="5">
        <v>1495089</v>
      </c>
      <c r="D365" s="5">
        <f>C365-B365</f>
        <v>13087</v>
      </c>
      <c r="E365" s="6">
        <f>(19325.75+590.06)*1.15</f>
        <v>22903.181499999999</v>
      </c>
      <c r="F365" s="15">
        <f>2030.92*1.15</f>
        <v>2335.558</v>
      </c>
      <c r="G365" s="6">
        <f>169.29*1.15</f>
        <v>194.68349999999998</v>
      </c>
      <c r="H365" s="6">
        <f>683.14*1.15</f>
        <v>785.61099999999988</v>
      </c>
      <c r="I365" s="5" t="s">
        <v>82</v>
      </c>
      <c r="J365" s="5">
        <v>33</v>
      </c>
      <c r="K365" s="5" t="s">
        <v>20</v>
      </c>
      <c r="L365" s="5">
        <f>D365/J365</f>
        <v>396.57575757575756</v>
      </c>
      <c r="M365" s="6">
        <f>(E365+F365)/D365</f>
        <v>1.9285351493848857</v>
      </c>
    </row>
    <row r="366" spans="1:13">
      <c r="A366" s="5" t="s">
        <v>10</v>
      </c>
      <c r="B366" s="5">
        <f>C358</f>
        <v>1479886</v>
      </c>
      <c r="C366" s="5">
        <v>1491827</v>
      </c>
      <c r="D366" s="5">
        <f>C366-B366</f>
        <v>11941</v>
      </c>
      <c r="E366" s="6">
        <f>19486.52*1.15</f>
        <v>22409.498</v>
      </c>
      <c r="F366" s="15"/>
      <c r="G366" s="6">
        <f>169.29*1.15</f>
        <v>194.68349999999998</v>
      </c>
      <c r="H366" s="6">
        <f>683.14*1.15</f>
        <v>785.61099999999988</v>
      </c>
      <c r="I366" s="5" t="s">
        <v>83</v>
      </c>
      <c r="J366" s="5">
        <v>31</v>
      </c>
      <c r="K366" s="5" t="s">
        <v>20</v>
      </c>
      <c r="L366" s="5">
        <f>D366/J366</f>
        <v>385.19354838709677</v>
      </c>
      <c r="M366" s="6">
        <f>E366/D366</f>
        <v>1.8766852022443681</v>
      </c>
    </row>
    <row r="367" spans="1:13">
      <c r="A367" s="5" t="s">
        <v>11</v>
      </c>
      <c r="B367" s="5"/>
      <c r="C367" s="5"/>
      <c r="D367" s="5"/>
      <c r="E367" s="6">
        <f>E365+F365+G365+H365</f>
        <v>26219.034</v>
      </c>
      <c r="F367" s="6"/>
      <c r="G367" s="6"/>
      <c r="H367" s="6"/>
      <c r="I367" s="5"/>
      <c r="J367" s="5"/>
      <c r="K367" s="5"/>
      <c r="L367" s="5"/>
      <c r="M367" s="5"/>
    </row>
    <row r="368" spans="1:13">
      <c r="A368" s="5" t="s">
        <v>12</v>
      </c>
      <c r="B368" s="5"/>
      <c r="C368" s="5"/>
      <c r="D368" s="5"/>
      <c r="E368" s="6">
        <f>E366+F366+G366+H366</f>
        <v>23389.7925</v>
      </c>
      <c r="F368" s="6"/>
      <c r="G368" s="6"/>
      <c r="H368" s="6"/>
      <c r="I368" s="5"/>
      <c r="J368" s="5"/>
      <c r="K368" s="5"/>
      <c r="L368" s="5"/>
      <c r="M368" s="5"/>
    </row>
    <row r="369" spans="1:13">
      <c r="A369" s="5" t="s">
        <v>13</v>
      </c>
      <c r="B369" s="5"/>
      <c r="C369" s="5"/>
      <c r="D369" s="5"/>
      <c r="E369" s="6">
        <f>E367-E368</f>
        <v>2829.2415000000001</v>
      </c>
      <c r="F369" s="6"/>
      <c r="G369" s="6"/>
      <c r="H369" s="6"/>
      <c r="I369" s="5"/>
      <c r="J369" s="5"/>
      <c r="K369" s="5"/>
      <c r="L369" s="5"/>
      <c r="M369" s="5"/>
    </row>
    <row r="371" spans="1:13">
      <c r="A371" s="13">
        <v>44501</v>
      </c>
    </row>
    <row r="372" spans="1:13">
      <c r="A372" s="3" t="s">
        <v>1</v>
      </c>
      <c r="B372" s="3" t="s">
        <v>2</v>
      </c>
      <c r="C372" s="3" t="s">
        <v>3</v>
      </c>
      <c r="D372" s="3" t="s">
        <v>4</v>
      </c>
      <c r="E372" s="3" t="s">
        <v>5</v>
      </c>
      <c r="F372" s="3" t="s">
        <v>36</v>
      </c>
      <c r="G372" s="3" t="s">
        <v>7</v>
      </c>
      <c r="H372" s="3" t="s">
        <v>8</v>
      </c>
      <c r="I372" s="3" t="s">
        <v>14</v>
      </c>
      <c r="J372" s="3" t="s">
        <v>15</v>
      </c>
      <c r="K372" s="3" t="s">
        <v>16</v>
      </c>
      <c r="L372" s="3" t="s">
        <v>17</v>
      </c>
      <c r="M372" s="3" t="s">
        <v>18</v>
      </c>
    </row>
    <row r="373" spans="1:13">
      <c r="A373" s="5" t="s">
        <v>9</v>
      </c>
      <c r="B373" s="5">
        <f>C365</f>
        <v>1495089</v>
      </c>
      <c r="C373" s="5">
        <v>1506284</v>
      </c>
      <c r="D373" s="5">
        <f>C373-B373</f>
        <v>11195</v>
      </c>
      <c r="E373" s="6">
        <f>(16268.12+446.62)*1.15</f>
        <v>19221.951000000001</v>
      </c>
      <c r="F373" s="15">
        <f>2001*1.15</f>
        <v>2301.1499999999996</v>
      </c>
      <c r="G373" s="6">
        <f>169.29*1.15</f>
        <v>194.68349999999998</v>
      </c>
      <c r="H373" s="6">
        <f>683.14*1.15</f>
        <v>785.61099999999988</v>
      </c>
      <c r="I373" s="5" t="s">
        <v>84</v>
      </c>
      <c r="J373" s="5">
        <v>28</v>
      </c>
      <c r="K373" s="5" t="s">
        <v>20</v>
      </c>
      <c r="L373" s="5">
        <f>D373/J373</f>
        <v>399.82142857142856</v>
      </c>
      <c r="M373" s="6">
        <f>(E373+F373)/D373</f>
        <v>1.9225637338097368</v>
      </c>
    </row>
    <row r="374" spans="1:13">
      <c r="A374" s="5" t="s">
        <v>10</v>
      </c>
      <c r="B374" s="5">
        <f>C366</f>
        <v>1491827</v>
      </c>
      <c r="C374" s="5">
        <v>1503951</v>
      </c>
      <c r="D374" s="5">
        <f>C374-B374</f>
        <v>12124</v>
      </c>
      <c r="E374" s="6">
        <f>19785.16*1.15</f>
        <v>22752.933999999997</v>
      </c>
      <c r="F374" s="15"/>
      <c r="G374" s="6">
        <f>169.29*1.15</f>
        <v>194.68349999999998</v>
      </c>
      <c r="H374" s="6">
        <f>683.14*1.15</f>
        <v>785.61099999999988</v>
      </c>
      <c r="I374" s="5" t="s">
        <v>83</v>
      </c>
      <c r="J374" s="5">
        <v>31</v>
      </c>
      <c r="K374" s="5" t="s">
        <v>20</v>
      </c>
      <c r="L374" s="5">
        <f>D374/J374</f>
        <v>391.09677419354841</v>
      </c>
      <c r="M374" s="6">
        <f>E374/D374</f>
        <v>1.8766854173540084</v>
      </c>
    </row>
    <row r="375" spans="1:13">
      <c r="A375" s="5" t="s">
        <v>11</v>
      </c>
      <c r="B375" s="5"/>
      <c r="C375" s="5"/>
      <c r="D375" s="5"/>
      <c r="E375" s="6">
        <f>E373+F373+G373+H373</f>
        <v>22503.395500000002</v>
      </c>
      <c r="F375" s="6"/>
      <c r="G375" s="6"/>
      <c r="H375" s="6"/>
      <c r="I375" s="5"/>
      <c r="J375" s="5"/>
      <c r="K375" s="5"/>
      <c r="L375" s="5"/>
      <c r="M375" s="5"/>
    </row>
    <row r="376" spans="1:13">
      <c r="A376" s="5" t="s">
        <v>12</v>
      </c>
      <c r="B376" s="5"/>
      <c r="C376" s="5"/>
      <c r="D376" s="5"/>
      <c r="E376" s="6">
        <f>E374+F374+G374+H374</f>
        <v>23733.228499999997</v>
      </c>
      <c r="F376" s="6"/>
      <c r="G376" s="6"/>
      <c r="H376" s="6"/>
      <c r="I376" s="5"/>
      <c r="J376" s="5"/>
      <c r="K376" s="5"/>
      <c r="L376" s="5"/>
      <c r="M376" s="5"/>
    </row>
    <row r="377" spans="1:13">
      <c r="A377" s="5" t="s">
        <v>13</v>
      </c>
      <c r="B377" s="5"/>
      <c r="C377" s="5"/>
      <c r="D377" s="5"/>
      <c r="E377" s="6">
        <f>E375-E376</f>
        <v>-1229.8329999999951</v>
      </c>
      <c r="F377" s="6"/>
      <c r="G377" s="6"/>
      <c r="H377" s="6"/>
      <c r="I377" s="5"/>
      <c r="J377" s="5"/>
      <c r="K377" s="5"/>
      <c r="L377" s="5"/>
      <c r="M377" s="5"/>
    </row>
    <row r="379" spans="1:13">
      <c r="A379" s="13">
        <v>44531</v>
      </c>
    </row>
    <row r="380" spans="1:13">
      <c r="A380" s="3" t="s">
        <v>1</v>
      </c>
      <c r="B380" s="3" t="s">
        <v>2</v>
      </c>
      <c r="C380" s="3" t="s">
        <v>3</v>
      </c>
      <c r="D380" s="3" t="s">
        <v>4</v>
      </c>
      <c r="E380" s="3" t="s">
        <v>5</v>
      </c>
      <c r="F380" s="3" t="s">
        <v>36</v>
      </c>
      <c r="G380" s="3" t="s">
        <v>7</v>
      </c>
      <c r="H380" s="3" t="s">
        <v>8</v>
      </c>
      <c r="I380" s="3" t="s">
        <v>14</v>
      </c>
      <c r="J380" s="3" t="s">
        <v>15</v>
      </c>
      <c r="K380" s="3" t="s">
        <v>16</v>
      </c>
      <c r="L380" s="3" t="s">
        <v>17</v>
      </c>
      <c r="M380" s="3" t="s">
        <v>18</v>
      </c>
    </row>
    <row r="381" spans="1:13">
      <c r="A381" s="5" t="s">
        <v>9</v>
      </c>
      <c r="B381" s="5">
        <f>C373</f>
        <v>1506284</v>
      </c>
      <c r="C381" s="5">
        <v>1517999</v>
      </c>
      <c r="D381" s="5">
        <f>C381-B381</f>
        <v>11715</v>
      </c>
      <c r="E381" s="6">
        <f>(17441.81+469.99)*1.15</f>
        <v>20598.570000000003</v>
      </c>
      <c r="F381" s="15">
        <f>1675.9*1.15</f>
        <v>1927.2849999999999</v>
      </c>
      <c r="G381" s="6">
        <f>169.29*1.15</f>
        <v>194.68349999999998</v>
      </c>
      <c r="H381" s="6">
        <f>683.14*1.15</f>
        <v>785.61099999999988</v>
      </c>
      <c r="I381" s="5" t="s">
        <v>85</v>
      </c>
      <c r="J381" s="5">
        <v>31</v>
      </c>
      <c r="K381" s="5" t="s">
        <v>20</v>
      </c>
      <c r="L381" s="5">
        <f>D381/J381</f>
        <v>377.90322580645159</v>
      </c>
      <c r="M381" s="6">
        <f>(E381+F381)/D381</f>
        <v>1.9228215962441317</v>
      </c>
    </row>
    <row r="382" spans="1:13">
      <c r="A382" s="5" t="s">
        <v>10</v>
      </c>
      <c r="B382" s="5">
        <f>C374</f>
        <v>1503951</v>
      </c>
      <c r="C382" s="5">
        <v>1515915</v>
      </c>
      <c r="D382" s="5">
        <f>C382-B382</f>
        <v>11964</v>
      </c>
      <c r="E382" s="6">
        <f>19524.05*1.15</f>
        <v>22452.657499999998</v>
      </c>
      <c r="F382" s="15"/>
      <c r="G382" s="6">
        <f>169.29*1.15</f>
        <v>194.68349999999998</v>
      </c>
      <c r="H382" s="6">
        <f>683.14*1.15</f>
        <v>785.61099999999988</v>
      </c>
      <c r="I382" s="5" t="s">
        <v>86</v>
      </c>
      <c r="J382" s="5">
        <v>31</v>
      </c>
      <c r="K382" s="5" t="s">
        <v>20</v>
      </c>
      <c r="L382" s="5">
        <f>D382/J382</f>
        <v>385.93548387096774</v>
      </c>
      <c r="M382" s="6">
        <f>E382/D382</f>
        <v>1.8766848462052823</v>
      </c>
    </row>
    <row r="383" spans="1:13">
      <c r="A383" s="5" t="s">
        <v>11</v>
      </c>
      <c r="B383" s="5"/>
      <c r="C383" s="5"/>
      <c r="D383" s="5"/>
      <c r="E383" s="6">
        <f>E381+F381+G381+H381</f>
        <v>23506.149500000003</v>
      </c>
      <c r="F383" s="6"/>
      <c r="G383" s="6"/>
      <c r="H383" s="6"/>
      <c r="I383" s="5"/>
      <c r="J383" s="5"/>
      <c r="K383" s="5"/>
      <c r="L383" s="5"/>
      <c r="M383" s="5"/>
    </row>
    <row r="384" spans="1:13">
      <c r="A384" s="5" t="s">
        <v>12</v>
      </c>
      <c r="B384" s="5"/>
      <c r="C384" s="5"/>
      <c r="D384" s="5"/>
      <c r="E384" s="6">
        <f>E382+F382+G382+H382</f>
        <v>23432.951999999997</v>
      </c>
      <c r="F384" s="6"/>
      <c r="G384" s="6"/>
      <c r="H384" s="6"/>
      <c r="I384" s="5"/>
      <c r="J384" s="5"/>
      <c r="K384" s="5"/>
      <c r="L384" s="5"/>
      <c r="M384" s="5"/>
    </row>
    <row r="385" spans="1:13">
      <c r="A385" s="5" t="s">
        <v>13</v>
      </c>
      <c r="B385" s="5"/>
      <c r="C385" s="5"/>
      <c r="D385" s="5"/>
      <c r="E385" s="6">
        <f>E383-E384</f>
        <v>73.197500000005675</v>
      </c>
      <c r="F385" s="6"/>
      <c r="G385" s="6"/>
      <c r="H385" s="6"/>
      <c r="I385" s="5"/>
      <c r="J385" s="5"/>
      <c r="K385" s="5"/>
      <c r="L385" s="5"/>
      <c r="M385" s="5"/>
    </row>
    <row r="387" spans="1:13">
      <c r="A387" s="13">
        <v>44562</v>
      </c>
    </row>
    <row r="388" spans="1:13">
      <c r="A388" s="3" t="s">
        <v>1</v>
      </c>
      <c r="B388" s="3" t="s">
        <v>2</v>
      </c>
      <c r="C388" s="3" t="s">
        <v>3</v>
      </c>
      <c r="D388" s="3" t="s">
        <v>4</v>
      </c>
      <c r="E388" s="3" t="s">
        <v>5</v>
      </c>
      <c r="F388" s="3" t="s">
        <v>36</v>
      </c>
      <c r="G388" s="3" t="s">
        <v>7</v>
      </c>
      <c r="H388" s="3" t="s">
        <v>8</v>
      </c>
      <c r="I388" s="3" t="s">
        <v>14</v>
      </c>
      <c r="J388" s="3" t="s">
        <v>15</v>
      </c>
      <c r="K388" s="3" t="s">
        <v>16</v>
      </c>
      <c r="L388" s="3" t="s">
        <v>17</v>
      </c>
      <c r="M388" s="3" t="s">
        <v>18</v>
      </c>
    </row>
    <row r="389" spans="1:13">
      <c r="A389" s="5" t="s">
        <v>9</v>
      </c>
      <c r="B389" s="5">
        <f>C381</f>
        <v>1517999</v>
      </c>
      <c r="C389" s="5">
        <v>1529598</v>
      </c>
      <c r="D389" s="5">
        <f>C389-B389</f>
        <v>11599</v>
      </c>
      <c r="E389" s="6">
        <f>(17377.54+522.21)*1.15</f>
        <v>20584.712499999998</v>
      </c>
      <c r="F389" s="15">
        <f>1550.87*1.15</f>
        <v>1783.5004999999996</v>
      </c>
      <c r="G389" s="6">
        <f>169.29*1.15</f>
        <v>194.68349999999998</v>
      </c>
      <c r="H389" s="6">
        <f>683.14*1.15</f>
        <v>785.61099999999988</v>
      </c>
      <c r="I389" s="5" t="s">
        <v>87</v>
      </c>
      <c r="J389" s="5">
        <v>31</v>
      </c>
      <c r="K389" s="5" t="s">
        <v>20</v>
      </c>
      <c r="L389" s="5">
        <f>D389/J389</f>
        <v>374.16129032258067</v>
      </c>
      <c r="M389" s="6">
        <f>(E389+F389)/D389</f>
        <v>1.9284604707302351</v>
      </c>
    </row>
    <row r="390" spans="1:13">
      <c r="A390" s="5" t="s">
        <v>10</v>
      </c>
      <c r="B390" s="5">
        <f>C382</f>
        <v>1515915</v>
      </c>
      <c r="C390" s="5">
        <v>1526894</v>
      </c>
      <c r="D390" s="5">
        <f>C390-B390</f>
        <v>10979</v>
      </c>
      <c r="E390" s="6">
        <f>17916.63*1.15</f>
        <v>20604.124499999998</v>
      </c>
      <c r="F390" s="15"/>
      <c r="G390" s="6">
        <f>169.29*1.15</f>
        <v>194.68349999999998</v>
      </c>
      <c r="H390" s="6">
        <f>683.14*1.15</f>
        <v>785.61099999999988</v>
      </c>
      <c r="I390" s="5" t="s">
        <v>88</v>
      </c>
      <c r="J390" s="5">
        <v>31</v>
      </c>
      <c r="K390" s="5" t="s">
        <v>20</v>
      </c>
      <c r="L390" s="5">
        <f>D390/J390</f>
        <v>354.16129032258067</v>
      </c>
      <c r="M390" s="6">
        <f>E390/D390</f>
        <v>1.8766849895254576</v>
      </c>
    </row>
    <row r="391" spans="1:13">
      <c r="A391" s="5" t="s">
        <v>11</v>
      </c>
      <c r="B391" s="5"/>
      <c r="C391" s="5"/>
      <c r="D391" s="5"/>
      <c r="E391" s="6">
        <f>E389+F389+G389+H389</f>
        <v>23348.507499999996</v>
      </c>
      <c r="F391" s="6"/>
      <c r="G391" s="6"/>
      <c r="H391" s="6"/>
      <c r="I391" s="5"/>
      <c r="J391" s="5"/>
      <c r="K391" s="5"/>
      <c r="L391" s="5"/>
      <c r="M391" s="5"/>
    </row>
    <row r="392" spans="1:13">
      <c r="A392" s="5" t="s">
        <v>12</v>
      </c>
      <c r="B392" s="5"/>
      <c r="C392" s="5"/>
      <c r="D392" s="5"/>
      <c r="E392" s="6">
        <f>E390+F390+G390+H390</f>
        <v>21584.418999999998</v>
      </c>
      <c r="F392" s="6"/>
      <c r="G392" s="6"/>
      <c r="H392" s="6"/>
      <c r="I392" s="5"/>
      <c r="J392" s="5"/>
      <c r="K392" s="5"/>
      <c r="L392" s="5"/>
      <c r="M392" s="5"/>
    </row>
    <row r="393" spans="1:13">
      <c r="A393" s="5" t="s">
        <v>13</v>
      </c>
      <c r="B393" s="5"/>
      <c r="C393" s="5"/>
      <c r="D393" s="5"/>
      <c r="E393" s="6">
        <f>E391-E392</f>
        <v>1764.088499999998</v>
      </c>
      <c r="F393" s="6"/>
      <c r="G393" s="6"/>
      <c r="H393" s="6"/>
      <c r="I393" s="5"/>
      <c r="J393" s="5"/>
      <c r="K393" s="5"/>
      <c r="L393" s="5"/>
      <c r="M393" s="5"/>
    </row>
    <row r="395" spans="1:13">
      <c r="A395" s="13">
        <v>44593</v>
      </c>
    </row>
    <row r="396" spans="1:13">
      <c r="A396" s="3" t="s">
        <v>1</v>
      </c>
      <c r="B396" s="3" t="s">
        <v>2</v>
      </c>
      <c r="C396" s="3" t="s">
        <v>3</v>
      </c>
      <c r="D396" s="3" t="s">
        <v>4</v>
      </c>
      <c r="E396" s="3" t="s">
        <v>5</v>
      </c>
      <c r="F396" s="3" t="s">
        <v>36</v>
      </c>
      <c r="G396" s="3" t="s">
        <v>7</v>
      </c>
      <c r="H396" s="3" t="s">
        <v>8</v>
      </c>
      <c r="I396" s="3" t="s">
        <v>14</v>
      </c>
      <c r="J396" s="3" t="s">
        <v>15</v>
      </c>
      <c r="K396" s="3" t="s">
        <v>16</v>
      </c>
      <c r="L396" s="3" t="s">
        <v>17</v>
      </c>
      <c r="M396" s="3" t="s">
        <v>18</v>
      </c>
    </row>
    <row r="397" spans="1:13">
      <c r="A397" s="5" t="s">
        <v>9</v>
      </c>
      <c r="B397" s="5">
        <f>C389</f>
        <v>1529598</v>
      </c>
      <c r="C397" s="5">
        <v>1542665</v>
      </c>
      <c r="D397" s="5">
        <f>C397-B397</f>
        <v>13067</v>
      </c>
      <c r="E397" s="6">
        <f>(19468.08+472.7)*1.15</f>
        <v>22931.897000000001</v>
      </c>
      <c r="F397" s="15">
        <f>1675.96*1.15</f>
        <v>1927.3539999999998</v>
      </c>
      <c r="G397" s="6">
        <f>169.29*1.15</f>
        <v>194.68349999999998</v>
      </c>
      <c r="H397" s="6">
        <f>683.14*1.15</f>
        <v>785.61099999999988</v>
      </c>
      <c r="I397" s="5" t="s">
        <v>89</v>
      </c>
      <c r="J397" s="5">
        <v>28</v>
      </c>
      <c r="K397" s="5" t="s">
        <v>20</v>
      </c>
      <c r="L397" s="5">
        <f>D397/J397</f>
        <v>466.67857142857144</v>
      </c>
      <c r="M397" s="6">
        <f>(E397+F397)/D397</f>
        <v>1.9024451672151221</v>
      </c>
    </row>
    <row r="398" spans="1:13">
      <c r="A398" s="5" t="s">
        <v>10</v>
      </c>
      <c r="B398" s="5">
        <f>C390</f>
        <v>1526894</v>
      </c>
      <c r="C398" s="5">
        <v>1537420</v>
      </c>
      <c r="D398" s="5">
        <f>C398-B398</f>
        <v>10526</v>
      </c>
      <c r="E398" s="6">
        <f>17177.38*1.15</f>
        <v>19753.987000000001</v>
      </c>
      <c r="F398" s="15"/>
      <c r="G398" s="6">
        <f>169.29*1.15</f>
        <v>194.68349999999998</v>
      </c>
      <c r="H398" s="6">
        <f>683.14*1.15</f>
        <v>785.61099999999988</v>
      </c>
      <c r="I398" s="5" t="s">
        <v>90</v>
      </c>
      <c r="J398" s="5">
        <v>28</v>
      </c>
      <c r="K398" s="5" t="s">
        <v>20</v>
      </c>
      <c r="L398" s="5">
        <f>D398/J398</f>
        <v>375.92857142857144</v>
      </c>
      <c r="M398" s="6">
        <f>E398/D398</f>
        <v>1.8766850655519667</v>
      </c>
    </row>
    <row r="399" spans="1:13">
      <c r="A399" s="5" t="s">
        <v>11</v>
      </c>
      <c r="B399" s="5"/>
      <c r="C399" s="5"/>
      <c r="D399" s="5"/>
      <c r="E399" s="6">
        <f>E397+F397+G397+H397</f>
        <v>25839.5455</v>
      </c>
      <c r="F399" s="6"/>
      <c r="G399" s="6"/>
      <c r="H399" s="6"/>
      <c r="I399" s="5"/>
      <c r="J399" s="5"/>
      <c r="K399" s="5"/>
      <c r="L399" s="5"/>
      <c r="M399" s="5"/>
    </row>
    <row r="400" spans="1:13">
      <c r="A400" s="5" t="s">
        <v>12</v>
      </c>
      <c r="B400" s="5"/>
      <c r="C400" s="5"/>
      <c r="D400" s="5"/>
      <c r="E400" s="6">
        <f>E398+F398+G398+H398</f>
        <v>20734.281500000001</v>
      </c>
      <c r="F400" s="6"/>
      <c r="G400" s="6"/>
      <c r="H400" s="6"/>
      <c r="I400" s="5"/>
      <c r="J400" s="5"/>
      <c r="K400" s="5"/>
      <c r="L400" s="5"/>
      <c r="M400" s="5"/>
    </row>
    <row r="401" spans="1:13">
      <c r="A401" s="5" t="s">
        <v>13</v>
      </c>
      <c r="B401" s="5"/>
      <c r="C401" s="5"/>
      <c r="D401" s="5"/>
      <c r="E401" s="6">
        <f>E399-E400</f>
        <v>5105.2639999999992</v>
      </c>
      <c r="F401" s="6"/>
      <c r="G401" s="6"/>
      <c r="H401" s="6"/>
      <c r="I401" s="5"/>
      <c r="J401" s="5"/>
      <c r="K401" s="5"/>
      <c r="L401" s="5"/>
      <c r="M401" s="5"/>
    </row>
    <row r="403" spans="1:13">
      <c r="A403" s="13">
        <v>44621</v>
      </c>
    </row>
    <row r="404" spans="1:13">
      <c r="A404" s="3" t="s">
        <v>1</v>
      </c>
      <c r="B404" s="3" t="s">
        <v>2</v>
      </c>
      <c r="C404" s="3" t="s">
        <v>3</v>
      </c>
      <c r="D404" s="3" t="s">
        <v>4</v>
      </c>
      <c r="E404" s="3" t="s">
        <v>5</v>
      </c>
      <c r="F404" s="3" t="s">
        <v>36</v>
      </c>
      <c r="G404" s="3" t="s">
        <v>7</v>
      </c>
      <c r="H404" s="3" t="s">
        <v>8</v>
      </c>
      <c r="I404" s="3" t="s">
        <v>14</v>
      </c>
      <c r="J404" s="3" t="s">
        <v>15</v>
      </c>
      <c r="K404" s="3" t="s">
        <v>16</v>
      </c>
      <c r="L404" s="3" t="s">
        <v>17</v>
      </c>
      <c r="M404" s="3" t="s">
        <v>18</v>
      </c>
    </row>
    <row r="405" spans="1:13">
      <c r="A405" s="5" t="s">
        <v>9</v>
      </c>
      <c r="B405" s="5">
        <f>C397</f>
        <v>1542665</v>
      </c>
      <c r="C405" s="5">
        <v>1556621</v>
      </c>
      <c r="D405" s="5">
        <f>C405-B405</f>
        <v>13956</v>
      </c>
      <c r="E405" s="6">
        <f>(21131.73+621.75)*1.15</f>
        <v>25016.501999999997</v>
      </c>
      <c r="F405" s="15">
        <f>1643.07*1.15</f>
        <v>1889.5304999999998</v>
      </c>
      <c r="G405" s="6">
        <f>169.29*1.15</f>
        <v>194.68349999999998</v>
      </c>
      <c r="H405" s="6">
        <f>683.14*1.15</f>
        <v>785.61099999999988</v>
      </c>
      <c r="I405" s="5" t="s">
        <v>91</v>
      </c>
      <c r="J405" s="5">
        <v>31</v>
      </c>
      <c r="K405" s="5" t="s">
        <v>20</v>
      </c>
      <c r="L405" s="5">
        <f>D405/J405</f>
        <v>450.19354838709677</v>
      </c>
      <c r="M405" s="6">
        <f>(E405+F405)/D405</f>
        <v>1.9279186371453136</v>
      </c>
    </row>
    <row r="406" spans="1:13">
      <c r="A406" s="5" t="s">
        <v>10</v>
      </c>
      <c r="B406" s="5">
        <f>C398</f>
        <v>1537420</v>
      </c>
      <c r="C406" s="5">
        <v>1553785</v>
      </c>
      <c r="D406" s="5">
        <f>C406-B406</f>
        <v>16365</v>
      </c>
      <c r="E406" s="6">
        <f>26706.04*1.15</f>
        <v>30711.946</v>
      </c>
      <c r="F406" s="15"/>
      <c r="G406" s="6">
        <f>169.29*1.15</f>
        <v>194.68349999999998</v>
      </c>
      <c r="H406" s="6">
        <f>683.14*1.15</f>
        <v>785.61099999999988</v>
      </c>
      <c r="I406" s="5" t="s">
        <v>92</v>
      </c>
      <c r="J406" s="5">
        <v>31</v>
      </c>
      <c r="K406" s="5" t="s">
        <v>20</v>
      </c>
      <c r="L406" s="5">
        <f>D406/J406</f>
        <v>527.90322580645159</v>
      </c>
      <c r="M406" s="6">
        <f>E406/D406</f>
        <v>1.8766847540482738</v>
      </c>
    </row>
    <row r="407" spans="1:13">
      <c r="A407" s="5" t="s">
        <v>11</v>
      </c>
      <c r="B407" s="5"/>
      <c r="C407" s="5"/>
      <c r="D407" s="5"/>
      <c r="E407" s="6">
        <f>E405+F405+G405+H405</f>
        <v>27886.326999999997</v>
      </c>
      <c r="F407" s="6"/>
      <c r="G407" s="6"/>
      <c r="H407" s="6"/>
      <c r="I407" s="5"/>
      <c r="J407" s="5"/>
      <c r="K407" s="5"/>
      <c r="L407" s="5"/>
      <c r="M407" s="5"/>
    </row>
    <row r="408" spans="1:13">
      <c r="A408" s="5" t="s">
        <v>12</v>
      </c>
      <c r="B408" s="5"/>
      <c r="C408" s="5"/>
      <c r="D408" s="5"/>
      <c r="E408" s="6">
        <f>E406+F406+G406+H406</f>
        <v>31692.2405</v>
      </c>
      <c r="F408" s="6"/>
      <c r="G408" s="6"/>
      <c r="H408" s="6"/>
      <c r="I408" s="5"/>
      <c r="J408" s="5"/>
      <c r="K408" s="5"/>
      <c r="L408" s="5"/>
      <c r="M408" s="5"/>
    </row>
    <row r="409" spans="1:13">
      <c r="A409" s="5" t="s">
        <v>13</v>
      </c>
      <c r="B409" s="5"/>
      <c r="C409" s="5"/>
      <c r="D409" s="5"/>
      <c r="E409" s="6">
        <f>E407-E408</f>
        <v>-3805.9135000000024</v>
      </c>
      <c r="F409" s="6"/>
      <c r="G409" s="6"/>
      <c r="H409" s="6"/>
      <c r="I409" s="5"/>
      <c r="J409" s="5"/>
      <c r="K409" s="5"/>
      <c r="L409" s="5"/>
      <c r="M409" s="5"/>
    </row>
    <row r="411" spans="1:13">
      <c r="A411" s="13">
        <v>44652</v>
      </c>
    </row>
    <row r="412" spans="1:13">
      <c r="A412" s="3" t="s">
        <v>1</v>
      </c>
      <c r="B412" s="3" t="s">
        <v>2</v>
      </c>
      <c r="C412" s="3" t="s">
        <v>3</v>
      </c>
      <c r="D412" s="3" t="s">
        <v>4</v>
      </c>
      <c r="E412" s="3" t="s">
        <v>5</v>
      </c>
      <c r="F412" s="3" t="s">
        <v>36</v>
      </c>
      <c r="G412" s="3" t="s">
        <v>7</v>
      </c>
      <c r="H412" s="3" t="s">
        <v>8</v>
      </c>
      <c r="I412" s="3" t="s">
        <v>14</v>
      </c>
      <c r="J412" s="3" t="s">
        <v>15</v>
      </c>
      <c r="K412" s="3" t="s">
        <v>16</v>
      </c>
      <c r="L412" s="3" t="s">
        <v>17</v>
      </c>
      <c r="M412" s="3" t="s">
        <v>18</v>
      </c>
    </row>
    <row r="413" spans="1:13">
      <c r="A413" s="5" t="s">
        <v>9</v>
      </c>
      <c r="B413" s="5">
        <f>C405</f>
        <v>1556621</v>
      </c>
      <c r="C413" s="5">
        <v>1570564</v>
      </c>
      <c r="D413" s="5">
        <f>C413-B413</f>
        <v>13943</v>
      </c>
      <c r="E413" s="6">
        <f>(21196.99+621.75)*1.15</f>
        <v>25091.550999999999</v>
      </c>
      <c r="F413" s="15">
        <f>1556.59*1.15</f>
        <v>1790.0784999999998</v>
      </c>
      <c r="G413" s="6">
        <f>169.29*1.15</f>
        <v>194.68349999999998</v>
      </c>
      <c r="H413" s="6">
        <f>683.14*1.15</f>
        <v>785.61099999999988</v>
      </c>
      <c r="I413" s="5" t="s">
        <v>93</v>
      </c>
      <c r="J413" s="5">
        <v>30</v>
      </c>
      <c r="K413" s="5" t="s">
        <v>20</v>
      </c>
      <c r="L413" s="5">
        <f>D413/J413</f>
        <v>464.76666666666665</v>
      </c>
      <c r="M413" s="6">
        <f>(E413+F413)/D413</f>
        <v>1.9279659685863875</v>
      </c>
    </row>
    <row r="414" spans="1:13">
      <c r="A414" s="5" t="s">
        <v>10</v>
      </c>
      <c r="B414" s="5">
        <f>C406</f>
        <v>1553785</v>
      </c>
      <c r="C414" s="5">
        <v>1568355</v>
      </c>
      <c r="D414" s="5">
        <f>C414-B414</f>
        <v>14570</v>
      </c>
      <c r="E414" s="6">
        <f>23776.78*1.15</f>
        <v>27343.296999999995</v>
      </c>
      <c r="F414" s="15"/>
      <c r="G414" s="6">
        <f>169.29*1.15</f>
        <v>194.68349999999998</v>
      </c>
      <c r="H414" s="6">
        <f>683.14*1.15</f>
        <v>785.61099999999988</v>
      </c>
      <c r="I414" s="5" t="s">
        <v>94</v>
      </c>
      <c r="J414" s="5">
        <v>30</v>
      </c>
      <c r="K414" s="5" t="s">
        <v>20</v>
      </c>
      <c r="L414" s="5">
        <f>D414/J414</f>
        <v>485.66666666666669</v>
      </c>
      <c r="M414" s="6">
        <f>E414/D414</f>
        <v>1.8766847632120793</v>
      </c>
    </row>
    <row r="415" spans="1:13">
      <c r="A415" s="5" t="s">
        <v>11</v>
      </c>
      <c r="B415" s="5"/>
      <c r="C415" s="5"/>
      <c r="D415" s="5"/>
      <c r="E415" s="6">
        <f>E413+F413+G413+H413</f>
        <v>27861.923999999999</v>
      </c>
      <c r="F415" s="6"/>
      <c r="G415" s="6"/>
      <c r="H415" s="6"/>
      <c r="I415" s="5"/>
      <c r="J415" s="5"/>
      <c r="K415" s="5"/>
      <c r="L415" s="5"/>
      <c r="M415" s="5"/>
    </row>
    <row r="416" spans="1:13">
      <c r="A416" s="5" t="s">
        <v>12</v>
      </c>
      <c r="B416" s="5"/>
      <c r="C416" s="5"/>
      <c r="D416" s="5"/>
      <c r="E416" s="6">
        <f>E414+F414+G414+H414</f>
        <v>28323.591499999995</v>
      </c>
      <c r="F416" s="6"/>
      <c r="G416" s="6"/>
      <c r="H416" s="6"/>
      <c r="I416" s="5"/>
      <c r="J416" s="5"/>
      <c r="K416" s="5"/>
      <c r="L416" s="5"/>
      <c r="M416" s="5"/>
    </row>
    <row r="417" spans="1:13">
      <c r="A417" s="5" t="s">
        <v>13</v>
      </c>
      <c r="B417" s="5"/>
      <c r="C417" s="5"/>
      <c r="D417" s="5"/>
      <c r="E417" s="6">
        <f>E415-E416</f>
        <v>-461.66749999999593</v>
      </c>
      <c r="F417" s="6"/>
      <c r="G417" s="6"/>
      <c r="H417" s="6"/>
      <c r="I417" s="5"/>
      <c r="J417" s="5"/>
      <c r="K417" s="5"/>
      <c r="L417" s="5"/>
      <c r="M417" s="5"/>
    </row>
    <row r="419" spans="1:13">
      <c r="A419" s="13">
        <v>44682</v>
      </c>
    </row>
    <row r="420" spans="1:13">
      <c r="A420" s="3" t="s">
        <v>1</v>
      </c>
      <c r="B420" s="3" t="s">
        <v>2</v>
      </c>
      <c r="C420" s="3" t="s">
        <v>3</v>
      </c>
      <c r="D420" s="3" t="s">
        <v>4</v>
      </c>
      <c r="E420" s="3" t="s">
        <v>5</v>
      </c>
      <c r="F420" s="3" t="s">
        <v>36</v>
      </c>
      <c r="G420" s="3" t="s">
        <v>7</v>
      </c>
      <c r="H420" s="3" t="s">
        <v>8</v>
      </c>
      <c r="I420" s="3" t="s">
        <v>14</v>
      </c>
      <c r="J420" s="3" t="s">
        <v>15</v>
      </c>
      <c r="K420" s="3" t="s">
        <v>16</v>
      </c>
      <c r="L420" s="3" t="s">
        <v>17</v>
      </c>
      <c r="M420" s="3" t="s">
        <v>18</v>
      </c>
    </row>
    <row r="421" spans="1:13">
      <c r="A421" s="5" t="s">
        <v>9</v>
      </c>
      <c r="B421" s="5">
        <f>C413</f>
        <v>1570564</v>
      </c>
      <c r="C421" s="5">
        <v>1587179</v>
      </c>
      <c r="D421" s="5">
        <f>C421-B421</f>
        <v>16615</v>
      </c>
      <c r="E421" s="6">
        <f>(24906.97+613.59)*1.15</f>
        <v>29348.644</v>
      </c>
      <c r="F421" s="15">
        <f>2207.04*1.15</f>
        <v>2538.0959999999995</v>
      </c>
      <c r="G421" s="6">
        <f>169.29*1.15</f>
        <v>194.68349999999998</v>
      </c>
      <c r="H421" s="6">
        <f>683.14*1.15</f>
        <v>785.61099999999988</v>
      </c>
      <c r="I421" s="5" t="s">
        <v>95</v>
      </c>
      <c r="J421" s="5">
        <v>31</v>
      </c>
      <c r="K421" s="5" t="s">
        <v>20</v>
      </c>
      <c r="L421" s="5">
        <f>D421/J421</f>
        <v>535.9677419354839</v>
      </c>
      <c r="M421" s="6">
        <f>(E421+F421)/D421</f>
        <v>1.919153776707794</v>
      </c>
    </row>
    <row r="422" spans="1:13">
      <c r="A422" s="5" t="s">
        <v>10</v>
      </c>
      <c r="B422" s="5">
        <f>C414</f>
        <v>1568355</v>
      </c>
      <c r="C422" s="5">
        <v>1583670</v>
      </c>
      <c r="D422" s="5">
        <f>C422-B422</f>
        <v>15315</v>
      </c>
      <c r="E422" s="6">
        <f>24992.55*1.15</f>
        <v>28741.432499999995</v>
      </c>
      <c r="F422" s="15"/>
      <c r="G422" s="6">
        <f>169.29*1.15</f>
        <v>194.68349999999998</v>
      </c>
      <c r="H422" s="6">
        <f>683.14*1.15</f>
        <v>785.61099999999988</v>
      </c>
      <c r="I422" s="5" t="s">
        <v>96</v>
      </c>
      <c r="J422" s="5">
        <v>31</v>
      </c>
      <c r="K422" s="5" t="s">
        <v>20</v>
      </c>
      <c r="L422" s="5">
        <f>D422/J422</f>
        <v>494.03225806451616</v>
      </c>
      <c r="M422" s="6">
        <f>E422/D422</f>
        <v>1.8766851126346715</v>
      </c>
    </row>
    <row r="423" spans="1:13">
      <c r="A423" s="5" t="s">
        <v>11</v>
      </c>
      <c r="B423" s="5"/>
      <c r="C423" s="5"/>
      <c r="D423" s="5"/>
      <c r="E423" s="6">
        <f>E421+F421+G421+H421</f>
        <v>32867.034499999994</v>
      </c>
      <c r="F423" s="6"/>
      <c r="G423" s="6"/>
      <c r="H423" s="6"/>
      <c r="I423" s="5"/>
      <c r="J423" s="5"/>
      <c r="K423" s="5"/>
      <c r="L423" s="5"/>
      <c r="M423" s="5"/>
    </row>
    <row r="424" spans="1:13">
      <c r="A424" s="5" t="s">
        <v>12</v>
      </c>
      <c r="B424" s="5"/>
      <c r="C424" s="5"/>
      <c r="D424" s="5"/>
      <c r="E424" s="6">
        <f>E422+F422+G422+H422</f>
        <v>29721.726999999995</v>
      </c>
      <c r="F424" s="6"/>
      <c r="G424" s="6"/>
      <c r="H424" s="6"/>
      <c r="I424" s="5"/>
      <c r="J424" s="5"/>
      <c r="K424" s="5"/>
      <c r="L424" s="5"/>
      <c r="M424" s="5"/>
    </row>
    <row r="425" spans="1:13">
      <c r="A425" s="5" t="s">
        <v>13</v>
      </c>
      <c r="B425" s="5"/>
      <c r="C425" s="5"/>
      <c r="D425" s="5"/>
      <c r="E425" s="6">
        <f>E423-E424</f>
        <v>3145.307499999999</v>
      </c>
      <c r="F425" s="6"/>
      <c r="G425" s="6"/>
      <c r="H425" s="6"/>
      <c r="I425" s="5"/>
      <c r="J425" s="5"/>
      <c r="K425" s="5"/>
      <c r="L425" s="5"/>
      <c r="M425" s="5"/>
    </row>
    <row r="427" spans="1:13">
      <c r="A427" s="13">
        <v>44713</v>
      </c>
    </row>
    <row r="428" spans="1:13">
      <c r="A428" s="3" t="s">
        <v>1</v>
      </c>
      <c r="B428" s="3" t="s">
        <v>2</v>
      </c>
      <c r="C428" s="3" t="s">
        <v>3</v>
      </c>
      <c r="D428" s="3" t="s">
        <v>4</v>
      </c>
      <c r="E428" s="3" t="s">
        <v>5</v>
      </c>
      <c r="F428" s="3" t="s">
        <v>36</v>
      </c>
      <c r="G428" s="3" t="s">
        <v>7</v>
      </c>
      <c r="H428" s="3" t="s">
        <v>8</v>
      </c>
      <c r="I428" s="3" t="s">
        <v>14</v>
      </c>
      <c r="J428" s="3" t="s">
        <v>15</v>
      </c>
      <c r="K428" s="3" t="s">
        <v>16</v>
      </c>
      <c r="L428" s="3" t="s">
        <v>17</v>
      </c>
      <c r="M428" s="3" t="s">
        <v>18</v>
      </c>
    </row>
    <row r="429" spans="1:13">
      <c r="A429" s="5" t="s">
        <v>9</v>
      </c>
      <c r="B429" s="5">
        <f>C421</f>
        <v>1587179</v>
      </c>
      <c r="C429" s="5">
        <v>1607123</v>
      </c>
      <c r="D429" s="5">
        <f>C429-B429</f>
        <v>19944</v>
      </c>
      <c r="E429" s="6">
        <f>(30646.84+928.32)*1.15</f>
        <v>36311.433999999994</v>
      </c>
      <c r="F429" s="15">
        <f>2127.18*1.15</f>
        <v>2446.2569999999996</v>
      </c>
      <c r="G429" s="6">
        <f>181.94*1.15</f>
        <v>209.23099999999999</v>
      </c>
      <c r="H429" s="6">
        <f>800.59*1.15</f>
        <v>920.67849999999999</v>
      </c>
      <c r="I429" s="5" t="s">
        <v>97</v>
      </c>
      <c r="J429" s="5">
        <v>34</v>
      </c>
      <c r="K429" s="5" t="s">
        <v>20</v>
      </c>
      <c r="L429" s="5">
        <f>D429/J429</f>
        <v>586.58823529411768</v>
      </c>
      <c r="M429" s="6">
        <f>(E429+F429)/D429</f>
        <v>1.9433258624147609</v>
      </c>
    </row>
    <row r="430" spans="1:13">
      <c r="A430" s="5" t="s">
        <v>10</v>
      </c>
      <c r="B430" s="5">
        <f>C422</f>
        <v>1583670</v>
      </c>
      <c r="C430" s="5">
        <v>1601533</v>
      </c>
      <c r="D430" s="5">
        <f>C430-B430</f>
        <v>17863</v>
      </c>
      <c r="E430" s="6">
        <f>29417.39*1.15</f>
        <v>33829.998499999994</v>
      </c>
      <c r="F430" s="15"/>
      <c r="G430" s="6">
        <f>181.94*1.15</f>
        <v>209.23099999999999</v>
      </c>
      <c r="H430" s="6">
        <f>(66.42+734.17)*1.15</f>
        <v>920.67849999999987</v>
      </c>
      <c r="I430" s="5" t="s">
        <v>98</v>
      </c>
      <c r="J430" s="5">
        <v>30</v>
      </c>
      <c r="K430" s="5" t="s">
        <v>20</v>
      </c>
      <c r="L430" s="5">
        <f>D430/J430</f>
        <v>595.43333333333328</v>
      </c>
      <c r="M430" s="6">
        <f>E430/D430</f>
        <v>1.8938587303364494</v>
      </c>
    </row>
    <row r="431" spans="1:13">
      <c r="A431" s="5" t="s">
        <v>11</v>
      </c>
      <c r="B431" s="5"/>
      <c r="C431" s="5"/>
      <c r="D431" s="5"/>
      <c r="E431" s="6">
        <f>E429+F429+G429+H429</f>
        <v>39887.600499999993</v>
      </c>
      <c r="F431" s="6"/>
      <c r="G431" s="6"/>
      <c r="H431" s="6"/>
      <c r="I431" s="5"/>
      <c r="J431" s="5"/>
      <c r="K431" s="5"/>
      <c r="L431" s="5"/>
      <c r="M431" s="5"/>
    </row>
    <row r="432" spans="1:13">
      <c r="A432" s="5" t="s">
        <v>12</v>
      </c>
      <c r="B432" s="5"/>
      <c r="C432" s="5"/>
      <c r="D432" s="5"/>
      <c r="E432" s="6">
        <f>E430+F430+G430+H430</f>
        <v>34959.907999999996</v>
      </c>
      <c r="F432" s="6"/>
      <c r="G432" s="6"/>
      <c r="H432" s="6"/>
      <c r="I432" s="5"/>
      <c r="J432" s="5"/>
      <c r="K432" s="5"/>
      <c r="L432" s="5"/>
      <c r="M432" s="5"/>
    </row>
    <row r="433" spans="1:13">
      <c r="A433" s="5" t="s">
        <v>13</v>
      </c>
      <c r="B433" s="5"/>
      <c r="C433" s="5"/>
      <c r="D433" s="5"/>
      <c r="E433" s="6">
        <f>E431-E432</f>
        <v>4927.6924999999974</v>
      </c>
      <c r="F433" s="6"/>
      <c r="G433" s="6"/>
      <c r="H433" s="6"/>
      <c r="I433" s="5"/>
      <c r="J433" s="5"/>
      <c r="K433" s="5"/>
      <c r="L433" s="5"/>
      <c r="M433" s="5"/>
    </row>
    <row r="435" spans="1:13">
      <c r="A435" s="13">
        <v>44743</v>
      </c>
    </row>
    <row r="436" spans="1:13">
      <c r="A436" s="3" t="s">
        <v>1</v>
      </c>
      <c r="B436" s="3" t="s">
        <v>2</v>
      </c>
      <c r="C436" s="3" t="s">
        <v>3</v>
      </c>
      <c r="D436" s="3" t="s">
        <v>4</v>
      </c>
      <c r="E436" s="3" t="s">
        <v>5</v>
      </c>
      <c r="F436" s="3" t="s">
        <v>36</v>
      </c>
      <c r="G436" s="3" t="s">
        <v>7</v>
      </c>
      <c r="H436" s="3" t="s">
        <v>8</v>
      </c>
      <c r="I436" s="3" t="s">
        <v>14</v>
      </c>
      <c r="J436" s="3" t="s">
        <v>15</v>
      </c>
      <c r="K436" s="3" t="s">
        <v>16</v>
      </c>
      <c r="L436" s="3" t="s">
        <v>17</v>
      </c>
      <c r="M436" s="3" t="s">
        <v>18</v>
      </c>
    </row>
    <row r="437" spans="1:13">
      <c r="A437" s="5" t="s">
        <v>9</v>
      </c>
      <c r="B437" s="5">
        <f>C429</f>
        <v>1607123</v>
      </c>
      <c r="C437" s="5">
        <v>1622225</v>
      </c>
      <c r="D437" s="5">
        <f>C437-B437</f>
        <v>15102</v>
      </c>
      <c r="E437" s="6">
        <f>24498.81*1.15</f>
        <v>28173.6315</v>
      </c>
      <c r="F437" s="15">
        <f>1987.07*1.15</f>
        <v>2285.1304999999998</v>
      </c>
      <c r="G437" s="6">
        <f>181.94*1.15</f>
        <v>209.23099999999999</v>
      </c>
      <c r="H437" s="6">
        <f>800.59*1.15</f>
        <v>920.67849999999999</v>
      </c>
      <c r="I437" s="5" t="s">
        <v>99</v>
      </c>
      <c r="J437" s="5">
        <v>27</v>
      </c>
      <c r="K437" s="5" t="s">
        <v>20</v>
      </c>
      <c r="L437" s="5">
        <f>D437/J437</f>
        <v>559.33333333333337</v>
      </c>
      <c r="M437" s="6">
        <f>(E437+F437)/D437</f>
        <v>2.0168694212687059</v>
      </c>
    </row>
    <row r="438" spans="1:13">
      <c r="A438" s="5" t="s">
        <v>10</v>
      </c>
      <c r="B438" s="5">
        <f>C430</f>
        <v>1601533</v>
      </c>
      <c r="C438" s="5">
        <v>1618535</v>
      </c>
      <c r="D438" s="5">
        <f>C438-B438</f>
        <v>17002</v>
      </c>
      <c r="E438" s="6">
        <f>29818.11*1.15</f>
        <v>34290.826499999996</v>
      </c>
      <c r="F438" s="15"/>
      <c r="G438" s="6">
        <f>181.94*1.15</f>
        <v>209.23099999999999</v>
      </c>
      <c r="H438" s="6">
        <f>734.17*1.15</f>
        <v>844.29549999999983</v>
      </c>
      <c r="I438" s="5" t="s">
        <v>100</v>
      </c>
      <c r="J438" s="5">
        <v>31</v>
      </c>
      <c r="K438" s="5" t="s">
        <v>20</v>
      </c>
      <c r="L438" s="5">
        <f>D438/J438</f>
        <v>548.45161290322585</v>
      </c>
      <c r="M438" s="6">
        <f>E438/D438</f>
        <v>2.0168701623338428</v>
      </c>
    </row>
    <row r="439" spans="1:13">
      <c r="A439" s="5" t="s">
        <v>11</v>
      </c>
      <c r="B439" s="5"/>
      <c r="C439" s="5"/>
      <c r="D439" s="5"/>
      <c r="E439" s="6">
        <f>E437+F437+G437+H437</f>
        <v>31588.671499999997</v>
      </c>
      <c r="F439" s="6"/>
      <c r="G439" s="6"/>
      <c r="H439" s="6"/>
      <c r="I439" s="5"/>
      <c r="J439" s="5"/>
      <c r="K439" s="5"/>
      <c r="L439" s="5"/>
      <c r="M439" s="5"/>
    </row>
    <row r="440" spans="1:13">
      <c r="A440" s="5" t="s">
        <v>12</v>
      </c>
      <c r="B440" s="5"/>
      <c r="C440" s="5"/>
      <c r="D440" s="5"/>
      <c r="E440" s="6">
        <f>E438+F438+G438+H438</f>
        <v>35344.352999999996</v>
      </c>
      <c r="F440" s="6"/>
      <c r="G440" s="6"/>
      <c r="H440" s="6"/>
      <c r="I440" s="5"/>
      <c r="J440" s="5"/>
      <c r="K440" s="5"/>
      <c r="L440" s="5"/>
      <c r="M440" s="5"/>
    </row>
    <row r="441" spans="1:13">
      <c r="A441" s="5" t="s">
        <v>13</v>
      </c>
      <c r="B441" s="5"/>
      <c r="C441" s="5"/>
      <c r="D441" s="5"/>
      <c r="E441" s="6">
        <f>E439-E440</f>
        <v>-3755.6814999999988</v>
      </c>
      <c r="F441" s="6"/>
      <c r="G441" s="6"/>
      <c r="H441" s="6"/>
      <c r="I441" s="5"/>
      <c r="J441" s="5"/>
      <c r="K441" s="5"/>
      <c r="L441" s="5"/>
      <c r="M441" s="5"/>
    </row>
    <row r="443" spans="1:13">
      <c r="A443" s="13">
        <v>44774</v>
      </c>
    </row>
    <row r="444" spans="1:13">
      <c r="A444" s="3" t="s">
        <v>1</v>
      </c>
      <c r="B444" s="3" t="s">
        <v>2</v>
      </c>
      <c r="C444" s="3" t="s">
        <v>3</v>
      </c>
      <c r="D444" s="3" t="s">
        <v>4</v>
      </c>
      <c r="E444" s="3" t="s">
        <v>5</v>
      </c>
      <c r="F444" s="3" t="s">
        <v>36</v>
      </c>
      <c r="G444" s="3" t="s">
        <v>7</v>
      </c>
      <c r="H444" s="3" t="s">
        <v>8</v>
      </c>
      <c r="I444" s="3" t="s">
        <v>14</v>
      </c>
      <c r="J444" s="3" t="s">
        <v>15</v>
      </c>
      <c r="K444" s="3" t="s">
        <v>16</v>
      </c>
      <c r="L444" s="3" t="s">
        <v>17</v>
      </c>
      <c r="M444" s="3" t="s">
        <v>18</v>
      </c>
    </row>
    <row r="445" spans="1:13">
      <c r="A445" s="5" t="s">
        <v>9</v>
      </c>
      <c r="B445" s="5">
        <f>C437</f>
        <v>1622225</v>
      </c>
      <c r="C445" s="5">
        <v>1639512</v>
      </c>
      <c r="D445" s="5">
        <f>C445-B445</f>
        <v>17287</v>
      </c>
      <c r="E445" s="6">
        <f>(27893.46+1120.22)*1.15</f>
        <v>33365.731999999996</v>
      </c>
      <c r="F445" s="15">
        <f>2424.48*1.15</f>
        <v>2788.1519999999996</v>
      </c>
      <c r="G445" s="6">
        <f>181.94*1.15</f>
        <v>209.23099999999999</v>
      </c>
      <c r="H445" s="6">
        <f>(734.17+11.04)*1.15</f>
        <v>856.99149999999986</v>
      </c>
      <c r="I445" s="5" t="s">
        <v>101</v>
      </c>
      <c r="J445" s="5">
        <v>31</v>
      </c>
      <c r="K445" s="5" t="s">
        <v>20</v>
      </c>
      <c r="L445" s="5">
        <f>D445/J445</f>
        <v>557.64516129032256</v>
      </c>
      <c r="M445" s="6">
        <f>(E445+F445)/D445</f>
        <v>2.0913914502227104</v>
      </c>
    </row>
    <row r="446" spans="1:13">
      <c r="A446" s="5" t="s">
        <v>10</v>
      </c>
      <c r="B446" s="5">
        <f>C438</f>
        <v>1618535</v>
      </c>
      <c r="C446" s="5">
        <v>1636033</v>
      </c>
      <c r="D446" s="5">
        <f>C446-B446</f>
        <v>17498</v>
      </c>
      <c r="E446" s="6">
        <f>30735.59*1.15</f>
        <v>35345.928499999995</v>
      </c>
      <c r="F446" s="15"/>
      <c r="G446" s="6">
        <f>181.94*1.15</f>
        <v>209.23099999999999</v>
      </c>
      <c r="H446" s="6">
        <f>(734.17+11.04)*1.15</f>
        <v>856.99149999999986</v>
      </c>
      <c r="I446" s="5" t="s">
        <v>101</v>
      </c>
      <c r="J446" s="5">
        <v>31</v>
      </c>
      <c r="K446" s="5" t="s">
        <v>20</v>
      </c>
      <c r="L446" s="5">
        <f>D446/J446</f>
        <v>564.45161290322585</v>
      </c>
      <c r="M446" s="6">
        <f>E446/D446</f>
        <v>2.0199981997942618</v>
      </c>
    </row>
    <row r="447" spans="1:13">
      <c r="A447" s="5" t="s">
        <v>11</v>
      </c>
      <c r="B447" s="5"/>
      <c r="C447" s="5"/>
      <c r="D447" s="5"/>
      <c r="E447" s="6">
        <f>E445+F445+G445+H445</f>
        <v>37220.106499999994</v>
      </c>
      <c r="F447" s="6"/>
      <c r="G447" s="6"/>
      <c r="H447" s="6"/>
      <c r="I447" s="5"/>
      <c r="J447" s="5"/>
      <c r="K447" s="5"/>
      <c r="L447" s="5"/>
      <c r="M447" s="5"/>
    </row>
    <row r="448" spans="1:13">
      <c r="A448" s="5" t="s">
        <v>12</v>
      </c>
      <c r="B448" s="5"/>
      <c r="C448" s="5"/>
      <c r="D448" s="5"/>
      <c r="E448" s="6">
        <f>E446+F446+G446+H446</f>
        <v>36412.150999999991</v>
      </c>
      <c r="F448" s="6"/>
      <c r="G448" s="6"/>
      <c r="H448" s="6"/>
      <c r="I448" s="5"/>
      <c r="J448" s="5"/>
      <c r="K448" s="5"/>
      <c r="L448" s="5"/>
      <c r="M448" s="5"/>
    </row>
    <row r="449" spans="1:13">
      <c r="A449" s="5" t="s">
        <v>13</v>
      </c>
      <c r="B449" s="5"/>
      <c r="C449" s="5"/>
      <c r="D449" s="5"/>
      <c r="E449" s="6">
        <f>E447-E448</f>
        <v>807.95550000000367</v>
      </c>
      <c r="F449" s="6"/>
      <c r="G449" s="6"/>
      <c r="H449" s="6"/>
      <c r="I449" s="5"/>
      <c r="J449" s="5"/>
      <c r="K449" s="5"/>
      <c r="L449" s="5"/>
      <c r="M449" s="5"/>
    </row>
    <row r="451" spans="1:13">
      <c r="A451" s="13">
        <v>44805</v>
      </c>
    </row>
    <row r="452" spans="1:13">
      <c r="A452" s="3" t="s">
        <v>1</v>
      </c>
      <c r="B452" s="3" t="s">
        <v>2</v>
      </c>
      <c r="C452" s="3" t="s">
        <v>3</v>
      </c>
      <c r="D452" s="3" t="s">
        <v>4</v>
      </c>
      <c r="E452" s="3" t="s">
        <v>5</v>
      </c>
      <c r="F452" s="3" t="s">
        <v>36</v>
      </c>
      <c r="G452" s="3" t="s">
        <v>7</v>
      </c>
      <c r="H452" s="3" t="s">
        <v>8</v>
      </c>
      <c r="I452" s="3" t="s">
        <v>14</v>
      </c>
      <c r="J452" s="3" t="s">
        <v>15</v>
      </c>
      <c r="K452" s="3" t="s">
        <v>16</v>
      </c>
      <c r="L452" s="3" t="s">
        <v>17</v>
      </c>
      <c r="M452" s="3" t="s">
        <v>18</v>
      </c>
    </row>
    <row r="453" spans="1:13">
      <c r="A453" s="5" t="s">
        <v>9</v>
      </c>
      <c r="B453" s="5">
        <f>C445</f>
        <v>1639512</v>
      </c>
      <c r="C453" s="5">
        <v>1651362</v>
      </c>
      <c r="D453" s="5">
        <f>C453-B453</f>
        <v>11850</v>
      </c>
      <c r="E453" s="6">
        <f>(18558+1120.22)*1.15</f>
        <v>22629.953000000001</v>
      </c>
      <c r="F453" s="15">
        <f>2224.53*1.15</f>
        <v>2558.2094999999999</v>
      </c>
      <c r="G453" s="6">
        <f>181.94*1.15</f>
        <v>209.23099999999999</v>
      </c>
      <c r="H453" s="6">
        <f>734.17*1.15</f>
        <v>844.29549999999983</v>
      </c>
      <c r="I453" s="5" t="s">
        <v>102</v>
      </c>
      <c r="J453" s="5">
        <v>30</v>
      </c>
      <c r="K453" s="5" t="s">
        <v>20</v>
      </c>
      <c r="L453" s="5">
        <f>D453/J453</f>
        <v>395</v>
      </c>
      <c r="M453" s="6">
        <f>(E453+F453)/D453</f>
        <v>2.1255833333333336</v>
      </c>
    </row>
    <row r="454" spans="1:13">
      <c r="A454" s="5" t="s">
        <v>10</v>
      </c>
      <c r="B454" s="5">
        <f>C446</f>
        <v>1636033</v>
      </c>
      <c r="C454" s="5">
        <v>1649399</v>
      </c>
      <c r="D454" s="5">
        <f>C454-B454</f>
        <v>13366</v>
      </c>
      <c r="E454" s="6">
        <f>23441.29*1.15</f>
        <v>26957.483499999998</v>
      </c>
      <c r="F454" s="15"/>
      <c r="G454" s="6">
        <f>181.94*1.15</f>
        <v>209.23099999999999</v>
      </c>
      <c r="H454" s="6">
        <f>734.17*1.15</f>
        <v>844.29549999999983</v>
      </c>
      <c r="I454" s="5" t="s">
        <v>102</v>
      </c>
      <c r="J454" s="5">
        <v>30</v>
      </c>
      <c r="K454" s="5" t="s">
        <v>20</v>
      </c>
      <c r="L454" s="5">
        <f>D454/J454</f>
        <v>445.53333333333336</v>
      </c>
      <c r="M454" s="6">
        <f>E454/D454</f>
        <v>2.0168699311686367</v>
      </c>
    </row>
    <row r="455" spans="1:13">
      <c r="A455" s="5" t="s">
        <v>11</v>
      </c>
      <c r="B455" s="5"/>
      <c r="C455" s="5"/>
      <c r="D455" s="5"/>
      <c r="E455" s="6">
        <f>E453+F453+G453+H453</f>
        <v>26241.689000000002</v>
      </c>
      <c r="F455" s="6"/>
      <c r="G455" s="6"/>
      <c r="H455" s="6"/>
      <c r="I455" s="5"/>
      <c r="J455" s="5"/>
      <c r="K455" s="5"/>
      <c r="L455" s="5"/>
      <c r="M455" s="5"/>
    </row>
    <row r="456" spans="1:13">
      <c r="A456" s="5" t="s">
        <v>12</v>
      </c>
      <c r="B456" s="5"/>
      <c r="C456" s="5"/>
      <c r="D456" s="5"/>
      <c r="E456" s="6">
        <f>E454+F454+G454+H454</f>
        <v>28011.01</v>
      </c>
      <c r="F456" s="6"/>
      <c r="G456" s="6"/>
      <c r="H456" s="6"/>
      <c r="I456" s="5"/>
      <c r="J456" s="5"/>
      <c r="K456" s="5"/>
      <c r="L456" s="5"/>
      <c r="M456" s="5"/>
    </row>
    <row r="457" spans="1:13">
      <c r="A457" s="5" t="s">
        <v>13</v>
      </c>
      <c r="B457" s="5"/>
      <c r="C457" s="5"/>
      <c r="D457" s="5"/>
      <c r="E457" s="6">
        <f>E455-E456</f>
        <v>-1769.3209999999963</v>
      </c>
      <c r="F457" s="6"/>
      <c r="G457" s="6"/>
      <c r="H457" s="6"/>
      <c r="I457" s="5"/>
      <c r="J457" s="5"/>
      <c r="K457" s="5"/>
      <c r="L457" s="5"/>
      <c r="M457" s="5"/>
    </row>
    <row r="459" spans="1:13">
      <c r="A459" s="13">
        <v>44835</v>
      </c>
    </row>
    <row r="460" spans="1:13">
      <c r="A460" s="3" t="s">
        <v>1</v>
      </c>
      <c r="B460" s="3" t="s">
        <v>2</v>
      </c>
      <c r="C460" s="3" t="s">
        <v>3</v>
      </c>
      <c r="D460" s="3" t="s">
        <v>4</v>
      </c>
      <c r="E460" s="3" t="s">
        <v>5</v>
      </c>
      <c r="F460" s="3" t="s">
        <v>36</v>
      </c>
      <c r="G460" s="3" t="s">
        <v>7</v>
      </c>
      <c r="H460" s="3" t="s">
        <v>8</v>
      </c>
      <c r="I460" s="3" t="s">
        <v>14</v>
      </c>
      <c r="J460" s="3" t="s">
        <v>15</v>
      </c>
      <c r="K460" s="3" t="s">
        <v>16</v>
      </c>
      <c r="L460" s="3" t="s">
        <v>17</v>
      </c>
      <c r="M460" s="3" t="s">
        <v>18</v>
      </c>
    </row>
    <row r="461" spans="1:13">
      <c r="A461" s="5" t="s">
        <v>9</v>
      </c>
      <c r="B461" s="5">
        <f>C453</f>
        <v>1651362</v>
      </c>
      <c r="C461" s="5">
        <v>1662280</v>
      </c>
      <c r="D461" s="5">
        <f>C461-B461</f>
        <v>10918</v>
      </c>
      <c r="E461" s="6">
        <f>(16909.03+633.12)*1.15</f>
        <v>20173.472499999996</v>
      </c>
      <c r="F461" s="15">
        <f>2238.96*1.15</f>
        <v>2574.8039999999996</v>
      </c>
      <c r="G461" s="6">
        <f>181.94*1.15</f>
        <v>209.23099999999999</v>
      </c>
      <c r="H461" s="6">
        <f>734.17*1.15</f>
        <v>844.29549999999983</v>
      </c>
      <c r="I461" s="5" t="s">
        <v>103</v>
      </c>
      <c r="J461" s="5">
        <v>31</v>
      </c>
      <c r="K461" s="5" t="s">
        <v>20</v>
      </c>
      <c r="L461" s="5">
        <f>D461/J461</f>
        <v>352.19354838709677</v>
      </c>
      <c r="M461" s="6">
        <f>(E461+F461)/D461</f>
        <v>2.083557107528851</v>
      </c>
    </row>
    <row r="462" spans="1:13">
      <c r="A462" s="5" t="s">
        <v>10</v>
      </c>
      <c r="B462" s="5">
        <f>C454</f>
        <v>1649399</v>
      </c>
      <c r="C462" s="5">
        <v>1659931</v>
      </c>
      <c r="D462" s="5">
        <f>C462-B462</f>
        <v>10532</v>
      </c>
      <c r="E462" s="6">
        <f>18471.02*1.15</f>
        <v>21241.672999999999</v>
      </c>
      <c r="F462" s="15"/>
      <c r="G462" s="6">
        <f>181.94*1.15</f>
        <v>209.23099999999999</v>
      </c>
      <c r="H462" s="6">
        <f>734.17*1.15</f>
        <v>844.29549999999983</v>
      </c>
      <c r="I462" s="5" t="s">
        <v>103</v>
      </c>
      <c r="J462" s="5">
        <v>31</v>
      </c>
      <c r="K462" s="5" t="s">
        <v>20</v>
      </c>
      <c r="L462" s="5">
        <f>D462/J462</f>
        <v>339.74193548387098</v>
      </c>
      <c r="M462" s="6">
        <f>E462/D462</f>
        <v>2.0168698252943411</v>
      </c>
    </row>
    <row r="463" spans="1:13">
      <c r="A463" s="5" t="s">
        <v>11</v>
      </c>
      <c r="B463" s="5"/>
      <c r="C463" s="5"/>
      <c r="D463" s="5"/>
      <c r="E463" s="6">
        <f>E461+F461+G461+H461</f>
        <v>23801.802999999996</v>
      </c>
      <c r="F463" s="6"/>
      <c r="G463" s="6"/>
      <c r="H463" s="6"/>
      <c r="I463" s="5"/>
      <c r="J463" s="5"/>
      <c r="K463" s="5"/>
      <c r="L463" s="5"/>
      <c r="M463" s="5"/>
    </row>
    <row r="464" spans="1:13">
      <c r="A464" s="5" t="s">
        <v>12</v>
      </c>
      <c r="B464" s="5"/>
      <c r="C464" s="5"/>
      <c r="D464" s="5"/>
      <c r="E464" s="6">
        <f>E462+F462+G462+H462</f>
        <v>22295.199499999999</v>
      </c>
      <c r="F464" s="6"/>
      <c r="G464" s="6"/>
      <c r="H464" s="6"/>
      <c r="I464" s="5"/>
      <c r="J464" s="5"/>
      <c r="K464" s="5"/>
      <c r="L464" s="5"/>
      <c r="M464" s="5"/>
    </row>
    <row r="465" spans="1:13">
      <c r="A465" s="5" t="s">
        <v>13</v>
      </c>
      <c r="B465" s="5"/>
      <c r="C465" s="5"/>
      <c r="D465" s="5"/>
      <c r="E465" s="6">
        <f>E463-E464</f>
        <v>1506.6034999999974</v>
      </c>
      <c r="F465" s="6"/>
      <c r="G465" s="6"/>
      <c r="H465" s="6"/>
      <c r="I465" s="5"/>
      <c r="J465" s="5"/>
      <c r="K465" s="5"/>
      <c r="L465" s="5"/>
      <c r="M465" s="5"/>
    </row>
    <row r="467" spans="1:13">
      <c r="A467" s="13">
        <v>44866</v>
      </c>
    </row>
    <row r="468" spans="1:13">
      <c r="A468" s="3" t="s">
        <v>1</v>
      </c>
      <c r="B468" s="3" t="s">
        <v>2</v>
      </c>
      <c r="C468" s="3" t="s">
        <v>3</v>
      </c>
      <c r="D468" s="3" t="s">
        <v>4</v>
      </c>
      <c r="E468" s="3" t="s">
        <v>5</v>
      </c>
      <c r="F468" s="3" t="s">
        <v>36</v>
      </c>
      <c r="G468" s="3" t="s">
        <v>7</v>
      </c>
      <c r="H468" s="3" t="s">
        <v>8</v>
      </c>
      <c r="I468" s="3" t="s">
        <v>14</v>
      </c>
      <c r="J468" s="3" t="s">
        <v>15</v>
      </c>
      <c r="K468" s="3" t="s">
        <v>16</v>
      </c>
      <c r="L468" s="3" t="s">
        <v>17</v>
      </c>
      <c r="M468" s="3" t="s">
        <v>18</v>
      </c>
    </row>
    <row r="469" spans="1:13">
      <c r="A469" s="5" t="s">
        <v>9</v>
      </c>
      <c r="B469" s="5">
        <f>C461</f>
        <v>1662280</v>
      </c>
      <c r="C469" s="5">
        <v>1673714</v>
      </c>
      <c r="D469" s="5">
        <f>C469-B469</f>
        <v>11434</v>
      </c>
      <c r="E469" s="6">
        <f>(18095.98+629.61)*1.15</f>
        <v>21534.428499999998</v>
      </c>
      <c r="F469" s="15">
        <f>1956.97*1.15</f>
        <v>2250.5155</v>
      </c>
      <c r="G469" s="6">
        <f>181.94*1.15</f>
        <v>209.23099999999999</v>
      </c>
      <c r="H469" s="6">
        <f>734.17*1.15</f>
        <v>844.29549999999983</v>
      </c>
      <c r="I469" s="5" t="s">
        <v>104</v>
      </c>
      <c r="J469" s="5">
        <v>33</v>
      </c>
      <c r="K469" s="5" t="s">
        <v>20</v>
      </c>
      <c r="L469" s="5">
        <f>D469/J469</f>
        <v>346.4848484848485</v>
      </c>
      <c r="M469" s="6">
        <f>(E469+F469)/D469</f>
        <v>2.0801945076088857</v>
      </c>
    </row>
    <row r="470" spans="1:13">
      <c r="A470" s="5" t="s">
        <v>10</v>
      </c>
      <c r="B470" s="5">
        <f>C462</f>
        <v>1659931</v>
      </c>
      <c r="C470" s="5">
        <v>1670659</v>
      </c>
      <c r="D470" s="5">
        <f>C470-B470</f>
        <v>10728</v>
      </c>
      <c r="E470" s="6">
        <f>18814.77*1.15</f>
        <v>21636.985499999999</v>
      </c>
      <c r="F470" s="15"/>
      <c r="G470" s="6">
        <f>181.94*1.15</f>
        <v>209.23099999999999</v>
      </c>
      <c r="H470" s="6">
        <f>734.17*1.15</f>
        <v>844.29549999999983</v>
      </c>
      <c r="I470" s="5" t="s">
        <v>105</v>
      </c>
      <c r="J470" s="5">
        <v>30</v>
      </c>
      <c r="K470" s="5" t="s">
        <v>20</v>
      </c>
      <c r="L470" s="5">
        <f>D470/J470</f>
        <v>357.6</v>
      </c>
      <c r="M470" s="6">
        <f>E470/D470</f>
        <v>2.01687038590604</v>
      </c>
    </row>
    <row r="471" spans="1:13">
      <c r="A471" s="5" t="s">
        <v>11</v>
      </c>
      <c r="B471" s="5"/>
      <c r="C471" s="5"/>
      <c r="D471" s="5"/>
      <c r="E471" s="6">
        <f>E469+F469+G469+H469</f>
        <v>24838.470499999999</v>
      </c>
      <c r="F471" s="6"/>
      <c r="G471" s="6"/>
      <c r="H471" s="6"/>
      <c r="I471" s="5"/>
      <c r="J471" s="5"/>
      <c r="K471" s="5"/>
      <c r="L471" s="5"/>
      <c r="M471" s="5"/>
    </row>
    <row r="472" spans="1:13">
      <c r="A472" s="5" t="s">
        <v>12</v>
      </c>
      <c r="B472" s="5"/>
      <c r="C472" s="5"/>
      <c r="D472" s="5"/>
      <c r="E472" s="6">
        <f>E470+F470+G470+H470</f>
        <v>22690.511999999999</v>
      </c>
      <c r="F472" s="6"/>
      <c r="G472" s="6"/>
      <c r="H472" s="6"/>
      <c r="I472" s="5"/>
      <c r="J472" s="5"/>
      <c r="K472" s="5"/>
      <c r="L472" s="5"/>
      <c r="M472" s="5"/>
    </row>
    <row r="473" spans="1:13">
      <c r="A473" s="5" t="s">
        <v>13</v>
      </c>
      <c r="B473" s="5"/>
      <c r="C473" s="5"/>
      <c r="D473" s="5"/>
      <c r="E473" s="6">
        <f>E471-E472</f>
        <v>2147.9585000000006</v>
      </c>
      <c r="F473" s="6"/>
      <c r="G473" s="6"/>
      <c r="H473" s="6"/>
      <c r="I473" s="5"/>
      <c r="J473" s="5"/>
      <c r="K473" s="5"/>
      <c r="L473" s="5"/>
      <c r="M473" s="5"/>
    </row>
    <row r="475" spans="1:13">
      <c r="A475" s="13">
        <v>44896</v>
      </c>
    </row>
    <row r="476" spans="1:13">
      <c r="A476" s="3" t="s">
        <v>1</v>
      </c>
      <c r="B476" s="3" t="s">
        <v>2</v>
      </c>
      <c r="C476" s="3" t="s">
        <v>3</v>
      </c>
      <c r="D476" s="3" t="s">
        <v>4</v>
      </c>
      <c r="E476" s="3" t="s">
        <v>5</v>
      </c>
      <c r="F476" s="3" t="s">
        <v>36</v>
      </c>
      <c r="G476" s="3" t="s">
        <v>7</v>
      </c>
      <c r="H476" s="3" t="s">
        <v>8</v>
      </c>
      <c r="I476" s="3" t="s">
        <v>14</v>
      </c>
      <c r="J476" s="3" t="s">
        <v>15</v>
      </c>
      <c r="K476" s="3" t="s">
        <v>16</v>
      </c>
      <c r="L476" s="3" t="s">
        <v>17</v>
      </c>
      <c r="M476" s="3" t="s">
        <v>18</v>
      </c>
    </row>
    <row r="477" spans="1:13">
      <c r="A477" s="5" t="s">
        <v>9</v>
      </c>
      <c r="B477" s="5">
        <f>C469</f>
        <v>1673714</v>
      </c>
      <c r="C477" s="5">
        <v>1681657</v>
      </c>
      <c r="D477" s="5">
        <f>C477-B477</f>
        <v>7943</v>
      </c>
      <c r="E477" s="6">
        <f>(12427.43+399.87)*1.15</f>
        <v>14751.395</v>
      </c>
      <c r="F477" s="15">
        <f>1503.01*1.15</f>
        <v>1728.4614999999999</v>
      </c>
      <c r="G477" s="6">
        <f>181.94*1.15</f>
        <v>209.23099999999999</v>
      </c>
      <c r="H477" s="6">
        <f>734.17*1.15</f>
        <v>844.29549999999983</v>
      </c>
      <c r="I477" s="5" t="s">
        <v>106</v>
      </c>
      <c r="J477" s="5">
        <v>28</v>
      </c>
      <c r="K477" s="5" t="s">
        <v>20</v>
      </c>
      <c r="L477" s="5">
        <f>D477/J477</f>
        <v>283.67857142857144</v>
      </c>
      <c r="M477" s="6">
        <f>(E477+F477)/D477</f>
        <v>2.0747647614251545</v>
      </c>
    </row>
    <row r="478" spans="1:13">
      <c r="A478" s="5" t="s">
        <v>10</v>
      </c>
      <c r="B478" s="5">
        <f>C470</f>
        <v>1670659</v>
      </c>
      <c r="C478" s="5">
        <v>1679889</v>
      </c>
      <c r="D478" s="5">
        <f>C478-B478</f>
        <v>9230</v>
      </c>
      <c r="E478" s="6">
        <f>16187.57*1.15</f>
        <v>18615.7055</v>
      </c>
      <c r="F478" s="15"/>
      <c r="G478" s="6">
        <f>181.94*1.15</f>
        <v>209.23099999999999</v>
      </c>
      <c r="H478" s="6">
        <f>734.17*1.15</f>
        <v>844.29549999999983</v>
      </c>
      <c r="I478" s="5" t="s">
        <v>107</v>
      </c>
      <c r="J478" s="5">
        <v>31</v>
      </c>
      <c r="K478" s="5" t="s">
        <v>20</v>
      </c>
      <c r="L478" s="5">
        <f>D478/J478</f>
        <v>297.74193548387098</v>
      </c>
      <c r="M478" s="6">
        <f>E478/D478</f>
        <v>2.0168695016251355</v>
      </c>
    </row>
    <row r="479" spans="1:13">
      <c r="A479" s="5" t="s">
        <v>11</v>
      </c>
      <c r="B479" s="5"/>
      <c r="C479" s="5"/>
      <c r="D479" s="5"/>
      <c r="E479" s="6">
        <f>E477+F477+G477+H477</f>
        <v>17533.383000000002</v>
      </c>
      <c r="F479" s="6"/>
      <c r="G479" s="6"/>
      <c r="H479" s="6"/>
      <c r="I479" s="5"/>
      <c r="J479" s="5"/>
      <c r="K479" s="5"/>
      <c r="L479" s="5"/>
      <c r="M479" s="5"/>
    </row>
    <row r="480" spans="1:13">
      <c r="A480" s="5" t="s">
        <v>12</v>
      </c>
      <c r="B480" s="5"/>
      <c r="C480" s="5"/>
      <c r="D480" s="5"/>
      <c r="E480" s="6">
        <f>E478+F478+G478+H478</f>
        <v>19669.232</v>
      </c>
      <c r="F480" s="6"/>
      <c r="G480" s="6"/>
      <c r="H480" s="6"/>
      <c r="I480" s="5"/>
      <c r="J480" s="5"/>
      <c r="K480" s="5"/>
      <c r="L480" s="5"/>
      <c r="M480" s="5"/>
    </row>
    <row r="481" spans="1:13">
      <c r="A481" s="5" t="s">
        <v>13</v>
      </c>
      <c r="B481" s="5"/>
      <c r="C481" s="5"/>
      <c r="D481" s="5"/>
      <c r="E481" s="6">
        <f>E479-E480</f>
        <v>-2135.8489999999983</v>
      </c>
      <c r="F481" s="6"/>
      <c r="G481" s="6"/>
      <c r="H481" s="6"/>
      <c r="I481" s="5"/>
      <c r="J481" s="5"/>
      <c r="K481" s="5"/>
      <c r="L481" s="5"/>
      <c r="M481" s="5"/>
    </row>
  </sheetData>
  <pageMargins left="0.25" right="0.25" top="0.75" bottom="0.75" header="0.3" footer="0.3"/>
  <pageSetup paperSize="9" scale="77" fitToHeight="2" orientation="portrait" verticalDpi="4294967295" r:id="rId1"/>
  <ignoredErrors>
    <ignoredError sqref="M454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9D4F-931B-4E05-8C94-3E3715406DA7}">
  <dimension ref="A1:AE26"/>
  <sheetViews>
    <sheetView tabSelected="1" workbookViewId="0">
      <selection activeCell="X24" sqref="X24"/>
    </sheetView>
  </sheetViews>
  <sheetFormatPr defaultRowHeight="15"/>
  <cols>
    <col min="13" max="14" width="12.5703125" hidden="1" customWidth="1"/>
    <col min="15" max="15" width="17.42578125" hidden="1" customWidth="1"/>
    <col min="17" max="18" width="12.5703125" hidden="1" customWidth="1"/>
    <col min="19" max="19" width="17.42578125" hidden="1" customWidth="1"/>
    <col min="21" max="21" width="14.5703125" hidden="1" customWidth="1"/>
    <col min="22" max="22" width="12.7109375" hidden="1" customWidth="1"/>
    <col min="23" max="23" width="17.42578125" hidden="1" customWidth="1"/>
    <col min="25" max="25" width="13.28515625" hidden="1" customWidth="1"/>
    <col min="26" max="26" width="12.7109375" hidden="1" customWidth="1"/>
    <col min="27" max="27" width="17.42578125" hidden="1" customWidth="1"/>
    <col min="29" max="30" width="13.28515625" bestFit="1" customWidth="1"/>
    <col min="31" max="31" width="17.42578125" bestFit="1" customWidth="1"/>
  </cols>
  <sheetData>
    <row r="1" spans="1:31" ht="18.75">
      <c r="A1" s="1" t="s">
        <v>108</v>
      </c>
    </row>
    <row r="2" spans="1:31" ht="21">
      <c r="L2" s="8" t="s">
        <v>109</v>
      </c>
    </row>
    <row r="3" spans="1:31">
      <c r="L3" t="s">
        <v>110</v>
      </c>
    </row>
    <row r="4" spans="1:31">
      <c r="L4" t="s">
        <v>111</v>
      </c>
    </row>
    <row r="6" spans="1:31">
      <c r="M6" t="s">
        <v>112</v>
      </c>
      <c r="N6" t="s">
        <v>113</v>
      </c>
      <c r="O6" t="s">
        <v>114</v>
      </c>
      <c r="Q6" t="s">
        <v>112</v>
      </c>
      <c r="R6" t="s">
        <v>113</v>
      </c>
      <c r="S6" t="s">
        <v>114</v>
      </c>
      <c r="U6" t="s">
        <v>112</v>
      </c>
      <c r="V6" t="s">
        <v>113</v>
      </c>
      <c r="W6" t="s">
        <v>114</v>
      </c>
      <c r="Y6" t="s">
        <v>112</v>
      </c>
      <c r="Z6" t="s">
        <v>113</v>
      </c>
      <c r="AA6" t="s">
        <v>114</v>
      </c>
      <c r="AC6" t="s">
        <v>112</v>
      </c>
      <c r="AD6" t="s">
        <v>113</v>
      </c>
      <c r="AE6" t="s">
        <v>114</v>
      </c>
    </row>
    <row r="7" spans="1:31">
      <c r="L7" s="2">
        <v>43466</v>
      </c>
      <c r="M7" s="9">
        <v>19297.77</v>
      </c>
      <c r="N7" s="9">
        <v>18201.3835</v>
      </c>
      <c r="O7" s="11" t="s">
        <v>115</v>
      </c>
      <c r="P7" s="2">
        <v>43739</v>
      </c>
      <c r="Q7" s="9">
        <v>21255.655856795885</v>
      </c>
      <c r="R7" s="9">
        <v>22199.553999999996</v>
      </c>
      <c r="S7" s="11" t="s">
        <v>115</v>
      </c>
      <c r="T7" s="2">
        <v>44105</v>
      </c>
      <c r="U7" s="12">
        <v>18862.043000000001</v>
      </c>
      <c r="V7" s="12">
        <v>18218.138999999999</v>
      </c>
      <c r="W7" s="11" t="s">
        <v>115</v>
      </c>
      <c r="X7" s="2">
        <v>44470</v>
      </c>
      <c r="Y7" s="12">
        <v>26219.034</v>
      </c>
      <c r="Z7" s="12">
        <v>23389.7925</v>
      </c>
      <c r="AA7" s="11" t="s">
        <v>115</v>
      </c>
      <c r="AB7" s="2">
        <v>44835</v>
      </c>
      <c r="AC7" s="12">
        <v>23801.802999999996</v>
      </c>
      <c r="AD7" s="12">
        <v>22295.199499999999</v>
      </c>
      <c r="AE7" s="11" t="s">
        <v>115</v>
      </c>
    </row>
    <row r="8" spans="1:31">
      <c r="L8" s="2">
        <v>43497</v>
      </c>
      <c r="M8" s="9">
        <v>17035.43</v>
      </c>
      <c r="N8" s="9">
        <v>19330.499499999998</v>
      </c>
      <c r="O8" s="11" t="s">
        <v>115</v>
      </c>
      <c r="P8" s="2">
        <v>43770</v>
      </c>
      <c r="Q8" s="12">
        <v>21583.533879999995</v>
      </c>
      <c r="R8" s="9">
        <v>21297.5285</v>
      </c>
      <c r="S8" s="11" t="s">
        <v>115</v>
      </c>
      <c r="T8" s="2">
        <v>44136</v>
      </c>
      <c r="U8" s="12">
        <v>17712.828999999998</v>
      </c>
      <c r="V8" s="12">
        <v>17928.246999999999</v>
      </c>
      <c r="W8" s="11" t="s">
        <v>115</v>
      </c>
      <c r="X8" s="2">
        <v>44501</v>
      </c>
      <c r="Y8" s="12">
        <v>22503.395500000002</v>
      </c>
      <c r="Z8" s="12">
        <v>23733.228499999997</v>
      </c>
      <c r="AA8" s="11" t="s">
        <v>115</v>
      </c>
      <c r="AB8" s="2">
        <v>44866</v>
      </c>
      <c r="AC8" s="12">
        <v>24838.470499999999</v>
      </c>
      <c r="AD8" s="16">
        <v>22690.511999999999</v>
      </c>
      <c r="AE8" s="11" t="s">
        <v>115</v>
      </c>
    </row>
    <row r="9" spans="1:31">
      <c r="L9" s="2">
        <v>43525</v>
      </c>
      <c r="M9" s="9">
        <v>20290.509999999998</v>
      </c>
      <c r="N9" s="9">
        <v>17100.891</v>
      </c>
      <c r="O9" s="11" t="s">
        <v>115</v>
      </c>
      <c r="P9" s="2">
        <v>43800</v>
      </c>
      <c r="Q9" s="12">
        <v>24087.479999999996</v>
      </c>
      <c r="R9" s="9">
        <v>20958.312999999998</v>
      </c>
      <c r="S9" s="11" t="s">
        <v>115</v>
      </c>
      <c r="T9" s="2">
        <v>44166</v>
      </c>
      <c r="U9">
        <v>14844.592931999998</v>
      </c>
      <c r="V9" s="9">
        <v>16111.891</v>
      </c>
      <c r="W9" s="11" t="s">
        <v>115</v>
      </c>
      <c r="X9" s="2">
        <v>44531</v>
      </c>
      <c r="Y9" s="16">
        <v>23506.149500000003</v>
      </c>
      <c r="Z9" s="9">
        <v>23432.951999999997</v>
      </c>
      <c r="AA9" s="11" t="s">
        <v>115</v>
      </c>
      <c r="AB9" s="2">
        <v>44896</v>
      </c>
      <c r="AC9" s="16">
        <v>17533.383000000002</v>
      </c>
      <c r="AD9" s="9">
        <v>19669.232</v>
      </c>
      <c r="AE9" s="11" t="s">
        <v>115</v>
      </c>
    </row>
    <row r="10" spans="1:31">
      <c r="L10" s="2">
        <v>43556</v>
      </c>
      <c r="M10" s="9">
        <v>21200.46</v>
      </c>
      <c r="N10" s="9">
        <v>20323.248500000002</v>
      </c>
      <c r="O10" s="11" t="s">
        <v>115</v>
      </c>
      <c r="P10" s="2">
        <v>43831</v>
      </c>
      <c r="Q10" s="9">
        <v>17409.539499999999</v>
      </c>
      <c r="R10" s="9">
        <v>19669.266499999998</v>
      </c>
      <c r="S10" s="11" t="s">
        <v>115</v>
      </c>
      <c r="T10" s="2">
        <v>44197</v>
      </c>
      <c r="U10" s="9">
        <v>17788.843999999997</v>
      </c>
      <c r="V10" s="12">
        <v>16945.548999999999</v>
      </c>
      <c r="W10" s="11" t="s">
        <v>115</v>
      </c>
      <c r="X10" s="2">
        <v>44562</v>
      </c>
      <c r="Y10" s="9">
        <v>23348.507499999996</v>
      </c>
      <c r="Z10" s="16">
        <v>21584.418999999998</v>
      </c>
      <c r="AA10" s="11" t="s">
        <v>115</v>
      </c>
      <c r="AB10" s="2">
        <v>44927</v>
      </c>
      <c r="AC10" s="9"/>
      <c r="AD10" s="16"/>
      <c r="AE10" s="11"/>
    </row>
    <row r="11" spans="1:31">
      <c r="L11" s="2">
        <v>43586</v>
      </c>
      <c r="M11" s="9">
        <v>23520.799999999999</v>
      </c>
      <c r="N11" s="9">
        <v>21026.9</v>
      </c>
      <c r="O11" s="11" t="s">
        <v>115</v>
      </c>
      <c r="P11" s="2">
        <v>43862</v>
      </c>
      <c r="Q11" s="12">
        <v>21505.528999999999</v>
      </c>
      <c r="R11" s="9">
        <v>22484.8115</v>
      </c>
      <c r="S11" s="11" t="s">
        <v>115</v>
      </c>
      <c r="T11" s="2">
        <v>44228</v>
      </c>
      <c r="U11" s="16">
        <v>21412.160499999998</v>
      </c>
      <c r="V11" s="12">
        <v>19482.552500000002</v>
      </c>
      <c r="W11" s="11" t="s">
        <v>115</v>
      </c>
      <c r="X11" s="2">
        <v>44593</v>
      </c>
      <c r="Y11" s="16">
        <v>25839.5455</v>
      </c>
      <c r="Z11" s="16">
        <v>20734.281500000001</v>
      </c>
      <c r="AA11" s="11" t="s">
        <v>115</v>
      </c>
      <c r="AB11" s="2">
        <v>44958</v>
      </c>
      <c r="AC11" s="16"/>
      <c r="AD11" s="16"/>
      <c r="AE11" s="11"/>
    </row>
    <row r="12" spans="1:31">
      <c r="L12" s="2">
        <v>43617</v>
      </c>
      <c r="M12" s="9">
        <v>25952.92</v>
      </c>
      <c r="N12" s="9">
        <v>23887.16</v>
      </c>
      <c r="O12" s="11" t="s">
        <v>115</v>
      </c>
      <c r="P12" s="2">
        <v>43891</v>
      </c>
      <c r="Q12" s="12">
        <v>22143.94</v>
      </c>
      <c r="R12" s="9">
        <v>21325.289499999999</v>
      </c>
      <c r="S12" s="11" t="s">
        <v>115</v>
      </c>
      <c r="T12" s="2">
        <v>44256</v>
      </c>
      <c r="U12" s="16">
        <v>18136.822499999998</v>
      </c>
      <c r="V12" s="9">
        <v>17274.7595</v>
      </c>
      <c r="W12" s="11" t="s">
        <v>115</v>
      </c>
      <c r="X12" s="2">
        <v>44621</v>
      </c>
      <c r="Y12" s="16">
        <v>27886.326999999997</v>
      </c>
      <c r="Z12" s="9">
        <v>31692.2405</v>
      </c>
      <c r="AA12" s="11" t="s">
        <v>115</v>
      </c>
      <c r="AB12" s="2">
        <v>44986</v>
      </c>
      <c r="AC12" s="16"/>
      <c r="AD12" s="9"/>
      <c r="AE12" s="11"/>
    </row>
    <row r="13" spans="1:31">
      <c r="L13" s="2">
        <v>43647</v>
      </c>
      <c r="M13" s="9">
        <v>24226.59</v>
      </c>
      <c r="N13" s="9">
        <v>26350.400000000001</v>
      </c>
      <c r="O13" s="11" t="s">
        <v>115</v>
      </c>
      <c r="P13" s="2">
        <v>43922</v>
      </c>
      <c r="Q13" s="9">
        <v>22678.322</v>
      </c>
      <c r="R13" s="9">
        <v>23349.829999999998</v>
      </c>
      <c r="S13" s="11" t="s">
        <v>115</v>
      </c>
      <c r="T13" s="2">
        <v>44287</v>
      </c>
      <c r="U13" s="9">
        <v>16229.719999999998</v>
      </c>
      <c r="V13" s="9">
        <v>20516.022999999997</v>
      </c>
      <c r="W13" s="11" t="s">
        <v>115</v>
      </c>
      <c r="X13" s="2">
        <v>44652</v>
      </c>
      <c r="Y13" s="9">
        <v>27861.923999999999</v>
      </c>
      <c r="Z13" s="9">
        <v>28323.591499999995</v>
      </c>
      <c r="AA13" s="11" t="s">
        <v>115</v>
      </c>
      <c r="AB13" s="2">
        <v>45017</v>
      </c>
      <c r="AC13" s="9"/>
      <c r="AD13" s="9"/>
      <c r="AE13" s="11"/>
    </row>
    <row r="14" spans="1:31">
      <c r="L14" s="2">
        <v>43678</v>
      </c>
      <c r="M14" s="9">
        <v>21267.51</v>
      </c>
      <c r="N14" s="9">
        <v>24426.09</v>
      </c>
      <c r="O14" s="11" t="s">
        <v>115</v>
      </c>
      <c r="P14" s="2">
        <v>43952</v>
      </c>
      <c r="Q14" s="9">
        <v>24881.526499999996</v>
      </c>
      <c r="R14" s="9">
        <v>23104.661500000002</v>
      </c>
      <c r="S14" s="11" t="s">
        <v>115</v>
      </c>
      <c r="T14" s="2">
        <v>44317</v>
      </c>
      <c r="U14" s="9">
        <v>23918.907500000001</v>
      </c>
      <c r="V14" s="12">
        <v>21985.147999999997</v>
      </c>
      <c r="W14" s="11" t="s">
        <v>115</v>
      </c>
      <c r="X14" s="2">
        <v>44682</v>
      </c>
      <c r="Y14" s="9">
        <v>32867.034499999994</v>
      </c>
      <c r="Z14" s="12">
        <v>29721.726999999995</v>
      </c>
      <c r="AA14" s="11" t="s">
        <v>115</v>
      </c>
      <c r="AB14" s="2">
        <v>45047</v>
      </c>
      <c r="AC14" s="9"/>
      <c r="AD14" s="12"/>
      <c r="AE14" s="11"/>
    </row>
    <row r="15" spans="1:31">
      <c r="L15" s="2">
        <v>43709</v>
      </c>
      <c r="M15" s="9">
        <v>23540.729177391426</v>
      </c>
      <c r="N15" s="9">
        <v>22692.97</v>
      </c>
      <c r="O15" s="11" t="s">
        <v>115</v>
      </c>
      <c r="P15" s="2">
        <v>43983</v>
      </c>
      <c r="Q15" s="12">
        <v>27633.513644999995</v>
      </c>
      <c r="R15" s="9">
        <v>28870.623499999998</v>
      </c>
      <c r="S15" s="11" t="s">
        <v>115</v>
      </c>
      <c r="T15" s="2">
        <v>44348</v>
      </c>
      <c r="U15" s="12">
        <v>32195.940499999997</v>
      </c>
      <c r="V15" s="9">
        <v>28712.245499999997</v>
      </c>
      <c r="W15" s="11" t="s">
        <v>115</v>
      </c>
      <c r="X15" s="2">
        <v>44713</v>
      </c>
      <c r="Y15" s="12">
        <v>39887.600499999993</v>
      </c>
      <c r="Z15" s="9">
        <v>34959.907999999996</v>
      </c>
      <c r="AA15" s="11" t="s">
        <v>115</v>
      </c>
      <c r="AB15" s="2">
        <v>45078</v>
      </c>
      <c r="AC15" s="12"/>
      <c r="AD15" s="9"/>
      <c r="AE15" s="11"/>
    </row>
    <row r="16" spans="1:31">
      <c r="L16" s="2"/>
      <c r="M16" s="9"/>
      <c r="N16" s="9"/>
      <c r="O16" s="11"/>
      <c r="P16" s="2">
        <v>44013</v>
      </c>
      <c r="Q16" s="9">
        <v>30174.941624999999</v>
      </c>
      <c r="R16" s="9">
        <v>28136.843000000001</v>
      </c>
      <c r="S16" s="11" t="s">
        <v>115</v>
      </c>
      <c r="T16" s="2">
        <v>44378</v>
      </c>
      <c r="U16" s="9">
        <v>47244.357499999991</v>
      </c>
      <c r="V16" s="12">
        <v>33140.964499999995</v>
      </c>
      <c r="W16" s="11" t="s">
        <v>115</v>
      </c>
      <c r="X16" s="2">
        <v>44743</v>
      </c>
      <c r="Y16" s="9">
        <v>31588.671499999997</v>
      </c>
      <c r="Z16" s="12">
        <v>35344.352999999996</v>
      </c>
      <c r="AA16" s="11" t="s">
        <v>115</v>
      </c>
      <c r="AB16" s="2">
        <v>45108</v>
      </c>
      <c r="AC16" s="9"/>
      <c r="AD16" s="12"/>
      <c r="AE16" s="11"/>
    </row>
    <row r="17" spans="12:31">
      <c r="L17" s="2"/>
      <c r="M17" s="12"/>
      <c r="N17" s="9"/>
      <c r="O17" s="11"/>
      <c r="P17" s="2">
        <v>44044</v>
      </c>
      <c r="Q17" s="12">
        <v>27630.095500000003</v>
      </c>
      <c r="R17" s="9">
        <v>26816.746500000001</v>
      </c>
      <c r="S17" s="11" t="s">
        <v>115</v>
      </c>
      <c r="T17" s="2">
        <v>44409</v>
      </c>
      <c r="U17" s="12">
        <v>29751.948999999997</v>
      </c>
      <c r="V17" s="12">
        <v>36234.832499999997</v>
      </c>
      <c r="W17" s="11" t="s">
        <v>115</v>
      </c>
      <c r="X17" s="2">
        <v>44774</v>
      </c>
      <c r="Y17" s="12">
        <v>37220.106499999994</v>
      </c>
      <c r="Z17" s="12">
        <v>36412.150999999991</v>
      </c>
      <c r="AA17" s="11" t="s">
        <v>115</v>
      </c>
      <c r="AB17" s="2">
        <v>45139</v>
      </c>
      <c r="AC17" s="12"/>
      <c r="AD17" s="12"/>
      <c r="AE17" s="11"/>
    </row>
    <row r="18" spans="12:31">
      <c r="L18" s="2"/>
      <c r="M18" s="12"/>
      <c r="N18" s="9"/>
      <c r="O18" s="11"/>
      <c r="P18" s="2">
        <v>44075</v>
      </c>
      <c r="Q18" s="12">
        <v>19716.220999999998</v>
      </c>
      <c r="R18" s="9">
        <v>22011.356499999998</v>
      </c>
      <c r="S18" s="11" t="s">
        <v>115</v>
      </c>
      <c r="T18" s="2">
        <v>44440</v>
      </c>
      <c r="U18" s="12">
        <v>25340.675499999998</v>
      </c>
      <c r="V18" s="12">
        <v>26786.593499999995</v>
      </c>
      <c r="W18" s="11" t="s">
        <v>115</v>
      </c>
      <c r="X18" s="2">
        <v>44805</v>
      </c>
      <c r="Y18" s="12">
        <v>26241.689000000002</v>
      </c>
      <c r="Z18" s="12">
        <v>28011.01</v>
      </c>
      <c r="AA18" s="11" t="s">
        <v>115</v>
      </c>
      <c r="AB18" s="2">
        <v>45170</v>
      </c>
      <c r="AC18" s="12"/>
      <c r="AD18" s="12"/>
      <c r="AE18" s="11"/>
    </row>
    <row r="19" spans="12:31">
      <c r="M19" s="10">
        <f>SUM(M7:M18)</f>
        <v>196332.71917739141</v>
      </c>
      <c r="N19" s="10">
        <f>SUM(N7:N18)</f>
        <v>193339.54250000001</v>
      </c>
      <c r="O19" s="10">
        <f>M19-N19</f>
        <v>2993.1766773913987</v>
      </c>
      <c r="Q19" s="10">
        <f>SUM(Q7:Q18)</f>
        <v>280700.29850679589</v>
      </c>
      <c r="R19" s="10">
        <f>SUM(R7:R18)</f>
        <v>280224.82399999996</v>
      </c>
      <c r="S19" s="10">
        <f>Q19-R19</f>
        <v>475.47450679593021</v>
      </c>
      <c r="U19" s="10">
        <f>SUM(U7:U18)</f>
        <v>283438.84193199995</v>
      </c>
      <c r="V19" s="10">
        <f>SUM(V7:V18)</f>
        <v>273336.94500000001</v>
      </c>
      <c r="W19" s="10">
        <f>U19-V19</f>
        <v>10101.896931999945</v>
      </c>
      <c r="Y19" s="10">
        <f>SUM(Y7:Y18)</f>
        <v>344969.98499999999</v>
      </c>
      <c r="Z19" s="10">
        <f>SUM(Z7:Z18)</f>
        <v>337339.65449999995</v>
      </c>
      <c r="AA19" s="10">
        <f>Y19-Z19</f>
        <v>7630.33050000004</v>
      </c>
      <c r="AC19" s="10">
        <f>SUM(AC7:AC18)</f>
        <v>66173.656499999997</v>
      </c>
      <c r="AD19" s="10">
        <f>SUM(AD7:AD18)</f>
        <v>64654.943499999994</v>
      </c>
      <c r="AE19" s="10">
        <f>AC19-AD19</f>
        <v>1518.7130000000034</v>
      </c>
    </row>
    <row r="26" spans="12:31">
      <c r="W26" t="s">
        <v>116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C56B-30FF-45A8-9505-BDCCAD7F5F4B}">
  <dimension ref="A1:Y36"/>
  <sheetViews>
    <sheetView workbookViewId="0">
      <selection activeCell="Y31" sqref="Y31"/>
    </sheetView>
  </sheetViews>
  <sheetFormatPr defaultRowHeight="15"/>
  <cols>
    <col min="12" max="13" width="9.140625" hidden="1" customWidth="1"/>
    <col min="15" max="16" width="9.140625" hidden="1" customWidth="1"/>
    <col min="18" max="19" width="9.140625" hidden="1" customWidth="1"/>
    <col min="21" max="22" width="0" hidden="1" customWidth="1"/>
  </cols>
  <sheetData>
    <row r="1" spans="1:25" ht="18.75">
      <c r="A1" s="1" t="s">
        <v>117</v>
      </c>
    </row>
    <row r="3" spans="1:25">
      <c r="L3" t="s">
        <v>112</v>
      </c>
      <c r="M3" t="s">
        <v>113</v>
      </c>
      <c r="O3" t="s">
        <v>112</v>
      </c>
      <c r="P3" t="s">
        <v>113</v>
      </c>
      <c r="R3" t="s">
        <v>112</v>
      </c>
      <c r="S3" t="s">
        <v>113</v>
      </c>
      <c r="U3" t="s">
        <v>112</v>
      </c>
      <c r="V3" t="s">
        <v>113</v>
      </c>
      <c r="X3" t="s">
        <v>112</v>
      </c>
      <c r="Y3" t="s">
        <v>113</v>
      </c>
    </row>
    <row r="4" spans="1:25">
      <c r="K4" s="2">
        <v>43466</v>
      </c>
      <c r="L4">
        <v>11122</v>
      </c>
      <c r="M4">
        <v>12825</v>
      </c>
      <c r="N4" s="2">
        <v>43739</v>
      </c>
      <c r="O4">
        <v>13092</v>
      </c>
      <c r="P4">
        <v>13875</v>
      </c>
      <c r="Q4" s="2">
        <v>44105</v>
      </c>
      <c r="R4">
        <v>10741</v>
      </c>
      <c r="S4">
        <v>10601</v>
      </c>
      <c r="T4" s="2">
        <v>44470</v>
      </c>
      <c r="U4">
        <v>13087</v>
      </c>
      <c r="V4">
        <v>11941</v>
      </c>
      <c r="W4" s="2">
        <v>44835</v>
      </c>
      <c r="X4">
        <v>10918</v>
      </c>
      <c r="Y4">
        <v>10532</v>
      </c>
    </row>
    <row r="5" spans="1:25">
      <c r="K5" s="2">
        <v>43497</v>
      </c>
      <c r="L5">
        <v>14574</v>
      </c>
      <c r="M5">
        <v>13653</v>
      </c>
      <c r="N5" s="2">
        <v>43770</v>
      </c>
      <c r="O5">
        <v>13224</v>
      </c>
      <c r="P5">
        <v>13290</v>
      </c>
      <c r="Q5" s="2">
        <v>44136</v>
      </c>
      <c r="R5">
        <v>10486</v>
      </c>
      <c r="S5">
        <v>10424</v>
      </c>
      <c r="T5" s="2">
        <v>44501</v>
      </c>
      <c r="U5">
        <v>11195</v>
      </c>
      <c r="V5">
        <v>12124</v>
      </c>
      <c r="W5" s="2">
        <v>44866</v>
      </c>
      <c r="X5">
        <v>11434</v>
      </c>
      <c r="Y5">
        <v>10728</v>
      </c>
    </row>
    <row r="6" spans="1:25">
      <c r="K6" s="2">
        <v>43525</v>
      </c>
      <c r="L6">
        <v>12760</v>
      </c>
      <c r="M6">
        <v>12018</v>
      </c>
      <c r="N6" s="2">
        <v>43800</v>
      </c>
      <c r="O6">
        <v>14737</v>
      </c>
      <c r="P6">
        <v>13070</v>
      </c>
      <c r="Q6" s="2">
        <v>44166</v>
      </c>
      <c r="R6">
        <v>8788</v>
      </c>
      <c r="S6">
        <v>9315</v>
      </c>
      <c r="T6" s="2">
        <v>44531</v>
      </c>
      <c r="U6">
        <v>11715</v>
      </c>
      <c r="V6">
        <v>11964</v>
      </c>
      <c r="W6" s="2">
        <v>44896</v>
      </c>
      <c r="X6">
        <v>7943</v>
      </c>
      <c r="Y6">
        <v>9230</v>
      </c>
    </row>
    <row r="7" spans="1:25">
      <c r="K7" s="2">
        <v>43556</v>
      </c>
      <c r="L7">
        <v>13944</v>
      </c>
      <c r="M7">
        <v>14381</v>
      </c>
      <c r="N7" s="2">
        <v>43831</v>
      </c>
      <c r="O7">
        <v>10881</v>
      </c>
      <c r="P7">
        <v>12234</v>
      </c>
      <c r="Q7" s="2">
        <v>44197</v>
      </c>
      <c r="R7">
        <v>10531</v>
      </c>
      <c r="S7">
        <v>9824</v>
      </c>
      <c r="T7" s="2">
        <v>44562</v>
      </c>
      <c r="U7">
        <v>11599</v>
      </c>
      <c r="V7">
        <v>10979</v>
      </c>
      <c r="W7" s="2">
        <v>44927</v>
      </c>
    </row>
    <row r="8" spans="1:25">
      <c r="K8" s="2">
        <v>43586</v>
      </c>
      <c r="L8">
        <v>14358</v>
      </c>
      <c r="M8">
        <v>14897</v>
      </c>
      <c r="N8" s="2">
        <v>43862</v>
      </c>
      <c r="O8">
        <v>13441</v>
      </c>
      <c r="P8">
        <v>14060</v>
      </c>
      <c r="Q8" s="2">
        <v>44228</v>
      </c>
      <c r="R8">
        <v>12676</v>
      </c>
      <c r="S8">
        <v>11373</v>
      </c>
      <c r="T8" s="2">
        <v>44593</v>
      </c>
      <c r="U8">
        <v>13067</v>
      </c>
      <c r="V8">
        <v>10526</v>
      </c>
      <c r="W8" s="2">
        <v>44958</v>
      </c>
    </row>
    <row r="9" spans="1:25">
      <c r="K9" s="2">
        <v>43617</v>
      </c>
      <c r="L9">
        <v>18630</v>
      </c>
      <c r="M9">
        <v>16898</v>
      </c>
      <c r="N9" s="2">
        <v>43891</v>
      </c>
      <c r="O9">
        <v>13840</v>
      </c>
      <c r="P9">
        <v>13308</v>
      </c>
      <c r="Q9" s="2">
        <v>44256</v>
      </c>
      <c r="R9">
        <v>10737</v>
      </c>
      <c r="S9">
        <v>10025</v>
      </c>
      <c r="T9" s="2">
        <v>44621</v>
      </c>
      <c r="U9">
        <v>13956</v>
      </c>
      <c r="V9">
        <v>16365</v>
      </c>
      <c r="W9" s="2">
        <v>44986</v>
      </c>
    </row>
    <row r="10" spans="1:25">
      <c r="K10" s="2">
        <v>43647</v>
      </c>
      <c r="L10">
        <v>14922</v>
      </c>
      <c r="M10">
        <v>16567</v>
      </c>
      <c r="N10" s="2">
        <v>43922</v>
      </c>
      <c r="O10">
        <v>14174</v>
      </c>
      <c r="P10">
        <v>14621</v>
      </c>
      <c r="Q10" s="2">
        <v>44287</v>
      </c>
      <c r="R10">
        <v>9608</v>
      </c>
      <c r="S10">
        <v>12004</v>
      </c>
      <c r="T10" s="2">
        <v>44652</v>
      </c>
      <c r="U10">
        <v>13943</v>
      </c>
      <c r="V10">
        <v>14570</v>
      </c>
      <c r="W10" s="2">
        <v>45017</v>
      </c>
    </row>
    <row r="11" spans="1:25">
      <c r="K11" s="2">
        <v>43678</v>
      </c>
      <c r="L11">
        <v>14901</v>
      </c>
      <c r="M11">
        <v>15319</v>
      </c>
      <c r="N11" s="2">
        <v>43952</v>
      </c>
      <c r="O11">
        <v>15551</v>
      </c>
      <c r="P11">
        <v>14462</v>
      </c>
      <c r="Q11" s="2">
        <v>44317</v>
      </c>
      <c r="R11">
        <v>14160</v>
      </c>
      <c r="S11">
        <v>12901</v>
      </c>
      <c r="T11" s="2">
        <v>44682</v>
      </c>
      <c r="U11">
        <v>16615</v>
      </c>
      <c r="V11">
        <v>15315</v>
      </c>
      <c r="W11" s="2">
        <v>45047</v>
      </c>
    </row>
    <row r="12" spans="1:25">
      <c r="K12" s="2">
        <v>43709</v>
      </c>
      <c r="L12">
        <v>14713</v>
      </c>
      <c r="M12">
        <v>14195</v>
      </c>
      <c r="N12" s="2">
        <v>43983</v>
      </c>
      <c r="O12">
        <v>17271</v>
      </c>
      <c r="P12">
        <v>17941</v>
      </c>
      <c r="Q12" s="2">
        <v>44348</v>
      </c>
      <c r="R12">
        <v>19060</v>
      </c>
      <c r="S12">
        <v>16904</v>
      </c>
      <c r="T12" s="2">
        <v>44713</v>
      </c>
      <c r="U12">
        <v>19944</v>
      </c>
      <c r="V12">
        <v>17863</v>
      </c>
      <c r="W12" s="2">
        <v>45078</v>
      </c>
    </row>
    <row r="13" spans="1:25">
      <c r="K13" s="2"/>
      <c r="N13" s="2">
        <v>44013</v>
      </c>
      <c r="O13">
        <v>17125</v>
      </c>
      <c r="P13">
        <v>16657</v>
      </c>
      <c r="Q13" s="2">
        <v>44378</v>
      </c>
      <c r="R13">
        <v>22714</v>
      </c>
      <c r="S13">
        <v>17131</v>
      </c>
      <c r="T13" s="2">
        <v>44743</v>
      </c>
      <c r="U13">
        <v>15102</v>
      </c>
      <c r="V13">
        <v>17002</v>
      </c>
      <c r="W13" s="2">
        <v>45108</v>
      </c>
    </row>
    <row r="14" spans="1:25">
      <c r="K14" s="2"/>
      <c r="N14" s="2">
        <v>44044</v>
      </c>
      <c r="O14">
        <v>15672</v>
      </c>
      <c r="P14">
        <v>15851</v>
      </c>
      <c r="Q14" s="2">
        <v>44409</v>
      </c>
      <c r="R14">
        <v>11618</v>
      </c>
      <c r="S14">
        <v>19359</v>
      </c>
      <c r="T14" s="2">
        <v>44774</v>
      </c>
      <c r="U14">
        <v>17287</v>
      </c>
      <c r="V14">
        <v>17498</v>
      </c>
      <c r="W14" s="2">
        <v>45139</v>
      </c>
    </row>
    <row r="15" spans="1:25">
      <c r="K15" s="2"/>
      <c r="N15" s="2">
        <v>44075</v>
      </c>
      <c r="O15">
        <v>11672</v>
      </c>
      <c r="P15">
        <v>10601</v>
      </c>
      <c r="Q15" s="2">
        <v>44440</v>
      </c>
      <c r="R15">
        <v>12582</v>
      </c>
      <c r="S15">
        <v>13751</v>
      </c>
      <c r="T15" s="2">
        <v>44805</v>
      </c>
      <c r="U15">
        <v>11850</v>
      </c>
      <c r="V15">
        <v>13366</v>
      </c>
      <c r="W15" s="2">
        <v>45170</v>
      </c>
    </row>
    <row r="23" spans="11:25">
      <c r="K23" s="14" t="s">
        <v>118</v>
      </c>
    </row>
    <row r="24" spans="11:25">
      <c r="L24" t="s">
        <v>112</v>
      </c>
      <c r="M24" t="s">
        <v>113</v>
      </c>
      <c r="O24" t="s">
        <v>112</v>
      </c>
      <c r="P24" t="s">
        <v>113</v>
      </c>
      <c r="R24" t="s">
        <v>112</v>
      </c>
      <c r="S24" t="s">
        <v>113</v>
      </c>
      <c r="U24" t="s">
        <v>112</v>
      </c>
      <c r="V24" t="s">
        <v>113</v>
      </c>
      <c r="X24" t="s">
        <v>112</v>
      </c>
      <c r="Y24" t="s">
        <v>113</v>
      </c>
    </row>
    <row r="25" spans="11:25">
      <c r="K25" s="2">
        <v>43466</v>
      </c>
      <c r="L25" s="7">
        <v>347.5625</v>
      </c>
      <c r="M25">
        <v>413</v>
      </c>
      <c r="N25" s="2">
        <v>43739</v>
      </c>
      <c r="O25" s="7">
        <v>422.32258064516128</v>
      </c>
      <c r="P25" s="7">
        <v>447.58064516129031</v>
      </c>
      <c r="Q25" s="2">
        <v>44105</v>
      </c>
      <c r="R25" s="7">
        <v>358.03333333333336</v>
      </c>
      <c r="S25" s="7">
        <v>341.96774193548384</v>
      </c>
      <c r="T25" s="2">
        <v>44470</v>
      </c>
      <c r="U25" s="7">
        <v>396.57575757575756</v>
      </c>
      <c r="V25" s="7">
        <v>385.19354838709677</v>
      </c>
      <c r="W25" s="2">
        <v>44835</v>
      </c>
      <c r="X25" s="7">
        <v>352.19354838709677</v>
      </c>
      <c r="Y25" s="7">
        <v>339.74193548387098</v>
      </c>
    </row>
    <row r="26" spans="11:25">
      <c r="K26" s="2">
        <v>43497</v>
      </c>
      <c r="L26" s="7">
        <v>502.55172413793105</v>
      </c>
      <c r="M26">
        <v>487</v>
      </c>
      <c r="N26" s="2">
        <v>43770</v>
      </c>
      <c r="O26" s="7">
        <v>427</v>
      </c>
      <c r="P26">
        <v>443</v>
      </c>
      <c r="Q26" s="2">
        <v>44136</v>
      </c>
      <c r="R26" s="7">
        <v>338.25806451612902</v>
      </c>
      <c r="S26" s="7">
        <v>347.46666666666664</v>
      </c>
      <c r="T26" s="2">
        <v>44501</v>
      </c>
      <c r="U26" s="7">
        <v>399.82142857142856</v>
      </c>
      <c r="V26" s="7">
        <v>391.09677419354841</v>
      </c>
      <c r="W26" s="2">
        <v>44866</v>
      </c>
      <c r="X26" s="7">
        <v>346.4848484848485</v>
      </c>
      <c r="Y26" s="7">
        <v>357.6</v>
      </c>
    </row>
    <row r="27" spans="11:25">
      <c r="K27" s="2">
        <v>43525</v>
      </c>
      <c r="L27" s="7">
        <v>398.75</v>
      </c>
      <c r="M27">
        <v>387</v>
      </c>
      <c r="N27" s="2">
        <v>43800</v>
      </c>
      <c r="O27" s="7">
        <v>421</v>
      </c>
      <c r="P27" s="7">
        <v>422</v>
      </c>
      <c r="Q27" s="2">
        <v>44166</v>
      </c>
      <c r="R27" s="7">
        <v>283.48387096774195</v>
      </c>
      <c r="S27" s="7">
        <v>300.48387096774195</v>
      </c>
      <c r="T27" s="2">
        <v>44531</v>
      </c>
      <c r="U27" s="7">
        <v>377.90322580645159</v>
      </c>
      <c r="V27" s="7">
        <v>386</v>
      </c>
      <c r="W27" s="2">
        <v>44896</v>
      </c>
      <c r="X27" s="7">
        <v>283.67857142857144</v>
      </c>
      <c r="Y27" s="7">
        <v>297.74193548387098</v>
      </c>
    </row>
    <row r="28" spans="11:25">
      <c r="K28" s="2">
        <v>43556</v>
      </c>
      <c r="L28" s="7">
        <v>449.80645161290323</v>
      </c>
      <c r="M28">
        <v>497</v>
      </c>
      <c r="N28" s="2">
        <v>43831</v>
      </c>
      <c r="O28" s="7">
        <v>418.5</v>
      </c>
      <c r="P28" s="7">
        <v>394.64516129032256</v>
      </c>
      <c r="Q28" s="2">
        <v>44197</v>
      </c>
      <c r="R28" s="7">
        <v>339.70967741935482</v>
      </c>
      <c r="S28" s="7">
        <v>316.90322580645159</v>
      </c>
      <c r="T28" s="2">
        <v>44562</v>
      </c>
      <c r="U28" s="7">
        <v>374.16129032258067</v>
      </c>
      <c r="V28" s="7">
        <v>354.16129032258067</v>
      </c>
      <c r="W28" s="2">
        <v>44927</v>
      </c>
      <c r="X28" s="7"/>
      <c r="Y28" s="7"/>
    </row>
    <row r="29" spans="11:25">
      <c r="K29" s="2">
        <v>43586</v>
      </c>
      <c r="L29" s="7">
        <v>463.16129032258067</v>
      </c>
      <c r="M29">
        <v>480</v>
      </c>
      <c r="N29" s="2">
        <v>43862</v>
      </c>
      <c r="O29" s="7">
        <v>497.81481481481484</v>
      </c>
      <c r="P29" s="7">
        <v>484.82758620689657</v>
      </c>
      <c r="Q29" s="2">
        <v>44228</v>
      </c>
      <c r="R29" s="7">
        <v>437.10344827586209</v>
      </c>
      <c r="S29" s="7">
        <v>406.17857142857144</v>
      </c>
      <c r="T29" s="2">
        <v>44593</v>
      </c>
      <c r="U29" s="7">
        <v>466.67857142857144</v>
      </c>
      <c r="V29" s="7">
        <v>375.92857142857144</v>
      </c>
      <c r="W29" s="2">
        <v>44958</v>
      </c>
      <c r="X29" s="7"/>
      <c r="Y29" s="7"/>
    </row>
    <row r="30" spans="11:25">
      <c r="K30" s="2">
        <v>43617</v>
      </c>
      <c r="L30" s="7">
        <v>600.9677419354839</v>
      </c>
      <c r="M30">
        <v>563</v>
      </c>
      <c r="N30" s="2">
        <v>43891</v>
      </c>
      <c r="O30">
        <v>447</v>
      </c>
      <c r="P30" s="7">
        <v>429.29032258064518</v>
      </c>
      <c r="Q30" s="2">
        <v>44256</v>
      </c>
      <c r="R30" s="7">
        <v>357.9</v>
      </c>
      <c r="S30" s="7">
        <v>323.38709677419354</v>
      </c>
      <c r="T30" s="2">
        <v>44621</v>
      </c>
      <c r="U30" s="7">
        <v>450.19354838709677</v>
      </c>
      <c r="V30" s="7">
        <v>527.90322580645159</v>
      </c>
      <c r="W30" s="2">
        <v>44986</v>
      </c>
      <c r="X30" s="7"/>
      <c r="Y30" s="7"/>
    </row>
    <row r="31" spans="11:25">
      <c r="K31" s="2">
        <v>43647</v>
      </c>
      <c r="L31" s="7">
        <v>481.35483870967744</v>
      </c>
      <c r="M31">
        <v>534</v>
      </c>
      <c r="N31" s="2">
        <v>43922</v>
      </c>
      <c r="O31">
        <v>473</v>
      </c>
      <c r="P31" s="7">
        <v>487</v>
      </c>
      <c r="Q31" s="2">
        <v>44287</v>
      </c>
      <c r="R31" s="7">
        <v>331.31034482758622</v>
      </c>
      <c r="S31" s="7">
        <v>400.13333333333333</v>
      </c>
      <c r="T31" s="2">
        <v>44652</v>
      </c>
      <c r="U31" s="7">
        <v>464.76666666666665</v>
      </c>
      <c r="V31" s="7">
        <v>485.66666666666669</v>
      </c>
      <c r="W31" s="2">
        <v>45017</v>
      </c>
      <c r="X31" s="7"/>
      <c r="Y31" s="7"/>
    </row>
    <row r="32" spans="11:25">
      <c r="K32" s="2">
        <v>43678</v>
      </c>
      <c r="L32" s="7">
        <v>480.67741935483872</v>
      </c>
      <c r="M32">
        <v>494</v>
      </c>
      <c r="N32" s="2">
        <v>43952</v>
      </c>
      <c r="O32" s="7">
        <v>501.64516129032256</v>
      </c>
      <c r="P32" s="7">
        <v>466.51612903225805</v>
      </c>
      <c r="Q32" s="2">
        <v>44317</v>
      </c>
      <c r="R32" s="7">
        <v>456.77419354838707</v>
      </c>
      <c r="S32" s="7">
        <v>416.16129032258067</v>
      </c>
      <c r="T32" s="2">
        <v>44682</v>
      </c>
      <c r="U32" s="7">
        <v>535.9677419354839</v>
      </c>
      <c r="V32" s="7">
        <v>494.03225806451616</v>
      </c>
      <c r="W32" s="2">
        <v>45047</v>
      </c>
      <c r="X32" s="7"/>
      <c r="Y32" s="7"/>
    </row>
    <row r="33" spans="11:25">
      <c r="K33" s="2">
        <v>43709</v>
      </c>
      <c r="L33" s="7">
        <v>490</v>
      </c>
      <c r="M33">
        <v>473</v>
      </c>
      <c r="N33" s="2">
        <v>43983</v>
      </c>
      <c r="O33" s="7">
        <v>576</v>
      </c>
      <c r="P33" s="7">
        <v>598</v>
      </c>
      <c r="Q33" s="2">
        <v>44348</v>
      </c>
      <c r="R33" s="7">
        <v>529.44444444444446</v>
      </c>
      <c r="S33" s="7">
        <v>563.4666666666667</v>
      </c>
      <c r="T33" s="2">
        <v>44713</v>
      </c>
      <c r="U33" s="7">
        <v>586.58823529411768</v>
      </c>
      <c r="V33" s="7">
        <v>595.43333333333328</v>
      </c>
      <c r="W33" s="2">
        <v>45078</v>
      </c>
      <c r="X33" s="7"/>
      <c r="Y33" s="7"/>
    </row>
    <row r="34" spans="11:25">
      <c r="N34" s="2">
        <v>44013</v>
      </c>
      <c r="O34" s="7">
        <v>552.41935483870964</v>
      </c>
      <c r="P34" s="7">
        <v>537.32258064516134</v>
      </c>
      <c r="Q34" s="2">
        <v>44378</v>
      </c>
      <c r="R34" s="7">
        <v>783.24137931034488</v>
      </c>
      <c r="S34" s="7">
        <v>503.85294117647061</v>
      </c>
      <c r="T34" s="2">
        <v>44743</v>
      </c>
      <c r="U34" s="7">
        <v>559.33333333333337</v>
      </c>
      <c r="V34" s="7">
        <v>548.45161290322585</v>
      </c>
      <c r="W34" s="2">
        <v>45108</v>
      </c>
      <c r="X34" s="7"/>
      <c r="Y34" s="7"/>
    </row>
    <row r="35" spans="11:25">
      <c r="N35" s="2">
        <v>44044</v>
      </c>
      <c r="O35" s="7">
        <v>505.54838709677421</v>
      </c>
      <c r="P35" s="7">
        <v>511.32258064516128</v>
      </c>
      <c r="Q35" s="2">
        <v>44409</v>
      </c>
      <c r="R35" s="7">
        <v>414.92857142857144</v>
      </c>
      <c r="S35" s="7">
        <v>691.39285714285711</v>
      </c>
      <c r="T35" s="2">
        <v>44774</v>
      </c>
      <c r="U35" s="7">
        <v>557.64516129032256</v>
      </c>
      <c r="V35" s="7">
        <v>564.45161290322585</v>
      </c>
      <c r="W35" s="2">
        <v>45139</v>
      </c>
      <c r="X35" s="7"/>
      <c r="Y35" s="7"/>
    </row>
    <row r="36" spans="11:25">
      <c r="N36" s="2">
        <v>44075</v>
      </c>
      <c r="O36" s="7">
        <v>389.06666666666666</v>
      </c>
      <c r="P36" s="7">
        <v>430.56666666666666</v>
      </c>
      <c r="Q36" s="2">
        <v>44440</v>
      </c>
      <c r="R36" s="7">
        <v>419.4</v>
      </c>
      <c r="S36" s="7">
        <v>458.36666666666667</v>
      </c>
      <c r="T36" s="2">
        <v>44805</v>
      </c>
      <c r="U36" s="7">
        <v>395</v>
      </c>
      <c r="V36" s="7">
        <v>445.53333333333336</v>
      </c>
      <c r="W36" s="2">
        <v>45170</v>
      </c>
      <c r="X36" s="7"/>
      <c r="Y36" s="7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BA44-3C7B-4E5F-BE7B-48D96470BC83}">
  <dimension ref="A1:Y15"/>
  <sheetViews>
    <sheetView workbookViewId="0">
      <selection activeCell="Z12" sqref="Z12"/>
    </sheetView>
  </sheetViews>
  <sheetFormatPr defaultRowHeight="15"/>
  <cols>
    <col min="11" max="12" width="9.140625" hidden="1" customWidth="1"/>
    <col min="14" max="15" width="9.140625" hidden="1" customWidth="1"/>
    <col min="17" max="18" width="9.140625" hidden="1" customWidth="1"/>
    <col min="20" max="21" width="0" hidden="1" customWidth="1"/>
    <col min="22" max="22" width="22.5703125" hidden="1" customWidth="1"/>
  </cols>
  <sheetData>
    <row r="1" spans="1:25" ht="18.75">
      <c r="A1" s="1" t="s">
        <v>119</v>
      </c>
    </row>
    <row r="3" spans="1:25">
      <c r="K3" t="s">
        <v>112</v>
      </c>
      <c r="L3" t="s">
        <v>113</v>
      </c>
      <c r="N3" t="s">
        <v>112</v>
      </c>
      <c r="O3" t="s">
        <v>113</v>
      </c>
      <c r="Q3" t="s">
        <v>112</v>
      </c>
      <c r="R3" t="s">
        <v>113</v>
      </c>
      <c r="T3" t="s">
        <v>112</v>
      </c>
      <c r="U3" t="s">
        <v>113</v>
      </c>
      <c r="X3" t="s">
        <v>112</v>
      </c>
      <c r="Y3" t="s">
        <v>113</v>
      </c>
    </row>
    <row r="4" spans="1:25">
      <c r="J4" s="2">
        <v>43466</v>
      </c>
      <c r="K4" s="9">
        <v>1.42</v>
      </c>
      <c r="L4" s="9">
        <v>1.42</v>
      </c>
      <c r="M4" s="2">
        <v>43739</v>
      </c>
      <c r="N4" s="9">
        <v>1.58</v>
      </c>
      <c r="O4" s="9">
        <v>1.5999678558558557</v>
      </c>
      <c r="P4" s="2">
        <v>44105</v>
      </c>
      <c r="Q4" s="9">
        <v>1.6</v>
      </c>
      <c r="R4" s="9">
        <v>1.72</v>
      </c>
      <c r="S4" s="2">
        <v>44470</v>
      </c>
      <c r="T4" s="16">
        <v>1.9285351493848857</v>
      </c>
      <c r="U4" s="16">
        <v>1.8766852022443681</v>
      </c>
      <c r="W4" s="2">
        <v>44835</v>
      </c>
      <c r="X4" s="16">
        <v>2.083557107528851</v>
      </c>
      <c r="Y4" s="16">
        <v>2.0168698252943411</v>
      </c>
    </row>
    <row r="5" spans="1:25">
      <c r="J5" s="2">
        <v>43497</v>
      </c>
      <c r="K5" s="9">
        <v>1.42</v>
      </c>
      <c r="L5" s="9">
        <v>1.42</v>
      </c>
      <c r="M5" s="2">
        <v>43770</v>
      </c>
      <c r="N5" s="9">
        <v>1.58</v>
      </c>
      <c r="O5" s="9">
        <f>O4</f>
        <v>1.5999678558558557</v>
      </c>
      <c r="P5" s="2">
        <v>44136</v>
      </c>
      <c r="Q5" s="9">
        <v>1.4552862864772076</v>
      </c>
      <c r="R5" s="9">
        <v>1.7199009017651572</v>
      </c>
      <c r="S5" s="2">
        <v>44501</v>
      </c>
      <c r="T5" s="16">
        <v>1.9225637338097368</v>
      </c>
      <c r="U5" s="16">
        <v>1.8766854173540084</v>
      </c>
      <c r="W5" s="2">
        <v>44866</v>
      </c>
      <c r="X5" s="16">
        <v>2.08</v>
      </c>
      <c r="Y5" s="16">
        <v>2.02</v>
      </c>
    </row>
    <row r="6" spans="1:25">
      <c r="J6" s="2">
        <v>43525</v>
      </c>
      <c r="K6" s="9">
        <v>1.42</v>
      </c>
      <c r="L6" s="9">
        <v>1.42</v>
      </c>
      <c r="M6" s="2">
        <v>43800</v>
      </c>
      <c r="N6" s="9">
        <v>1.58</v>
      </c>
      <c r="O6" s="9">
        <f>O5</f>
        <v>1.5999678558558557</v>
      </c>
      <c r="P6" s="2">
        <v>44166</v>
      </c>
      <c r="Q6" s="12">
        <v>1.4702556510013653</v>
      </c>
      <c r="R6" s="12">
        <v>1.7296716049382717</v>
      </c>
      <c r="S6" s="2">
        <v>44531</v>
      </c>
      <c r="T6" s="16">
        <v>1.9228215962441317</v>
      </c>
      <c r="U6" s="16">
        <v>1.8766848462052823</v>
      </c>
      <c r="W6" s="2">
        <v>44896</v>
      </c>
      <c r="X6" s="16">
        <v>2.0747647614251545</v>
      </c>
      <c r="Y6" s="16">
        <v>2.0168695016251355</v>
      </c>
    </row>
    <row r="7" spans="1:25">
      <c r="J7" s="2">
        <v>43556</v>
      </c>
      <c r="K7" s="9">
        <v>1.38</v>
      </c>
      <c r="L7" s="9">
        <v>1.41</v>
      </c>
      <c r="M7" s="2">
        <v>43831</v>
      </c>
      <c r="N7" s="9">
        <v>1.58</v>
      </c>
      <c r="O7" s="9">
        <v>1.6077543321889813</v>
      </c>
      <c r="P7" s="2">
        <v>44197</v>
      </c>
      <c r="Q7" s="16">
        <v>1.3281249643908459</v>
      </c>
      <c r="R7" s="16">
        <v>1.7249133754071659</v>
      </c>
      <c r="S7" s="2">
        <v>44562</v>
      </c>
      <c r="T7" s="16">
        <v>1.9284604707302351</v>
      </c>
      <c r="U7" s="16">
        <v>1.8766849895254576</v>
      </c>
      <c r="W7" s="2">
        <v>44927</v>
      </c>
      <c r="X7" s="16"/>
      <c r="Y7" s="16"/>
    </row>
    <row r="8" spans="1:25">
      <c r="J8" s="2">
        <v>43586</v>
      </c>
      <c r="K8" s="9">
        <v>1.41</v>
      </c>
      <c r="L8" s="9">
        <v>1.41</v>
      </c>
      <c r="M8" s="2">
        <v>43862</v>
      </c>
      <c r="N8" s="9">
        <v>1.58</v>
      </c>
      <c r="O8" s="9">
        <v>1.6</v>
      </c>
      <c r="P8" s="2">
        <v>44228</v>
      </c>
      <c r="Q8" s="16">
        <v>1.4802394288419058</v>
      </c>
      <c r="R8" s="16">
        <v>1.7130530642750375</v>
      </c>
      <c r="S8" s="2">
        <v>44593</v>
      </c>
      <c r="T8" s="16">
        <v>1.9024451672151221</v>
      </c>
      <c r="U8" s="16">
        <v>1.8766850655519667</v>
      </c>
      <c r="W8" s="2">
        <v>44958</v>
      </c>
      <c r="X8" s="16"/>
      <c r="Y8" s="16"/>
    </row>
    <row r="9" spans="1:25">
      <c r="J9" s="2">
        <v>43617</v>
      </c>
      <c r="K9" s="9">
        <v>1.41</v>
      </c>
      <c r="L9" s="9">
        <v>1.41</v>
      </c>
      <c r="M9" s="2">
        <v>43891</v>
      </c>
      <c r="N9" s="9">
        <v>1.58</v>
      </c>
      <c r="O9" s="9">
        <v>1.6</v>
      </c>
      <c r="P9" s="2">
        <v>44256</v>
      </c>
      <c r="Q9" s="16">
        <v>1.6695232374033713</v>
      </c>
      <c r="R9" s="16">
        <v>1.723168029925187</v>
      </c>
      <c r="S9" s="2">
        <v>44621</v>
      </c>
      <c r="T9" s="16">
        <v>1.9279186371453136</v>
      </c>
      <c r="U9" s="16">
        <v>1.8766847540482738</v>
      </c>
      <c r="W9" s="2">
        <v>44986</v>
      </c>
      <c r="X9" s="16"/>
      <c r="Y9" s="16"/>
    </row>
    <row r="10" spans="1:25">
      <c r="J10" s="2">
        <v>43647</v>
      </c>
      <c r="K10" s="9">
        <v>1.6</v>
      </c>
      <c r="L10" s="9">
        <v>1.59</v>
      </c>
      <c r="M10" s="2">
        <v>43922</v>
      </c>
      <c r="N10" s="9">
        <v>1.58</v>
      </c>
      <c r="O10" s="9">
        <v>1.6</v>
      </c>
      <c r="P10" s="2">
        <v>44287</v>
      </c>
      <c r="Q10" s="16">
        <v>1.6605315362198165</v>
      </c>
      <c r="R10" s="16">
        <v>1.7090988837054313</v>
      </c>
      <c r="S10" s="2">
        <v>44652</v>
      </c>
      <c r="T10" s="16">
        <v>1.9279659685863875</v>
      </c>
      <c r="U10" s="16">
        <v>1.8766847632120793</v>
      </c>
      <c r="W10" s="2">
        <v>45017</v>
      </c>
      <c r="X10" s="16"/>
      <c r="Y10" s="16"/>
    </row>
    <row r="11" spans="1:25">
      <c r="J11" s="2">
        <v>43678</v>
      </c>
      <c r="K11" s="9">
        <v>1.58</v>
      </c>
      <c r="L11" s="9">
        <v>1.59</v>
      </c>
      <c r="M11" s="2">
        <v>43952</v>
      </c>
      <c r="N11" s="9">
        <v>1.58</v>
      </c>
      <c r="O11" s="9">
        <v>1.5976117756880102</v>
      </c>
      <c r="P11" s="2">
        <v>44317</v>
      </c>
      <c r="Q11" s="16">
        <v>1.5724008474576272</v>
      </c>
      <c r="R11" s="16">
        <v>1.704142934656228</v>
      </c>
      <c r="S11" s="2">
        <v>44682</v>
      </c>
      <c r="T11" s="16">
        <v>1.919153776707794</v>
      </c>
      <c r="U11" s="16">
        <v>1.8766851126346715</v>
      </c>
      <c r="W11" s="2">
        <v>45047</v>
      </c>
      <c r="X11" s="16"/>
      <c r="Y11" s="16"/>
    </row>
    <row r="12" spans="1:25" ht="45.75">
      <c r="J12" s="17">
        <v>43709</v>
      </c>
      <c r="K12" s="18">
        <v>1.58</v>
      </c>
      <c r="L12" s="18">
        <v>1.6</v>
      </c>
      <c r="M12" s="17">
        <v>43983</v>
      </c>
      <c r="N12" s="19">
        <v>1.58</v>
      </c>
      <c r="O12" s="18">
        <v>1.6091981216208684</v>
      </c>
      <c r="P12" s="17">
        <v>44348</v>
      </c>
      <c r="Q12" s="20">
        <v>1.5028997639034627</v>
      </c>
      <c r="R12" s="20">
        <v>1.6985474148130619</v>
      </c>
      <c r="S12" s="17">
        <v>44713</v>
      </c>
      <c r="T12" s="20">
        <v>1.9433258624147609</v>
      </c>
      <c r="U12" s="20">
        <v>1.8938587303364494</v>
      </c>
      <c r="V12" s="21" t="s">
        <v>120</v>
      </c>
      <c r="W12" s="2">
        <v>45078</v>
      </c>
      <c r="X12" s="20"/>
      <c r="Y12" s="20"/>
    </row>
    <row r="13" spans="1:25">
      <c r="M13" s="2">
        <v>44013</v>
      </c>
      <c r="N13" s="9">
        <v>1.5083841277664234</v>
      </c>
      <c r="O13" s="9">
        <v>1.6891903103800205</v>
      </c>
      <c r="P13" s="2">
        <v>44378</v>
      </c>
      <c r="Q13" s="16">
        <v>2.0368082680285284</v>
      </c>
      <c r="R13" s="16">
        <v>1.8767414628451342</v>
      </c>
      <c r="S13" s="2">
        <v>44743</v>
      </c>
      <c r="T13" s="16">
        <v>2.02</v>
      </c>
      <c r="U13" s="16">
        <v>2.02</v>
      </c>
      <c r="V13" s="2"/>
      <c r="W13" s="2">
        <v>45108</v>
      </c>
      <c r="X13" s="16"/>
      <c r="Y13" s="16"/>
    </row>
    <row r="14" spans="1:25">
      <c r="M14" s="2">
        <v>44044</v>
      </c>
      <c r="N14" s="12">
        <v>1.5728921005615111</v>
      </c>
      <c r="O14" s="9">
        <v>1.6918015582613084</v>
      </c>
      <c r="P14" s="2">
        <v>44409</v>
      </c>
      <c r="Q14" s="16">
        <v>2.4764722413496294</v>
      </c>
      <c r="R14" s="16">
        <v>1.8205654217676532</v>
      </c>
      <c r="S14" s="2">
        <v>44774</v>
      </c>
      <c r="T14" s="16">
        <v>2.0913914502227104</v>
      </c>
      <c r="U14" s="16">
        <v>2.0199981997942618</v>
      </c>
      <c r="V14" s="2"/>
      <c r="W14" s="2">
        <v>45139</v>
      </c>
      <c r="X14" s="16"/>
      <c r="Y14" s="16"/>
    </row>
    <row r="15" spans="1:25">
      <c r="M15" s="2">
        <v>44075</v>
      </c>
      <c r="N15" s="12">
        <v>1.51</v>
      </c>
      <c r="O15" s="9">
        <v>1.7</v>
      </c>
      <c r="P15" s="2">
        <v>44440</v>
      </c>
      <c r="Q15" s="16">
        <v>1.9361294706723888</v>
      </c>
      <c r="R15" s="16">
        <v>1.8766852592538721</v>
      </c>
      <c r="S15" s="2">
        <v>44805</v>
      </c>
      <c r="T15" s="16">
        <v>2.1255833333333336</v>
      </c>
      <c r="U15" s="16">
        <v>2.0168699311686367</v>
      </c>
      <c r="V15" s="2"/>
      <c r="W15" s="2">
        <v>45170</v>
      </c>
      <c r="X15" s="16"/>
      <c r="Y15" s="1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6BB569-10CF-4BE1-80E6-7545F4908ABD}"/>
</file>

<file path=customXml/itemProps2.xml><?xml version="1.0" encoding="utf-8"?>
<ds:datastoreItem xmlns:ds="http://schemas.openxmlformats.org/officeDocument/2006/customXml" ds:itemID="{46DAB6B6-CAE2-4BE5-97DF-2D4B8665B6EC}"/>
</file>

<file path=customXml/itemProps3.xml><?xml version="1.0" encoding="utf-8"?>
<ds:datastoreItem xmlns:ds="http://schemas.openxmlformats.org/officeDocument/2006/customXml" ds:itemID="{9BB9AD43-5DF6-47DA-807E-8996F8E56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2019-06-12T08:56:23Z</dcterms:created>
  <dcterms:modified xsi:type="dcterms:W3CDTF">2023-01-23T11:47:22Z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