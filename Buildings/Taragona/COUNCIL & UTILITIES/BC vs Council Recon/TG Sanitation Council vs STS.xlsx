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G\Utilities Back Date\"/>
    </mc:Choice>
  </mc:AlternateContent>
  <xr:revisionPtr revIDLastSave="81" documentId="13_ncr:1_{2244BF63-513B-4AC4-8D3B-27B1DD6D0B74}" xr6:coauthVersionLast="47" xr6:coauthVersionMax="47" xr10:uidLastSave="{B7266E51-7632-4E9D-A50F-5EBBCB01CAEB}"/>
  <bookViews>
    <workbookView xWindow="-28920" yWindow="-3765" windowWidth="29040" windowHeight="15840" firstSheet="1" activeTab="1" xr2:uid="{34D65F6B-34A8-4A88-812D-C6A6A260B182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" i="1" l="1"/>
  <c r="BI4" i="1"/>
  <c r="BI6" i="1" s="1"/>
  <c r="BH5" i="1"/>
  <c r="BH4" i="1"/>
  <c r="BH6" i="1" s="1"/>
  <c r="BG5" i="1"/>
  <c r="BG4" i="1"/>
  <c r="BG6" i="1" s="1"/>
  <c r="BF5" i="1"/>
  <c r="BF4" i="1"/>
  <c r="BF6" i="1" s="1"/>
  <c r="AE15" i="2"/>
  <c r="AD15" i="2"/>
  <c r="AF15" i="2" s="1"/>
  <c r="BE5" i="1"/>
  <c r="BE4" i="1"/>
  <c r="BE6" i="1" s="1"/>
  <c r="BD5" i="1"/>
  <c r="BD4" i="1"/>
  <c r="BD6" i="1" s="1"/>
  <c r="BC5" i="1"/>
  <c r="BC4" i="1"/>
  <c r="BC6" i="1"/>
  <c r="BB5" i="1"/>
  <c r="BB4" i="1"/>
  <c r="BB6" i="1" s="1"/>
  <c r="BA5" i="1"/>
  <c r="BA4" i="1"/>
  <c r="BA6" i="1" s="1"/>
  <c r="AY4" i="1"/>
  <c r="AZ4" i="1"/>
  <c r="AY5" i="1"/>
  <c r="AZ5" i="1"/>
  <c r="AY6" i="1"/>
  <c r="AZ6" i="1"/>
  <c r="S15" i="2"/>
  <c r="R15" i="2"/>
  <c r="T15" i="2" s="1"/>
  <c r="AX5" i="1"/>
  <c r="AX4" i="1"/>
  <c r="AW6" i="1"/>
  <c r="AV6" i="1"/>
  <c r="AU6" i="1"/>
  <c r="AT6" i="1"/>
  <c r="AS6" i="1"/>
  <c r="AR6" i="1"/>
  <c r="AQ6" i="1"/>
  <c r="AP6" i="1"/>
  <c r="AP5" i="1"/>
  <c r="AO5" i="1"/>
  <c r="AO6" i="1" s="1"/>
  <c r="AN5" i="1"/>
  <c r="AN6" i="1" s="1"/>
  <c r="AA15" i="2"/>
  <c r="Z15" i="2"/>
  <c r="AM5" i="1"/>
  <c r="AM6" i="1" s="1"/>
  <c r="AL5" i="1"/>
  <c r="AL6" i="1" s="1"/>
  <c r="AK6" i="1"/>
  <c r="AX6" i="1" l="1"/>
  <c r="AB15" i="2"/>
  <c r="AJ6" i="1"/>
  <c r="AI6" i="1" l="1"/>
  <c r="AH6" i="1" l="1"/>
  <c r="AG6" i="1" l="1"/>
  <c r="AF6" i="1" l="1"/>
  <c r="AE6" i="1" l="1"/>
  <c r="AD6" i="1" l="1"/>
  <c r="AC6" i="1" l="1"/>
  <c r="AA6" i="1" l="1"/>
  <c r="AB6" i="1"/>
  <c r="Z6" i="1" l="1"/>
  <c r="W15" i="2"/>
  <c r="V15" i="2"/>
  <c r="X15" i="2" l="1"/>
  <c r="O15" i="2"/>
  <c r="N15" i="2"/>
  <c r="W6" i="1"/>
  <c r="X6" i="1"/>
  <c r="Y6" i="1"/>
  <c r="P15" i="2" l="1"/>
  <c r="O6" i="1"/>
  <c r="P6" i="1"/>
  <c r="Q6" i="1"/>
  <c r="R6" i="1"/>
  <c r="S6" i="1"/>
  <c r="T6" i="1"/>
  <c r="U6" i="1"/>
  <c r="V6" i="1"/>
  <c r="N6" i="1"/>
</calcChain>
</file>

<file path=xl/sharedStrings.xml><?xml version="1.0" encoding="utf-8"?>
<sst xmlns="http://schemas.openxmlformats.org/spreadsheetml/2006/main" count="17" uniqueCount="9">
  <si>
    <t>Taragona Sanitation Back Date Summary 2018 - Apr2019</t>
  </si>
  <si>
    <t>BC Total</t>
  </si>
  <si>
    <t>Council Total</t>
  </si>
  <si>
    <t>Difference</t>
  </si>
  <si>
    <t>Taragona Sanitation Council vs BC</t>
  </si>
  <si>
    <t>BC</t>
  </si>
  <si>
    <t>Council</t>
  </si>
  <si>
    <t>BC started billing owner Sanitation on Statements</t>
  </si>
  <si>
    <t>R94765 sanitation budget 2018/2019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</si>
</sst>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&quot;* #,##0.00_-;\-&quot;R&quot;* #,##0.00_-;_-&quot;R&quot;* &quot;-&quot;??_-;_-@_-"/>
    <numFmt numFmtId="165" formatCode="&quot;R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" fontId="1" fillId="0" borderId="0" xfId="0" applyNumberFormat="1" applyFont="1"/>
    <xf numFmtId="0" fontId="2" fillId="0" borderId="0" xfId="0" applyFont="1"/>
    <xf numFmtId="0" fontId="1" fillId="0" borderId="1" xfId="0" applyFont="1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7" fontId="1" fillId="2" borderId="0" xfId="0" applyNumberFormat="1" applyFont="1" applyFill="1"/>
    <xf numFmtId="17" fontId="4" fillId="0" borderId="0" xfId="0" applyNumberFormat="1" applyFont="1"/>
    <xf numFmtId="17" fontId="4" fillId="2" borderId="0" xfId="0" applyNumberFormat="1" applyFont="1" applyFill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Sanitation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Sheet2!$AC$3:$AC$14</c:f>
              <c:numCache>
                <c:formatCode>mmm\-yy</c:formatCode>
                <c:ptCount val="1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</c:numCache>
            </c:numRef>
          </c:cat>
          <c:val>
            <c:numRef>
              <c:f>Sheet2!$AD$3:$AD$14</c:f>
              <c:numCache>
                <c:formatCode>"R"#,##0.00</c:formatCode>
                <c:ptCount val="12"/>
                <c:pt idx="0">
                  <c:v>20346.857999999997</c:v>
                </c:pt>
                <c:pt idx="1">
                  <c:v>20346.857999999997</c:v>
                </c:pt>
                <c:pt idx="2">
                  <c:v>20346.857999999997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D-4AE4-83FB-28FBDD91C0FD}"/>
            </c:ext>
          </c:extLst>
        </c:ser>
        <c:ser>
          <c:idx val="1"/>
          <c:order val="1"/>
          <c:tx>
            <c:strRef>
              <c:f>Sheet2!$AE$2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Sheet2!$AC$3:$AC$14</c:f>
              <c:numCache>
                <c:formatCode>mmm\-yy</c:formatCode>
                <c:ptCount val="1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</c:numCache>
            </c:numRef>
          </c:cat>
          <c:val>
            <c:numRef>
              <c:f>Sheet2!$AE$3:$AE$14</c:f>
              <c:numCache>
                <c:formatCode>"R"#,##0.00</c:formatCode>
                <c:ptCount val="12"/>
                <c:pt idx="0">
                  <c:v>20346.857999999997</c:v>
                </c:pt>
                <c:pt idx="1">
                  <c:v>20346.857999999997</c:v>
                </c:pt>
                <c:pt idx="2">
                  <c:v>20346.857999999997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D-4AE4-83FB-28FBDD91C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218392"/>
        <c:axId val="562916119"/>
      </c:barChart>
      <c:dateAx>
        <c:axId val="215218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16119"/>
        <c:crosses val="autoZero"/>
        <c:auto val="1"/>
        <c:lblOffset val="100"/>
        <c:baseTimeUnit val="months"/>
      </c:dateAx>
      <c:valAx>
        <c:axId val="56291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1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123825</xdr:rowOff>
    </xdr:from>
    <xdr:to>
      <xdr:col>10</xdr:col>
      <xdr:colOff>447675</xdr:colOff>
      <xdr:row>21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E1245-23AA-5B5A-6490-DF975A7C2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D360-3A6E-4942-994C-A96C93DCCC90}">
  <sheetPr>
    <pageSetUpPr fitToPage="1"/>
  </sheetPr>
  <dimension ref="A1:BJ6"/>
  <sheetViews>
    <sheetView workbookViewId="0">
      <selection activeCell="BG4" sqref="BG4:BH4"/>
    </sheetView>
  </sheetViews>
  <sheetFormatPr defaultRowHeight="15"/>
  <cols>
    <col min="1" max="1" width="12.7109375" customWidth="1"/>
    <col min="2" max="2" width="9.85546875" customWidth="1"/>
    <col min="3" max="13" width="9.85546875" hidden="1" customWidth="1"/>
    <col min="14" max="14" width="9.85546875" bestFit="1" customWidth="1"/>
    <col min="15" max="17" width="9.85546875" hidden="1" customWidth="1"/>
    <col min="18" max="18" width="11.85546875" hidden="1" customWidth="1"/>
    <col min="19" max="19" width="0" hidden="1" customWidth="1"/>
    <col min="20" max="25" width="9.85546875" hidden="1" customWidth="1"/>
    <col min="26" max="26" width="9.85546875" bestFit="1" customWidth="1"/>
    <col min="27" max="30" width="9.85546875" hidden="1" customWidth="1"/>
    <col min="31" max="33" width="10.85546875" hidden="1" customWidth="1"/>
    <col min="34" max="37" width="11" hidden="1" customWidth="1"/>
    <col min="38" max="38" width="11" bestFit="1" customWidth="1"/>
    <col min="39" max="47" width="11" hidden="1" customWidth="1"/>
    <col min="48" max="49" width="10.28515625" hidden="1" customWidth="1"/>
    <col min="50" max="50" width="10.28515625" bestFit="1" customWidth="1"/>
    <col min="51" max="60" width="11" customWidth="1"/>
    <col min="61" max="61" width="11" bestFit="1" customWidth="1"/>
  </cols>
  <sheetData>
    <row r="1" spans="1:62" ht="18.75">
      <c r="A1" s="2" t="s">
        <v>0</v>
      </c>
    </row>
    <row r="3" spans="1:62">
      <c r="B3" s="8">
        <v>43101</v>
      </c>
      <c r="C3" s="1">
        <v>43132</v>
      </c>
      <c r="D3" s="1">
        <v>43160</v>
      </c>
      <c r="E3" s="1">
        <v>43191</v>
      </c>
      <c r="F3" s="1">
        <v>43221</v>
      </c>
      <c r="G3" s="1">
        <v>43252</v>
      </c>
      <c r="H3" s="1">
        <v>43282</v>
      </c>
      <c r="I3" s="1">
        <v>43313</v>
      </c>
      <c r="J3" s="1">
        <v>43344</v>
      </c>
      <c r="K3" s="1">
        <v>43374</v>
      </c>
      <c r="L3" s="1">
        <v>43405</v>
      </c>
      <c r="M3" s="1">
        <v>43435</v>
      </c>
      <c r="N3" s="8">
        <v>43466</v>
      </c>
      <c r="O3" s="1">
        <v>43497</v>
      </c>
      <c r="P3" s="1">
        <v>43525</v>
      </c>
      <c r="Q3" s="1">
        <v>43556</v>
      </c>
      <c r="R3" s="1">
        <v>43586</v>
      </c>
      <c r="S3" s="1">
        <v>43617</v>
      </c>
      <c r="T3" s="1">
        <v>43647</v>
      </c>
      <c r="U3" s="1">
        <v>43678</v>
      </c>
      <c r="V3" s="1">
        <v>43709</v>
      </c>
      <c r="W3" s="1">
        <v>43739</v>
      </c>
      <c r="X3" s="1">
        <v>43770</v>
      </c>
      <c r="Y3" s="1">
        <v>43800</v>
      </c>
      <c r="Z3" s="8">
        <v>43831</v>
      </c>
      <c r="AA3" s="1">
        <v>43862</v>
      </c>
      <c r="AB3" s="1">
        <v>43891</v>
      </c>
      <c r="AC3" s="1">
        <v>43922</v>
      </c>
      <c r="AD3" s="1">
        <v>43952</v>
      </c>
      <c r="AE3" s="1">
        <v>43983</v>
      </c>
      <c r="AF3" s="1">
        <v>44013</v>
      </c>
      <c r="AG3" s="1">
        <v>44044</v>
      </c>
      <c r="AH3" s="1">
        <v>44075</v>
      </c>
      <c r="AI3" s="1">
        <v>44105</v>
      </c>
      <c r="AJ3" s="1">
        <v>44136</v>
      </c>
      <c r="AK3" s="1">
        <v>44166</v>
      </c>
      <c r="AL3" s="8">
        <v>44197</v>
      </c>
      <c r="AM3" s="1">
        <v>44228</v>
      </c>
      <c r="AN3" s="1">
        <v>44256</v>
      </c>
      <c r="AO3" s="1">
        <v>44287</v>
      </c>
      <c r="AP3" s="1">
        <v>44317</v>
      </c>
      <c r="AQ3" s="1">
        <v>44348</v>
      </c>
      <c r="AR3" s="1">
        <v>44378</v>
      </c>
      <c r="AS3" s="1">
        <v>44409</v>
      </c>
      <c r="AT3" s="1">
        <v>44440</v>
      </c>
      <c r="AU3" s="1">
        <v>44470</v>
      </c>
      <c r="AV3" s="1">
        <v>44501</v>
      </c>
      <c r="AW3" s="1">
        <v>44531</v>
      </c>
      <c r="AX3" s="10">
        <v>44562</v>
      </c>
      <c r="AY3" s="9">
        <v>44593</v>
      </c>
      <c r="AZ3" s="9">
        <v>44621</v>
      </c>
      <c r="BA3" s="9">
        <v>44652</v>
      </c>
      <c r="BB3" s="9">
        <v>44682</v>
      </c>
      <c r="BC3" s="9">
        <v>44713</v>
      </c>
      <c r="BD3" s="9">
        <v>44743</v>
      </c>
      <c r="BE3" s="9">
        <v>44774</v>
      </c>
      <c r="BF3" s="9">
        <v>44805</v>
      </c>
      <c r="BG3" s="9">
        <v>44835</v>
      </c>
      <c r="BH3" s="9">
        <v>44866</v>
      </c>
      <c r="BI3" s="9">
        <v>44896</v>
      </c>
      <c r="BJ3" s="10">
        <v>44927</v>
      </c>
    </row>
    <row r="4" spans="1:62">
      <c r="A4" s="3" t="s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7897.08</v>
      </c>
      <c r="O4" s="4">
        <v>7897.08</v>
      </c>
      <c r="P4" s="4">
        <v>7897.08</v>
      </c>
      <c r="Q4" s="4">
        <v>7897.08</v>
      </c>
      <c r="R4" s="4">
        <v>7897.08</v>
      </c>
      <c r="S4" s="4">
        <v>7897.08</v>
      </c>
      <c r="T4" s="4">
        <v>7897.08</v>
      </c>
      <c r="U4" s="4">
        <v>7897.08</v>
      </c>
      <c r="V4" s="4">
        <v>7897.08</v>
      </c>
      <c r="W4" s="4">
        <v>7897.08</v>
      </c>
      <c r="X4" s="4">
        <v>7897.08</v>
      </c>
      <c r="Y4" s="4">
        <v>7897.08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>
        <v>18539.27</v>
      </c>
      <c r="AW4" s="4">
        <v>18539.27</v>
      </c>
      <c r="AX4" s="4">
        <f>16121.1*1.15</f>
        <v>18539.264999999999</v>
      </c>
      <c r="AY4" s="4">
        <f t="shared" ref="AY4:BC5" si="0">16121.1*1.15</f>
        <v>18539.264999999999</v>
      </c>
      <c r="AZ4" s="4">
        <f t="shared" si="0"/>
        <v>18539.264999999999</v>
      </c>
      <c r="BA4" s="4">
        <f t="shared" si="0"/>
        <v>18539.264999999999</v>
      </c>
      <c r="BB4" s="4">
        <f t="shared" si="0"/>
        <v>18539.264999999999</v>
      </c>
      <c r="BC4" s="4">
        <f>17692.92*1.15</f>
        <v>20346.857999999997</v>
      </c>
      <c r="BD4" s="4">
        <f>17692.92*1.15</f>
        <v>20346.857999999997</v>
      </c>
      <c r="BE4" s="4">
        <f>17692.92*1.15</f>
        <v>20346.857999999997</v>
      </c>
      <c r="BF4" s="4">
        <f>17692.92*1.15</f>
        <v>20346.857999999997</v>
      </c>
      <c r="BG4" s="4">
        <f>17692.92*1.15</f>
        <v>20346.857999999997</v>
      </c>
      <c r="BH4" s="4">
        <f>17692.92*1.15</f>
        <v>20346.857999999997</v>
      </c>
      <c r="BI4" s="4">
        <f>17692.92*1.15</f>
        <v>20346.857999999997</v>
      </c>
    </row>
    <row r="5" spans="1:62">
      <c r="A5" s="3" t="s">
        <v>2</v>
      </c>
      <c r="B5" s="4">
        <v>6665.5571999999993</v>
      </c>
      <c r="C5" s="4">
        <v>6665.5571999999993</v>
      </c>
      <c r="D5" s="4">
        <v>6724.0269999999991</v>
      </c>
      <c r="E5" s="4">
        <v>6724.0269999999991</v>
      </c>
      <c r="F5" s="4">
        <v>6724.0269999999991</v>
      </c>
      <c r="G5" s="4">
        <v>7611.5969999999988</v>
      </c>
      <c r="H5" s="4">
        <v>7611.5969999999988</v>
      </c>
      <c r="I5" s="4">
        <v>7611.5969999999988</v>
      </c>
      <c r="J5" s="4">
        <v>7611.5969999999988</v>
      </c>
      <c r="K5" s="4">
        <v>7611.5969999999988</v>
      </c>
      <c r="L5" s="4">
        <v>7611.5969999999988</v>
      </c>
      <c r="M5" s="4">
        <v>7611.5969999999988</v>
      </c>
      <c r="N5" s="4">
        <v>7611.5969999999988</v>
      </c>
      <c r="O5" s="4">
        <v>7611.5969999999988</v>
      </c>
      <c r="P5" s="4">
        <v>7611.5969999999988</v>
      </c>
      <c r="Q5" s="4">
        <v>7611.5969999999988</v>
      </c>
      <c r="R5" s="4">
        <v>7611.6</v>
      </c>
      <c r="S5" s="4">
        <v>7611.6</v>
      </c>
      <c r="T5" s="4">
        <v>9775</v>
      </c>
      <c r="U5" s="4">
        <v>9775</v>
      </c>
      <c r="V5" s="4">
        <v>9775</v>
      </c>
      <c r="W5" s="4">
        <v>9775</v>
      </c>
      <c r="X5" s="4">
        <v>9775</v>
      </c>
      <c r="Y5" s="4">
        <v>9775</v>
      </c>
      <c r="Z5" s="4">
        <v>9775</v>
      </c>
      <c r="AA5" s="4">
        <v>9775</v>
      </c>
      <c r="AB5" s="4">
        <v>9775</v>
      </c>
      <c r="AC5" s="4">
        <v>9775</v>
      </c>
      <c r="AD5" s="4">
        <v>9775</v>
      </c>
      <c r="AE5" s="4">
        <v>17358.84</v>
      </c>
      <c r="AF5" s="4">
        <v>17358.84</v>
      </c>
      <c r="AG5" s="4">
        <v>17358.84</v>
      </c>
      <c r="AH5" s="4">
        <v>17358.84</v>
      </c>
      <c r="AI5" s="4">
        <v>17358.84</v>
      </c>
      <c r="AJ5" s="4">
        <v>17358.84</v>
      </c>
      <c r="AK5" s="4">
        <v>17358.84</v>
      </c>
      <c r="AL5" s="4">
        <f>15094.64*1.15</f>
        <v>17358.835999999999</v>
      </c>
      <c r="AM5" s="4">
        <f>15094.64*1.15</f>
        <v>17358.835999999999</v>
      </c>
      <c r="AN5" s="4">
        <f>15094.64*1.15</f>
        <v>17358.835999999999</v>
      </c>
      <c r="AO5" s="4">
        <f>15094.64*1.15</f>
        <v>17358.835999999999</v>
      </c>
      <c r="AP5" s="4">
        <f>15094.64*1.15</f>
        <v>17358.835999999999</v>
      </c>
      <c r="AQ5" s="4">
        <v>18539.27</v>
      </c>
      <c r="AR5" s="4">
        <v>18539.27</v>
      </c>
      <c r="AS5" s="4">
        <v>18539.27</v>
      </c>
      <c r="AT5" s="4">
        <v>18539.27</v>
      </c>
      <c r="AU5" s="4">
        <v>18539.27</v>
      </c>
      <c r="AV5" s="4">
        <v>18539.27</v>
      </c>
      <c r="AW5" s="4">
        <v>18539.27</v>
      </c>
      <c r="AX5" s="4">
        <f>16121.1*1.15</f>
        <v>18539.264999999999</v>
      </c>
      <c r="AY5" s="4">
        <f t="shared" si="0"/>
        <v>18539.264999999999</v>
      </c>
      <c r="AZ5" s="4">
        <f t="shared" si="0"/>
        <v>18539.264999999999</v>
      </c>
      <c r="BA5" s="4">
        <f t="shared" si="0"/>
        <v>18539.264999999999</v>
      </c>
      <c r="BB5" s="4">
        <f t="shared" si="0"/>
        <v>18539.264999999999</v>
      </c>
      <c r="BC5" s="4">
        <f>17692.92*1.15</f>
        <v>20346.857999999997</v>
      </c>
      <c r="BD5" s="4">
        <f>17692.92*1.15</f>
        <v>20346.857999999997</v>
      </c>
      <c r="BE5" s="4">
        <f>17692.92*1.15</f>
        <v>20346.857999999997</v>
      </c>
      <c r="BF5" s="4">
        <f>17692.92*1.15</f>
        <v>20346.857999999997</v>
      </c>
      <c r="BG5" s="4">
        <f>17692.92*1.15</f>
        <v>20346.857999999997</v>
      </c>
      <c r="BH5" s="4">
        <f>17692.92*1.15</f>
        <v>20346.857999999997</v>
      </c>
      <c r="BI5" s="4">
        <f>17692.92*1.15</f>
        <v>20346.857999999997</v>
      </c>
    </row>
    <row r="6" spans="1:62">
      <c r="A6" s="3" t="s">
        <v>3</v>
      </c>
      <c r="B6" s="4">
        <v>-6665.5571999999993</v>
      </c>
      <c r="C6" s="4">
        <v>-6665.5571999999993</v>
      </c>
      <c r="D6" s="4">
        <v>-6724.0269999999991</v>
      </c>
      <c r="E6" s="4">
        <v>-6724.0269999999991</v>
      </c>
      <c r="F6" s="4">
        <v>-6724.0269999999991</v>
      </c>
      <c r="G6" s="4">
        <v>-7611.5969999999988</v>
      </c>
      <c r="H6" s="4">
        <v>-7611.5969999999988</v>
      </c>
      <c r="I6" s="4">
        <v>-7611.5969999999988</v>
      </c>
      <c r="J6" s="4">
        <v>-7611.5969999999988</v>
      </c>
      <c r="K6" s="4">
        <v>-7611.5969999999988</v>
      </c>
      <c r="L6" s="4">
        <v>-7611.5969999999988</v>
      </c>
      <c r="M6" s="4">
        <v>-7611.5969999999988</v>
      </c>
      <c r="N6" s="4">
        <f>N4-N5</f>
        <v>285.48300000000108</v>
      </c>
      <c r="O6" s="4">
        <f t="shared" ref="O6:V6" si="1">O4-O5</f>
        <v>285.48300000000108</v>
      </c>
      <c r="P6" s="4">
        <f t="shared" si="1"/>
        <v>285.48300000000108</v>
      </c>
      <c r="Q6" s="4">
        <f t="shared" si="1"/>
        <v>285.48300000000108</v>
      </c>
      <c r="R6" s="4">
        <f t="shared" si="1"/>
        <v>285.47999999999956</v>
      </c>
      <c r="S6" s="4">
        <f t="shared" si="1"/>
        <v>285.47999999999956</v>
      </c>
      <c r="T6" s="4">
        <f t="shared" si="1"/>
        <v>-1877.92</v>
      </c>
      <c r="U6" s="4">
        <f t="shared" si="1"/>
        <v>-1877.92</v>
      </c>
      <c r="V6" s="4">
        <f t="shared" si="1"/>
        <v>-1877.92</v>
      </c>
      <c r="W6" s="4">
        <f t="shared" ref="W6:Y6" si="2">W4-W5</f>
        <v>-1877.92</v>
      </c>
      <c r="X6" s="4">
        <f t="shared" si="2"/>
        <v>-1877.92</v>
      </c>
      <c r="Y6" s="4">
        <f t="shared" si="2"/>
        <v>-1877.92</v>
      </c>
      <c r="Z6" s="4">
        <f t="shared" ref="Z6:AB6" si="3">Z4-Z5</f>
        <v>-9775</v>
      </c>
      <c r="AA6" s="4">
        <f t="shared" si="3"/>
        <v>-9775</v>
      </c>
      <c r="AB6" s="4">
        <f t="shared" si="3"/>
        <v>-9775</v>
      </c>
      <c r="AC6" s="4">
        <f t="shared" ref="AC6:AD6" si="4">AC4-AC5</f>
        <v>-9775</v>
      </c>
      <c r="AD6" s="4">
        <f t="shared" si="4"/>
        <v>-9775</v>
      </c>
      <c r="AE6" s="4">
        <f t="shared" ref="AE6:AF6" si="5">AE4-AE5</f>
        <v>-17358.84</v>
      </c>
      <c r="AF6" s="4">
        <f t="shared" si="5"/>
        <v>-17358.84</v>
      </c>
      <c r="AG6" s="4">
        <f t="shared" ref="AG6:AH6" si="6">AG4-AG5</f>
        <v>-17358.84</v>
      </c>
      <c r="AH6" s="4">
        <f t="shared" si="6"/>
        <v>-17358.84</v>
      </c>
      <c r="AI6" s="4">
        <f t="shared" ref="AI6:AJ6" si="7">AI4-AI5</f>
        <v>-17358.84</v>
      </c>
      <c r="AJ6" s="4">
        <f t="shared" si="7"/>
        <v>-17358.84</v>
      </c>
      <c r="AK6" s="4">
        <f t="shared" ref="AK6:AL6" si="8">AK4-AK5</f>
        <v>-17358.84</v>
      </c>
      <c r="AL6" s="4">
        <f t="shared" si="8"/>
        <v>-17358.835999999999</v>
      </c>
      <c r="AM6" s="4">
        <f t="shared" ref="AM6:AN6" si="9">AM4-AM5</f>
        <v>-17358.835999999999</v>
      </c>
      <c r="AN6" s="4">
        <f t="shared" si="9"/>
        <v>-17358.835999999999</v>
      </c>
      <c r="AO6" s="4">
        <f t="shared" ref="AO6:AP6" si="10">AO4-AO5</f>
        <v>-17358.835999999999</v>
      </c>
      <c r="AP6" s="4">
        <f t="shared" si="10"/>
        <v>-17358.835999999999</v>
      </c>
      <c r="AQ6" s="4">
        <f t="shared" ref="AQ6:AR6" si="11">AQ4-AQ5</f>
        <v>-18539.27</v>
      </c>
      <c r="AR6" s="4">
        <f t="shared" si="11"/>
        <v>-18539.27</v>
      </c>
      <c r="AS6" s="4">
        <f t="shared" ref="AS6:AT6" si="12">AS4-AS5</f>
        <v>-18539.27</v>
      </c>
      <c r="AT6" s="4">
        <f t="shared" si="12"/>
        <v>-18539.27</v>
      </c>
      <c r="AU6" s="4">
        <f t="shared" ref="AU6:AV6" si="13">AU4-AU5</f>
        <v>-18539.27</v>
      </c>
      <c r="AV6" s="4">
        <f t="shared" si="13"/>
        <v>0</v>
      </c>
      <c r="AW6" s="4">
        <f t="shared" ref="AW6:AX6" si="14">AW4-AW5</f>
        <v>0</v>
      </c>
      <c r="AX6" s="4">
        <f t="shared" si="14"/>
        <v>0</v>
      </c>
      <c r="AY6" s="4">
        <f t="shared" ref="AY6:AZ6" si="15">AY4-AY5</f>
        <v>0</v>
      </c>
      <c r="AZ6" s="4">
        <f t="shared" si="15"/>
        <v>0</v>
      </c>
      <c r="BA6" s="4">
        <f t="shared" ref="BA6:BB6" si="16">BA4-BA5</f>
        <v>0</v>
      </c>
      <c r="BB6" s="4">
        <f t="shared" si="16"/>
        <v>0</v>
      </c>
      <c r="BC6" s="4">
        <f t="shared" ref="BC6:BD6" si="17">BC4-BC5</f>
        <v>0</v>
      </c>
      <c r="BD6" s="4">
        <f t="shared" si="17"/>
        <v>0</v>
      </c>
      <c r="BE6" s="4">
        <f t="shared" ref="BE6:BF6" si="18">BE4-BE5</f>
        <v>0</v>
      </c>
      <c r="BF6" s="4">
        <f t="shared" si="18"/>
        <v>0</v>
      </c>
      <c r="BG6" s="4">
        <f t="shared" ref="BG6:BH6" si="19">BG4-BG5</f>
        <v>0</v>
      </c>
      <c r="BH6" s="4">
        <f t="shared" si="19"/>
        <v>0</v>
      </c>
      <c r="BI6" s="4">
        <f t="shared" ref="BI6" si="20">BI4-BI5</f>
        <v>0</v>
      </c>
    </row>
  </sheetData>
  <pageMargins left="0.25" right="0.25" top="0.75" bottom="0.75" header="0.3" footer="0.3"/>
  <pageSetup paperSize="9" scale="83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DB3F-06F2-4B79-856D-01E3955E4458}">
  <dimension ref="A1:AH18"/>
  <sheetViews>
    <sheetView tabSelected="1" workbookViewId="0">
      <selection activeCell="AE23" sqref="AE23"/>
    </sheetView>
  </sheetViews>
  <sheetFormatPr defaultRowHeight="15"/>
  <cols>
    <col min="14" max="14" width="11.5703125" hidden="1" customWidth="1"/>
    <col min="15" max="15" width="12.5703125" hidden="1" customWidth="1"/>
    <col min="16" max="16" width="10.5703125" hidden="1" customWidth="1"/>
    <col min="18" max="18" width="11.5703125" hidden="1" customWidth="1"/>
    <col min="19" max="20" width="12.5703125" hidden="1" customWidth="1"/>
    <col min="22" max="22" width="11.7109375" hidden="1" customWidth="1"/>
    <col min="23" max="24" width="12.7109375" hidden="1" customWidth="1"/>
    <col min="25" max="25" width="9.140625" customWidth="1"/>
    <col min="26" max="27" width="13.28515625" hidden="1" customWidth="1"/>
    <col min="28" max="28" width="11.7109375" hidden="1" customWidth="1"/>
    <col min="29" max="29" width="11.7109375" bestFit="1" customWidth="1"/>
    <col min="30" max="31" width="13.28515625" bestFit="1" customWidth="1"/>
  </cols>
  <sheetData>
    <row r="1" spans="1:34" ht="18.75">
      <c r="A1" s="2" t="s">
        <v>4</v>
      </c>
    </row>
    <row r="2" spans="1:34">
      <c r="N2" t="s">
        <v>5</v>
      </c>
      <c r="O2" t="s">
        <v>6</v>
      </c>
      <c r="R2" t="s">
        <v>5</v>
      </c>
      <c r="S2" t="s">
        <v>6</v>
      </c>
      <c r="V2" t="s">
        <v>5</v>
      </c>
      <c r="W2" t="s">
        <v>6</v>
      </c>
      <c r="Z2" t="s">
        <v>5</v>
      </c>
      <c r="AA2" t="s">
        <v>6</v>
      </c>
      <c r="AD2" t="s">
        <v>5</v>
      </c>
      <c r="AE2" t="s">
        <v>6</v>
      </c>
    </row>
    <row r="3" spans="1:34">
      <c r="M3" s="1">
        <v>43466</v>
      </c>
      <c r="N3" s="5">
        <v>7897.08</v>
      </c>
      <c r="O3" s="5">
        <v>7611.5969999999988</v>
      </c>
      <c r="Q3" s="1">
        <v>43739</v>
      </c>
      <c r="R3" s="5">
        <v>7897.08</v>
      </c>
      <c r="S3" s="5">
        <v>9775</v>
      </c>
      <c r="U3" s="1">
        <v>44105</v>
      </c>
      <c r="V3" s="5"/>
      <c r="W3" s="5">
        <v>17358.84</v>
      </c>
      <c r="Y3" s="1">
        <v>44470</v>
      </c>
      <c r="Z3" s="5">
        <v>0</v>
      </c>
      <c r="AA3" s="5">
        <v>18539.27</v>
      </c>
      <c r="AC3" s="1">
        <v>44470</v>
      </c>
      <c r="AD3" s="11">
        <v>20346.857999999997</v>
      </c>
      <c r="AE3" s="11">
        <v>20346.857999999997</v>
      </c>
      <c r="AG3" s="5"/>
    </row>
    <row r="4" spans="1:34">
      <c r="M4" s="1">
        <v>43497</v>
      </c>
      <c r="N4" s="5">
        <v>7897.08</v>
      </c>
      <c r="O4" s="5">
        <v>7611.5969999999988</v>
      </c>
      <c r="Q4" s="1">
        <v>43770</v>
      </c>
      <c r="R4" s="5">
        <v>7897.08</v>
      </c>
      <c r="S4" s="5">
        <v>9775</v>
      </c>
      <c r="U4" s="1">
        <v>44136</v>
      </c>
      <c r="V4" s="5"/>
      <c r="W4" s="5">
        <v>17358.84</v>
      </c>
      <c r="Y4" s="1">
        <v>44501</v>
      </c>
      <c r="Z4" s="5">
        <v>18539.27</v>
      </c>
      <c r="AA4" s="5">
        <v>18539.27</v>
      </c>
      <c r="AB4" t="s">
        <v>7</v>
      </c>
      <c r="AC4" s="1">
        <v>44501</v>
      </c>
      <c r="AD4" s="11">
        <v>20346.857999999997</v>
      </c>
      <c r="AE4" s="11">
        <v>20346.857999999997</v>
      </c>
      <c r="AG4" s="5"/>
    </row>
    <row r="5" spans="1:34">
      <c r="M5" s="1">
        <v>43525</v>
      </c>
      <c r="N5" s="5">
        <v>7897.08</v>
      </c>
      <c r="O5" s="5">
        <v>7611.5969999999988</v>
      </c>
      <c r="Q5" s="1">
        <v>43800</v>
      </c>
      <c r="R5" s="5">
        <v>7897.08</v>
      </c>
      <c r="S5" s="5">
        <v>9775</v>
      </c>
      <c r="U5" s="1">
        <v>44166</v>
      </c>
      <c r="V5" s="5"/>
      <c r="W5" s="5">
        <v>17358.84</v>
      </c>
      <c r="Y5" s="1">
        <v>44531</v>
      </c>
      <c r="Z5" s="5">
        <v>18539.27</v>
      </c>
      <c r="AA5" s="5">
        <v>18539.27</v>
      </c>
      <c r="AC5" s="1">
        <v>44531</v>
      </c>
      <c r="AD5" s="11">
        <v>20346.857999999997</v>
      </c>
      <c r="AE5" s="11">
        <v>20346.857999999997</v>
      </c>
      <c r="AG5" s="5"/>
    </row>
    <row r="6" spans="1:34">
      <c r="M6" s="1">
        <v>43556</v>
      </c>
      <c r="N6" s="5">
        <v>7897.08</v>
      </c>
      <c r="O6" s="5">
        <v>7611.5969999999988</v>
      </c>
      <c r="Q6" s="1">
        <v>43831</v>
      </c>
      <c r="R6" s="5"/>
      <c r="S6" s="5">
        <v>9775</v>
      </c>
      <c r="U6" s="1">
        <v>44197</v>
      </c>
      <c r="V6" s="5"/>
      <c r="W6" s="5">
        <v>17358.84</v>
      </c>
      <c r="Y6" s="1">
        <v>44562</v>
      </c>
      <c r="Z6" s="5">
        <v>18539.264999999999</v>
      </c>
      <c r="AA6" s="5">
        <v>18539.264999999999</v>
      </c>
      <c r="AC6" s="1">
        <v>44562</v>
      </c>
      <c r="AD6" s="5"/>
      <c r="AE6" s="5"/>
      <c r="AG6" s="5"/>
    </row>
    <row r="7" spans="1:34">
      <c r="M7" s="1">
        <v>43586</v>
      </c>
      <c r="N7" s="5">
        <v>7897.08</v>
      </c>
      <c r="O7" s="5">
        <v>7611.5969999999988</v>
      </c>
      <c r="Q7" s="1">
        <v>43862</v>
      </c>
      <c r="R7" s="5"/>
      <c r="S7" s="5">
        <v>9775</v>
      </c>
      <c r="U7" s="1">
        <v>44228</v>
      </c>
      <c r="V7" s="5"/>
      <c r="W7" s="5">
        <v>17358.84</v>
      </c>
      <c r="Y7" s="1">
        <v>44593</v>
      </c>
      <c r="Z7" s="5">
        <v>18539.264999999999</v>
      </c>
      <c r="AA7" s="5">
        <v>18539.264999999999</v>
      </c>
      <c r="AC7" s="1">
        <v>44593</v>
      </c>
      <c r="AD7" s="5"/>
      <c r="AE7" s="5"/>
      <c r="AG7" s="5"/>
    </row>
    <row r="8" spans="1:34">
      <c r="M8" s="1">
        <v>43617</v>
      </c>
      <c r="N8" s="5">
        <v>7897.08</v>
      </c>
      <c r="O8" s="5">
        <v>7611.5969999999988</v>
      </c>
      <c r="Q8" s="1">
        <v>43891</v>
      </c>
      <c r="R8" s="5"/>
      <c r="S8" s="5">
        <v>9775</v>
      </c>
      <c r="U8" s="1">
        <v>44256</v>
      </c>
      <c r="V8" s="5"/>
      <c r="W8" s="5">
        <v>17358.84</v>
      </c>
      <c r="Y8" s="1">
        <v>44621</v>
      </c>
      <c r="Z8" s="5">
        <v>18539.264999999999</v>
      </c>
      <c r="AA8" s="5">
        <v>18539.264999999999</v>
      </c>
      <c r="AC8" s="1">
        <v>44621</v>
      </c>
      <c r="AD8" s="5"/>
      <c r="AE8" s="5"/>
      <c r="AG8" s="5"/>
    </row>
    <row r="9" spans="1:34">
      <c r="M9" s="1">
        <v>43647</v>
      </c>
      <c r="N9" s="5">
        <v>7897.08</v>
      </c>
      <c r="O9" s="5">
        <v>9775</v>
      </c>
      <c r="Q9" s="1">
        <v>43922</v>
      </c>
      <c r="R9" s="5"/>
      <c r="S9" s="5">
        <v>9775</v>
      </c>
      <c r="U9" s="1">
        <v>44287</v>
      </c>
      <c r="V9" s="5"/>
      <c r="W9" s="5">
        <v>17358.84</v>
      </c>
      <c r="Y9" s="1">
        <v>44652</v>
      </c>
      <c r="Z9" s="5">
        <v>18539.264999999999</v>
      </c>
      <c r="AA9" s="5">
        <v>18539.264999999999</v>
      </c>
      <c r="AC9" s="1">
        <v>44652</v>
      </c>
      <c r="AD9" s="5"/>
      <c r="AE9" s="5"/>
      <c r="AG9" s="5"/>
    </row>
    <row r="10" spans="1:34">
      <c r="M10" s="1">
        <v>43678</v>
      </c>
      <c r="N10" s="5">
        <v>7897.08</v>
      </c>
      <c r="O10" s="5">
        <v>9775</v>
      </c>
      <c r="Q10" s="1">
        <v>43952</v>
      </c>
      <c r="R10" s="5"/>
      <c r="S10" s="5">
        <v>9775</v>
      </c>
      <c r="U10" s="1">
        <v>44317</v>
      </c>
      <c r="V10" s="5"/>
      <c r="W10" s="5">
        <v>17358.84</v>
      </c>
      <c r="Y10" s="1">
        <v>44682</v>
      </c>
      <c r="Z10" s="5">
        <v>18539.264999999999</v>
      </c>
      <c r="AA10" s="5">
        <v>18539.264999999999</v>
      </c>
      <c r="AC10" s="1">
        <v>44682</v>
      </c>
      <c r="AD10" s="5"/>
      <c r="AE10" s="5"/>
      <c r="AG10" s="5"/>
    </row>
    <row r="11" spans="1:34">
      <c r="M11" s="1">
        <v>43709</v>
      </c>
      <c r="N11" s="5">
        <v>7897.08</v>
      </c>
      <c r="O11" s="5">
        <v>9775</v>
      </c>
      <c r="Q11" s="1">
        <v>43983</v>
      </c>
      <c r="R11" s="5"/>
      <c r="S11" s="5">
        <v>17358.84</v>
      </c>
      <c r="U11" s="1">
        <v>44348</v>
      </c>
      <c r="V11" s="5"/>
      <c r="W11" s="5">
        <v>18539.27</v>
      </c>
      <c r="Y11" s="1">
        <v>44713</v>
      </c>
      <c r="Z11" s="5">
        <v>20346.857999999997</v>
      </c>
      <c r="AA11" s="5">
        <v>20346.857999999997</v>
      </c>
      <c r="AC11" s="1">
        <v>44713</v>
      </c>
      <c r="AD11" s="5"/>
      <c r="AE11" s="5"/>
      <c r="AG11" s="5"/>
    </row>
    <row r="12" spans="1:34">
      <c r="M12" s="1"/>
      <c r="N12" s="5"/>
      <c r="O12" s="5"/>
      <c r="Q12" s="1">
        <v>44013</v>
      </c>
      <c r="R12" s="5"/>
      <c r="S12" s="5">
        <v>17358.84</v>
      </c>
      <c r="U12" s="1">
        <v>44378</v>
      </c>
      <c r="V12" s="5"/>
      <c r="W12" s="5">
        <v>18539.27</v>
      </c>
      <c r="Y12" s="1">
        <v>44743</v>
      </c>
      <c r="Z12" s="5">
        <v>20346.857999999997</v>
      </c>
      <c r="AA12" s="5">
        <v>20346.857999999997</v>
      </c>
      <c r="AC12" s="1">
        <v>44743</v>
      </c>
      <c r="AD12" s="5"/>
      <c r="AE12" s="5"/>
      <c r="AG12" s="5"/>
    </row>
    <row r="13" spans="1:34">
      <c r="M13" s="1"/>
      <c r="N13" s="5"/>
      <c r="O13" s="5"/>
      <c r="Q13" s="1">
        <v>44044</v>
      </c>
      <c r="R13" s="5"/>
      <c r="S13" s="5">
        <v>17358.84</v>
      </c>
      <c r="U13" s="1">
        <v>44409</v>
      </c>
      <c r="V13" s="5"/>
      <c r="W13" s="5">
        <v>18539.27</v>
      </c>
      <c r="Y13" s="1">
        <v>44774</v>
      </c>
      <c r="Z13" s="5">
        <v>20346.857999999997</v>
      </c>
      <c r="AA13" s="5">
        <v>20346.857999999997</v>
      </c>
      <c r="AC13" s="1">
        <v>44774</v>
      </c>
      <c r="AD13" s="5"/>
      <c r="AE13" s="5"/>
      <c r="AG13" s="5"/>
    </row>
    <row r="14" spans="1:34">
      <c r="M14" s="1"/>
      <c r="N14" s="5"/>
      <c r="O14" s="5"/>
      <c r="Q14" s="1">
        <v>44075</v>
      </c>
      <c r="R14" s="5"/>
      <c r="S14" s="5">
        <v>17358.84</v>
      </c>
      <c r="U14" s="1">
        <v>44440</v>
      </c>
      <c r="V14" s="5"/>
      <c r="W14" s="5">
        <v>18539.27</v>
      </c>
      <c r="Y14" s="1">
        <v>44805</v>
      </c>
      <c r="Z14" s="5">
        <v>20346.857999999997</v>
      </c>
      <c r="AA14" s="5">
        <v>20346.857999999997</v>
      </c>
      <c r="AC14" s="1">
        <v>44805</v>
      </c>
      <c r="AD14" s="5"/>
      <c r="AE14" s="5"/>
      <c r="AG14" s="5"/>
    </row>
    <row r="15" spans="1:34">
      <c r="N15" s="6">
        <f>SUM(N3:N14)</f>
        <v>71073.72</v>
      </c>
      <c r="O15" s="6">
        <f>SUM(O3:O14)</f>
        <v>74994.581999999995</v>
      </c>
      <c r="P15" s="6">
        <f>N15-O15</f>
        <v>-3920.8619999999937</v>
      </c>
      <c r="R15" s="6">
        <f>SUM(R3:R14)</f>
        <v>23691.239999999998</v>
      </c>
      <c r="S15" s="6">
        <f>SUM(S3:S14)</f>
        <v>147635.35999999999</v>
      </c>
      <c r="T15" s="6">
        <f>R15-S15</f>
        <v>-123944.12</v>
      </c>
      <c r="V15" s="6">
        <f>SUM(V3:V14)</f>
        <v>0</v>
      </c>
      <c r="W15" s="6">
        <f>SUM(W3:W14)</f>
        <v>213027.79999999996</v>
      </c>
      <c r="X15" s="6">
        <f>V15-W15</f>
        <v>-213027.79999999996</v>
      </c>
      <c r="Z15" s="6">
        <f>SUM(Z3:Z14)</f>
        <v>211162.29700000002</v>
      </c>
      <c r="AA15" s="6">
        <f>SUM(AA3:AA14)</f>
        <v>229701.56700000004</v>
      </c>
      <c r="AB15" s="6">
        <f>Z15-AA15</f>
        <v>-18539.270000000019</v>
      </c>
      <c r="AD15" s="6">
        <f>SUM(AD3:AD14)</f>
        <v>61040.573999999993</v>
      </c>
      <c r="AE15" s="6">
        <f>SUM(AE3:AE14)</f>
        <v>61040.573999999993</v>
      </c>
      <c r="AF15" s="6">
        <f>AD15-AE15</f>
        <v>0</v>
      </c>
      <c r="AG15" s="6"/>
      <c r="AH15" s="6"/>
    </row>
    <row r="18" spans="13:13">
      <c r="M18" s="7" t="s">
        <v>8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CECD20-7161-4B85-AF26-6D1F6256038F}"/>
</file>

<file path=customXml/itemProps2.xml><?xml version="1.0" encoding="utf-8"?>
<ds:datastoreItem xmlns:ds="http://schemas.openxmlformats.org/officeDocument/2006/customXml" ds:itemID="{D8CDBDD2-0BB3-4BDD-918F-0E8CEE5C9D52}"/>
</file>

<file path=customXml/itemProps3.xml><?xml version="1.0" encoding="utf-8"?>
<ds:datastoreItem xmlns:ds="http://schemas.openxmlformats.org/officeDocument/2006/customXml" ds:itemID="{37308799-BBFD-4E87-8EA6-B6218D2D7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2019-06-12T10:34:15Z</dcterms:created>
  <dcterms:modified xsi:type="dcterms:W3CDTF">2023-01-23T11:50:35Z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